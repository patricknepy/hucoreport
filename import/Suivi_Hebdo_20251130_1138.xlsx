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DEV\Huco_Report\import\"/>
    </mc:Choice>
  </mc:AlternateContent>
  <xr:revisionPtr revIDLastSave="0" documentId="13_ncr:1_{3F085818-3112-4D57-8202-4C236336A3E2}" xr6:coauthVersionLast="47" xr6:coauthVersionMax="47" xr10:uidLastSave="{00000000-0000-0000-0000-000000000000}"/>
  <bookViews>
    <workbookView xWindow="38280" yWindow="-75" windowWidth="29040" windowHeight="16440" tabRatio="379" firstSheet="28" activeTab="29" xr2:uid="{00000000-000D-0000-FFFF-FFFF00000000}"/>
  </bookViews>
  <sheets>
    <sheet name="Guide suivi GDP " sheetId="18" r:id="rId1"/>
    <sheet name="du 19 au 23 Août - W34" sheetId="17" state="hidden" r:id="rId2"/>
    <sheet name="du 26 au 30 Août - W35" sheetId="20" state="hidden" r:id="rId3"/>
    <sheet name="du 02 au 06 Septembre - W36" sheetId="19" state="hidden" r:id="rId4"/>
    <sheet name="du 09 au 13 Septembre - W37" sheetId="21" state="hidden" r:id="rId5"/>
    <sheet name="du 16 au 20 Septembre - W38" sheetId="22" state="hidden" r:id="rId6"/>
    <sheet name="du 23 au 27 Septembre - W39" sheetId="23" state="hidden" r:id="rId7"/>
    <sheet name="du 30 sept au 04 oct - W40" sheetId="24" state="hidden" r:id="rId8"/>
    <sheet name="du 07 oct au 11 oct - W41" sheetId="25" state="hidden" r:id="rId9"/>
    <sheet name="du 14 oct au 18 oct - W42" sheetId="26" state="hidden" r:id="rId10"/>
    <sheet name="du 21 oct au 25 oct - W43" sheetId="27" state="hidden" r:id="rId11"/>
    <sheet name="du 28 oct au 31 oct - W44" sheetId="28" state="hidden" r:id="rId12"/>
    <sheet name="du 04 nov au 08 nov - W45" sheetId="29" state="hidden" r:id="rId13"/>
    <sheet name="du 12 nov au 15 nov - W46" sheetId="31" state="hidden" r:id="rId14"/>
    <sheet name="du 25 nov au 29 nov - W48" sheetId="30" state="hidden" r:id="rId15"/>
    <sheet name="du 25 nov au 29 nov - W49" sheetId="32" state="hidden" r:id="rId16"/>
    <sheet name="du 09 dec au 13 dec - W50" sheetId="33" state="hidden" r:id="rId17"/>
    <sheet name="du 16 dec au 20 dec - W51" sheetId="35" state="hidden" r:id="rId18"/>
    <sheet name="TCD" sheetId="40" r:id="rId19"/>
    <sheet name="S39" sheetId="34" r:id="rId20"/>
    <sheet name="S42" sheetId="39" r:id="rId21"/>
    <sheet name="S43" sheetId="41" r:id="rId22"/>
    <sheet name="du 29 sept. au 03 oct. - W40" sheetId="36" state="hidden" r:id="rId23"/>
    <sheet name="du 06 oct. au 10 oct. - W41" sheetId="37" state="hidden" r:id="rId24"/>
    <sheet name="du 13 oct. au 17 oct. - W42" sheetId="38" state="hidden" r:id="rId25"/>
    <sheet name="S44" sheetId="42" r:id="rId26"/>
    <sheet name="S45" sheetId="43" r:id="rId27"/>
    <sheet name="S46" sheetId="44" r:id="rId28"/>
    <sheet name="S47" sheetId="45" r:id="rId29"/>
    <sheet name="S48" sheetId="46" r:id="rId30"/>
  </sheets>
  <definedNames>
    <definedName name="_xlnm._FilterDatabase" localSheetId="3" hidden="1">'du 02 au 06 Septembre - W36'!$A$2:$P$2</definedName>
    <definedName name="_xlnm._FilterDatabase" localSheetId="12" hidden="1">'du 04 nov au 08 nov - W45'!$A$2:$P$2</definedName>
    <definedName name="_xlnm._FilterDatabase" localSheetId="23" hidden="1">'du 06 oct. au 10 oct. - W41'!$A$3:$AG$150</definedName>
    <definedName name="_xlnm._FilterDatabase" localSheetId="8" hidden="1">'du 07 oct au 11 oct - W41'!$A$2:$P$2</definedName>
    <definedName name="_xlnm._FilterDatabase" localSheetId="4" hidden="1">'du 09 au 13 Septembre - W37'!$A$2:$P$2</definedName>
    <definedName name="_xlnm._FilterDatabase" localSheetId="16" hidden="1">'du 09 dec au 13 dec - W50'!$A$2:$Q$2</definedName>
    <definedName name="_xlnm._FilterDatabase" localSheetId="13" hidden="1">'du 12 nov au 15 nov - W46'!$A$2:$P$2</definedName>
    <definedName name="_xlnm._FilterDatabase" localSheetId="24" hidden="1">'du 13 oct. au 17 oct. - W42'!$A$3:$AG$150</definedName>
    <definedName name="_xlnm._FilterDatabase" localSheetId="9" hidden="1">'du 14 oct au 18 oct - W42'!$A$2:$P$2</definedName>
    <definedName name="_xlnm._FilterDatabase" localSheetId="5" hidden="1">'du 16 au 20 Septembre - W38'!$A$2:$P$2</definedName>
    <definedName name="_xlnm._FilterDatabase" localSheetId="17" hidden="1">'du 16 dec au 20 dec - W51'!$A$2:$Q$2</definedName>
    <definedName name="_xlnm._FilterDatabase" localSheetId="1" hidden="1">'du 19 au 23 Août - W34'!$A$2:$M$250</definedName>
    <definedName name="_xlnm._FilterDatabase" localSheetId="10" hidden="1">'du 21 oct au 25 oct - W43'!$A$2:$P$2</definedName>
    <definedName name="_xlnm._FilterDatabase" localSheetId="6" hidden="1">'du 23 au 27 Septembre - W39'!$A$2:$P$2</definedName>
    <definedName name="_xlnm._FilterDatabase" localSheetId="14" hidden="1">'du 25 nov au 29 nov - W48'!$A$2:$Q$2</definedName>
    <definedName name="_xlnm._FilterDatabase" localSheetId="15" hidden="1">'du 25 nov au 29 nov - W49'!$A$2:$Q$2</definedName>
    <definedName name="_xlnm._FilterDatabase" localSheetId="2" hidden="1">'du 26 au 30 Août - W35'!$A$2:$N$250</definedName>
    <definedName name="_xlnm._FilterDatabase" localSheetId="11" hidden="1">'du 28 oct au 31 oct - W44'!$A$2:$P$2</definedName>
    <definedName name="_xlnm._FilterDatabase" localSheetId="22" hidden="1">'du 29 sept. au 03 oct. - W40'!$A$3:$AG$3</definedName>
    <definedName name="_xlnm._FilterDatabase" localSheetId="7" hidden="1">'du 30 sept au 04 oct - W40'!$A$2:$P$2</definedName>
    <definedName name="_xlnm._FilterDatabase" localSheetId="19" hidden="1">'S39'!$A$3:$AS$150</definedName>
    <definedName name="_xlnm._FilterDatabase" localSheetId="20" hidden="1">'S42'!$A$3:$AW$151</definedName>
    <definedName name="_xlnm._FilterDatabase" localSheetId="21" hidden="1">'S43'!$A$3:$AW$155</definedName>
    <definedName name="_xlnm._FilterDatabase" localSheetId="25" hidden="1">'S44'!$A$3:$AY$155</definedName>
    <definedName name="_xlnm._FilterDatabase" localSheetId="26" hidden="1">'S45'!$A$3:$AZ$155</definedName>
    <definedName name="_xlnm._FilterDatabase" localSheetId="27" hidden="1">'S46'!$A$3:$AZ$157</definedName>
    <definedName name="_xlnm._FilterDatabase" localSheetId="28" hidden="1">'S47'!$A$3:$BA$157</definedName>
    <definedName name="_xlnm._FilterDatabase" localSheetId="29" hidden="1">'S48'!$A$3:$BA$157</definedName>
    <definedName name="ADELIS">#REF!</definedName>
    <definedName name="ALLORA">#REF!</definedName>
    <definedName name="ARCHIPELL">#REF!</definedName>
    <definedName name="BC">#REF!</definedName>
    <definedName name="BE_YS">#REF!</definedName>
    <definedName name="CLIMAX">#REF!</definedName>
    <definedName name="CTS">#REF!</definedName>
    <definedName name="HEMAC">#REF!</definedName>
    <definedName name="HOTELPRO">#REF!</definedName>
    <definedName name="HUCO">#REF!</definedName>
    <definedName name="ISB_ODOO">#REF!</definedName>
    <definedName name="MONFOURGON">#REF!</definedName>
    <definedName name="MONKILOWATT">#REF!</definedName>
    <definedName name="OSPORTS">#REF!</definedName>
    <definedName name="PYKO">#REF!</definedName>
  </definedNames>
  <calcPr calcId="191028"/>
  <pivotCaches>
    <pivotCache cacheId="3"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I157" i="46" l="1"/>
  <c r="AI156" i="46"/>
  <c r="AI155" i="46"/>
  <c r="AI154" i="46"/>
  <c r="AI153" i="46"/>
  <c r="AI152" i="46"/>
  <c r="AI151" i="46"/>
  <c r="AI150" i="46"/>
  <c r="AI149" i="46"/>
  <c r="AI148" i="46"/>
  <c r="AI147" i="46"/>
  <c r="AI146" i="46"/>
  <c r="AI145" i="46"/>
  <c r="AI144" i="46"/>
  <c r="AI143" i="46"/>
  <c r="AI142" i="46"/>
  <c r="AI141" i="46"/>
  <c r="AI140" i="46"/>
  <c r="AI139" i="46"/>
  <c r="AI138" i="46"/>
  <c r="AI137" i="46"/>
  <c r="AI136" i="46"/>
  <c r="AI135" i="46"/>
  <c r="AI134" i="46"/>
  <c r="AI133" i="46"/>
  <c r="AI132" i="46"/>
  <c r="AI131" i="46"/>
  <c r="AI130" i="46"/>
  <c r="AI129" i="46"/>
  <c r="AI128" i="46"/>
  <c r="AI127" i="46"/>
  <c r="AI126" i="46"/>
  <c r="AI125" i="46"/>
  <c r="AI124" i="46"/>
  <c r="AI123" i="46"/>
  <c r="AI122" i="46"/>
  <c r="AI121" i="46"/>
  <c r="AI120" i="46"/>
  <c r="AI119" i="46"/>
  <c r="AI118" i="46"/>
  <c r="AI117" i="46"/>
  <c r="AI116" i="46"/>
  <c r="AI115" i="46"/>
  <c r="AI114" i="46"/>
  <c r="AI113" i="46"/>
  <c r="AI112" i="46"/>
  <c r="AI111" i="46"/>
  <c r="AI110" i="46"/>
  <c r="AI109" i="46"/>
  <c r="AI108" i="46"/>
  <c r="AI107" i="46"/>
  <c r="AI106" i="46"/>
  <c r="AI105" i="46"/>
  <c r="AI104" i="46"/>
  <c r="AI103" i="46"/>
  <c r="AI102" i="46"/>
  <c r="AI101" i="46"/>
  <c r="AI100" i="46"/>
  <c r="AI99" i="46"/>
  <c r="AI98" i="46"/>
  <c r="AI97" i="46"/>
  <c r="AI96" i="46"/>
  <c r="AI95" i="46"/>
  <c r="AI94" i="46"/>
  <c r="AI93" i="46"/>
  <c r="AI92" i="46"/>
  <c r="AI91" i="46"/>
  <c r="AI90" i="46"/>
  <c r="AI89" i="46"/>
  <c r="AI88" i="46"/>
  <c r="AI87" i="46"/>
  <c r="AI86" i="46"/>
  <c r="AI85" i="46"/>
  <c r="AI84" i="46"/>
  <c r="AI83" i="46"/>
  <c r="AI82" i="46"/>
  <c r="AI81" i="46"/>
  <c r="AI80" i="46"/>
  <c r="AI79" i="46"/>
  <c r="AI78" i="46"/>
  <c r="AI77" i="46"/>
  <c r="AI76" i="46"/>
  <c r="AI75" i="46"/>
  <c r="AI74" i="46"/>
  <c r="AI73" i="46"/>
  <c r="AI72" i="46"/>
  <c r="AI71" i="46"/>
  <c r="AI70" i="46"/>
  <c r="AI69" i="46"/>
  <c r="AI68" i="46"/>
  <c r="AI67" i="46"/>
  <c r="AI66" i="46"/>
  <c r="AI65" i="46"/>
  <c r="AI64" i="46"/>
  <c r="AI63" i="46"/>
  <c r="AI62" i="46"/>
  <c r="AI61" i="46"/>
  <c r="AI60" i="46"/>
  <c r="AI59" i="46"/>
  <c r="AI58" i="46"/>
  <c r="AI57" i="46"/>
  <c r="AI56" i="46"/>
  <c r="AI55" i="46"/>
  <c r="AI53" i="46"/>
  <c r="AI52" i="46"/>
  <c r="AI51" i="46"/>
  <c r="AI49" i="46"/>
  <c r="AI48" i="46"/>
  <c r="AI47" i="46"/>
  <c r="AI46" i="46"/>
  <c r="AI45" i="46"/>
  <c r="AI44" i="46"/>
  <c r="AI43" i="46"/>
  <c r="AI42" i="46"/>
  <c r="AI41" i="46"/>
  <c r="AI40" i="46"/>
  <c r="AI39" i="46"/>
  <c r="AI38" i="46"/>
  <c r="AI37" i="46"/>
  <c r="AI36" i="46"/>
  <c r="AI35" i="46"/>
  <c r="AI34" i="46"/>
  <c r="AI33" i="46"/>
  <c r="AI32" i="46"/>
  <c r="AI31" i="46"/>
  <c r="AI30" i="46"/>
  <c r="AI29" i="46"/>
  <c r="AI28" i="46"/>
  <c r="AI27" i="46"/>
  <c r="AI26" i="46"/>
  <c r="AI25" i="46"/>
  <c r="AI24" i="46"/>
  <c r="AI23" i="46"/>
  <c r="AI22" i="46"/>
  <c r="AI21" i="46"/>
  <c r="AI20" i="46"/>
  <c r="AI18" i="46"/>
  <c r="AI17" i="46"/>
  <c r="AI16" i="46"/>
  <c r="AI15" i="46"/>
  <c r="AI11" i="46"/>
  <c r="AI10" i="46"/>
  <c r="AI9" i="46"/>
  <c r="AI7" i="46"/>
  <c r="AI2" i="46" s="1"/>
  <c r="AI6" i="46"/>
  <c r="AI5" i="46"/>
  <c r="AI4" i="46"/>
  <c r="A5" i="46"/>
  <c r="A6" i="46" s="1"/>
  <c r="A7" i="46" s="1"/>
  <c r="A8" i="46" s="1"/>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A116" i="46" s="1"/>
  <c r="A117" i="46" s="1"/>
  <c r="A118" i="46" s="1"/>
  <c r="A119" i="46" s="1"/>
  <c r="A120" i="46" s="1"/>
  <c r="A121" i="46" s="1"/>
  <c r="A122" i="46" s="1"/>
  <c r="A123" i="46" s="1"/>
  <c r="A124" i="46" s="1"/>
  <c r="A125" i="46" s="1"/>
  <c r="A126" i="46" s="1"/>
  <c r="A127" i="46" s="1"/>
  <c r="A128" i="46" s="1"/>
  <c r="A129" i="46" s="1"/>
  <c r="A130" i="46" s="1"/>
  <c r="A131" i="46" s="1"/>
  <c r="A132" i="46" s="1"/>
  <c r="A133" i="46" s="1"/>
  <c r="A134" i="46" s="1"/>
  <c r="A135" i="46" s="1"/>
  <c r="A136" i="46" s="1"/>
  <c r="A137" i="46" s="1"/>
  <c r="A138" i="46" s="1"/>
  <c r="A139" i="46" s="1"/>
  <c r="A140" i="46" s="1"/>
  <c r="A141" i="46" s="1"/>
  <c r="A142" i="46" s="1"/>
  <c r="A143" i="46" s="1"/>
  <c r="A144" i="46" s="1"/>
  <c r="A145" i="46" s="1"/>
  <c r="A146" i="46" s="1"/>
  <c r="A147" i="46" s="1"/>
  <c r="A148" i="46" s="1"/>
  <c r="A149" i="46" s="1"/>
  <c r="A150" i="46" s="1"/>
  <c r="A151" i="46" s="1"/>
  <c r="A152" i="46" s="1"/>
  <c r="A153" i="46" s="1"/>
  <c r="A154" i="46" s="1"/>
  <c r="A155" i="46" s="1"/>
  <c r="A156" i="46" s="1"/>
  <c r="A157" i="46" s="1"/>
  <c r="BA2" i="46"/>
  <c r="AZ2" i="46"/>
  <c r="AY2" i="46"/>
  <c r="AX2" i="46"/>
  <c r="AW2" i="46"/>
  <c r="AU2" i="46"/>
  <c r="AT2" i="46"/>
  <c r="AR2" i="46"/>
  <c r="Q2" i="46" a="1"/>
  <c r="Q2" i="46" s="1"/>
  <c r="P2" i="46" a="1"/>
  <c r="P2" i="46" s="1"/>
  <c r="O2" i="46"/>
  <c r="N2" i="46"/>
  <c r="D2" i="46"/>
  <c r="AI157" i="45"/>
  <c r="AI156" i="45"/>
  <c r="AI155" i="45"/>
  <c r="AI154" i="45"/>
  <c r="AI153" i="45"/>
  <c r="AI152" i="45"/>
  <c r="AI151" i="45"/>
  <c r="AI150" i="45"/>
  <c r="AI149" i="45"/>
  <c r="AI148" i="45"/>
  <c r="AI147" i="45"/>
  <c r="AI146" i="45"/>
  <c r="AI145" i="45"/>
  <c r="AI144" i="45"/>
  <c r="AI143" i="45"/>
  <c r="AI142" i="45"/>
  <c r="AI141" i="45"/>
  <c r="AI140" i="45"/>
  <c r="AI139" i="45"/>
  <c r="AI138" i="45"/>
  <c r="AI137" i="45"/>
  <c r="AI136" i="45"/>
  <c r="AI135" i="45"/>
  <c r="AI134" i="45"/>
  <c r="AI133" i="45"/>
  <c r="AI132" i="45"/>
  <c r="AI131" i="45"/>
  <c r="AI130" i="45"/>
  <c r="AI129" i="45"/>
  <c r="AI128" i="45"/>
  <c r="AI127" i="45"/>
  <c r="AI126" i="45"/>
  <c r="AI125" i="45"/>
  <c r="AI124" i="45"/>
  <c r="AI123" i="45"/>
  <c r="AI122" i="45"/>
  <c r="AI121" i="45"/>
  <c r="AI120" i="45"/>
  <c r="AI119" i="45"/>
  <c r="AI118" i="45"/>
  <c r="AI117" i="45"/>
  <c r="AI116" i="45"/>
  <c r="AI115" i="45"/>
  <c r="AI114" i="45"/>
  <c r="AI113" i="45"/>
  <c r="AI112" i="45"/>
  <c r="AI111" i="45"/>
  <c r="AI110" i="45"/>
  <c r="AI109" i="45"/>
  <c r="AI108" i="45"/>
  <c r="AI107" i="45"/>
  <c r="AI106" i="45"/>
  <c r="AI105" i="45"/>
  <c r="AI104" i="45"/>
  <c r="AI103" i="45"/>
  <c r="AI102" i="45"/>
  <c r="AI101" i="45"/>
  <c r="AI100" i="45"/>
  <c r="AI99" i="45"/>
  <c r="AI98" i="45"/>
  <c r="AI97" i="45"/>
  <c r="AI96" i="45"/>
  <c r="AI95" i="45"/>
  <c r="AI94" i="45"/>
  <c r="AI93" i="45"/>
  <c r="AI92" i="45"/>
  <c r="AI91" i="45"/>
  <c r="AI90" i="45"/>
  <c r="AI89" i="45"/>
  <c r="AI88" i="45"/>
  <c r="AI87" i="45"/>
  <c r="AI86" i="45"/>
  <c r="AI85" i="45"/>
  <c r="AI84" i="45"/>
  <c r="AI83" i="45"/>
  <c r="AI82" i="45"/>
  <c r="AI81" i="45"/>
  <c r="AI80" i="45"/>
  <c r="AI79" i="45"/>
  <c r="AI78" i="45"/>
  <c r="AI77" i="45"/>
  <c r="AI76" i="45"/>
  <c r="AI75" i="45"/>
  <c r="AI74" i="45"/>
  <c r="AI73" i="45"/>
  <c r="AI72" i="45"/>
  <c r="AI71" i="45"/>
  <c r="AI70" i="45"/>
  <c r="AI69" i="45"/>
  <c r="AI68" i="45"/>
  <c r="AI67" i="45"/>
  <c r="AI66" i="45"/>
  <c r="AI65" i="45"/>
  <c r="AI64" i="45"/>
  <c r="AI63" i="45"/>
  <c r="AI62" i="45"/>
  <c r="AI61" i="45"/>
  <c r="AI60" i="45"/>
  <c r="AI59" i="45"/>
  <c r="AI58" i="45"/>
  <c r="AI57" i="45"/>
  <c r="AI56" i="45"/>
  <c r="AI55" i="45"/>
  <c r="AI41" i="45"/>
  <c r="AI42" i="45"/>
  <c r="AI26" i="45"/>
  <c r="AI25" i="45"/>
  <c r="AI4" i="45"/>
  <c r="AI53" i="45"/>
  <c r="AI52" i="45"/>
  <c r="AI51" i="45"/>
  <c r="AI49" i="45"/>
  <c r="AI48" i="45"/>
  <c r="AI39" i="45"/>
  <c r="AI47" i="45"/>
  <c r="AI46" i="45"/>
  <c r="AI38" i="45"/>
  <c r="AI32" i="45"/>
  <c r="AI36" i="45"/>
  <c r="AI37" i="45"/>
  <c r="AI24" i="45"/>
  <c r="AI35" i="45"/>
  <c r="AI23" i="45"/>
  <c r="AI31" i="45"/>
  <c r="AI22" i="45"/>
  <c r="AI29" i="45"/>
  <c r="AI40" i="45"/>
  <c r="AI45" i="45"/>
  <c r="AI34" i="45"/>
  <c r="AI21" i="45"/>
  <c r="AI28" i="45"/>
  <c r="AI20" i="45"/>
  <c r="AI27" i="45"/>
  <c r="AI18" i="45"/>
  <c r="AI17" i="45"/>
  <c r="AI9" i="45"/>
  <c r="AI30" i="45"/>
  <c r="AI33" i="45"/>
  <c r="AI16" i="45"/>
  <c r="AI44" i="45"/>
  <c r="AI7" i="45"/>
  <c r="AI2" i="45" s="1"/>
  <c r="AI11" i="45"/>
  <c r="AI6" i="45"/>
  <c r="AI10" i="45"/>
  <c r="AI15" i="45"/>
  <c r="AI43" i="45"/>
  <c r="AI5" i="45"/>
  <c r="BA2" i="45"/>
  <c r="AZ2" i="45"/>
  <c r="AY2" i="45"/>
  <c r="AX2" i="45"/>
  <c r="AW2" i="45"/>
  <c r="AU2" i="45"/>
  <c r="AT2" i="45"/>
  <c r="AR2" i="45"/>
  <c r="Q2" i="45" a="1"/>
  <c r="Q2" i="45" s="1"/>
  <c r="P2" i="45" a="1"/>
  <c r="P2" i="45" s="1"/>
  <c r="O2" i="45"/>
  <c r="N2" i="45"/>
  <c r="D2" i="45"/>
  <c r="AH157" i="44"/>
  <c r="AH156" i="44"/>
  <c r="AH155" i="44"/>
  <c r="AH154" i="44"/>
  <c r="AH153" i="44"/>
  <c r="AH152" i="44"/>
  <c r="AH151" i="44"/>
  <c r="AH150" i="44"/>
  <c r="AH149" i="44"/>
  <c r="AH148" i="44"/>
  <c r="AH147" i="44"/>
  <c r="AH146" i="44"/>
  <c r="AH145" i="44"/>
  <c r="AH144" i="44"/>
  <c r="AH143" i="44"/>
  <c r="AH142" i="44"/>
  <c r="AH141" i="44"/>
  <c r="AH140" i="44"/>
  <c r="AH139" i="44"/>
  <c r="AH138" i="44"/>
  <c r="AH137" i="44"/>
  <c r="AH136" i="44"/>
  <c r="AH135" i="44"/>
  <c r="AH134" i="44"/>
  <c r="AH133" i="44"/>
  <c r="AH132" i="44"/>
  <c r="AH131" i="44"/>
  <c r="AH130" i="44"/>
  <c r="AH129" i="44"/>
  <c r="AH128" i="44"/>
  <c r="AH127" i="44"/>
  <c r="AH126" i="44"/>
  <c r="AH125" i="44"/>
  <c r="AH124" i="44"/>
  <c r="AH123" i="44"/>
  <c r="AH122" i="44"/>
  <c r="AH121" i="44"/>
  <c r="AH120" i="44"/>
  <c r="AH119" i="44"/>
  <c r="AH118" i="44"/>
  <c r="AH117" i="44"/>
  <c r="AH116" i="44"/>
  <c r="AH115" i="44"/>
  <c r="AH114" i="44"/>
  <c r="AH113" i="44"/>
  <c r="AH112" i="44"/>
  <c r="AH111" i="44"/>
  <c r="AH110" i="44"/>
  <c r="AH109" i="44"/>
  <c r="AH108" i="44"/>
  <c r="AH107" i="44"/>
  <c r="AH106" i="44"/>
  <c r="AH105" i="44"/>
  <c r="AH104" i="44"/>
  <c r="AH103" i="44"/>
  <c r="AH102" i="44"/>
  <c r="AH101" i="44"/>
  <c r="AH100" i="44"/>
  <c r="AH99" i="44"/>
  <c r="AH98" i="44"/>
  <c r="AH97" i="44"/>
  <c r="AH96" i="44"/>
  <c r="AH95" i="44"/>
  <c r="AH94" i="44"/>
  <c r="AH93" i="44"/>
  <c r="AH92" i="44"/>
  <c r="AH91" i="44"/>
  <c r="AH90" i="44"/>
  <c r="AH89" i="44"/>
  <c r="AH88" i="44"/>
  <c r="AH87" i="44"/>
  <c r="AH86" i="44"/>
  <c r="AH85" i="44"/>
  <c r="AH84" i="44"/>
  <c r="AH83" i="44"/>
  <c r="AH82" i="44"/>
  <c r="AH81" i="44"/>
  <c r="AH80" i="44"/>
  <c r="AH79" i="44"/>
  <c r="AH78" i="44"/>
  <c r="AH77" i="44"/>
  <c r="AH76" i="44"/>
  <c r="AH75" i="44"/>
  <c r="AH74" i="44"/>
  <c r="AH73" i="44"/>
  <c r="AH72" i="44"/>
  <c r="AH71" i="44"/>
  <c r="AH70" i="44"/>
  <c r="AH69" i="44"/>
  <c r="AH68" i="44"/>
  <c r="AH67" i="44"/>
  <c r="AH66" i="44"/>
  <c r="AH65" i="44"/>
  <c r="AH64" i="44"/>
  <c r="AH63" i="44"/>
  <c r="AH62" i="44"/>
  <c r="AH61" i="44"/>
  <c r="AH60" i="44"/>
  <c r="AH59" i="44"/>
  <c r="AH58" i="44"/>
  <c r="AH57" i="44"/>
  <c r="AH56" i="44"/>
  <c r="AH55" i="44"/>
  <c r="AH6" i="44"/>
  <c r="AH30" i="44"/>
  <c r="AH48" i="44"/>
  <c r="AH16" i="44"/>
  <c r="AH34" i="44"/>
  <c r="AH40" i="44"/>
  <c r="AH33" i="44"/>
  <c r="AH14" i="44"/>
  <c r="AH17" i="44"/>
  <c r="AH26" i="44"/>
  <c r="AH47" i="44"/>
  <c r="AH53" i="44"/>
  <c r="AH15" i="44"/>
  <c r="AH32" i="44"/>
  <c r="AH39" i="44"/>
  <c r="AH54" i="44"/>
  <c r="AH36" i="44"/>
  <c r="AH35" i="44"/>
  <c r="AH27" i="44"/>
  <c r="AH23" i="44"/>
  <c r="AH38" i="44"/>
  <c r="AH41" i="44"/>
  <c r="AH44" i="44"/>
  <c r="AH25" i="44"/>
  <c r="AH13" i="44"/>
  <c r="AH37" i="44"/>
  <c r="AH52" i="44"/>
  <c r="AH43" i="44"/>
  <c r="AH46" i="44"/>
  <c r="AH51" i="44"/>
  <c r="AH42" i="44"/>
  <c r="AH19" i="44"/>
  <c r="AH22" i="44"/>
  <c r="AH24" i="44"/>
  <c r="AH20" i="44"/>
  <c r="AH7" i="44"/>
  <c r="AH11" i="44"/>
  <c r="AH10" i="44"/>
  <c r="AH9" i="44"/>
  <c r="AH5" i="44"/>
  <c r="AH31" i="44"/>
  <c r="AH18" i="44"/>
  <c r="AH8" i="44"/>
  <c r="AH50" i="44"/>
  <c r="AZ2" i="44"/>
  <c r="AY2" i="44"/>
  <c r="AX2" i="44"/>
  <c r="AW2" i="44"/>
  <c r="AV2" i="44"/>
  <c r="AT2" i="44"/>
  <c r="AS2" i="44"/>
  <c r="AQ2" i="44"/>
  <c r="AH2" i="44"/>
  <c r="Q2" i="44" a="1"/>
  <c r="Q2" i="44" s="1"/>
  <c r="P2" i="44" a="1"/>
  <c r="P2" i="44" s="1"/>
  <c r="O2" i="44"/>
  <c r="N2" i="44"/>
  <c r="D2" i="44"/>
  <c r="AH155" i="43"/>
  <c r="AH154" i="43"/>
  <c r="AH153" i="43"/>
  <c r="AH152" i="43"/>
  <c r="AH151" i="43"/>
  <c r="AH150" i="43"/>
  <c r="AH149" i="43"/>
  <c r="AH148" i="43"/>
  <c r="AH147" i="43"/>
  <c r="AH146" i="43"/>
  <c r="AH145" i="43"/>
  <c r="AH144" i="43"/>
  <c r="AH143" i="43"/>
  <c r="AH142" i="43"/>
  <c r="AH141" i="43"/>
  <c r="AH140" i="43"/>
  <c r="AH139" i="43"/>
  <c r="AH138" i="43"/>
  <c r="AH137" i="43"/>
  <c r="AH136" i="43"/>
  <c r="AH135" i="43"/>
  <c r="AH134" i="43"/>
  <c r="AH133" i="43"/>
  <c r="AH132" i="43"/>
  <c r="AH131" i="43"/>
  <c r="AH130" i="43"/>
  <c r="AH129" i="43"/>
  <c r="AH128" i="43"/>
  <c r="AH127" i="43"/>
  <c r="AH126" i="43"/>
  <c r="AH125" i="43"/>
  <c r="AH124" i="43"/>
  <c r="AH123" i="43"/>
  <c r="AH122" i="43"/>
  <c r="AH121" i="43"/>
  <c r="AH120" i="43"/>
  <c r="AH119" i="43"/>
  <c r="AH118" i="43"/>
  <c r="AH117" i="43"/>
  <c r="AH116" i="43"/>
  <c r="AH115" i="43"/>
  <c r="AH114" i="43"/>
  <c r="AH113" i="43"/>
  <c r="AH112" i="43"/>
  <c r="AH111" i="43"/>
  <c r="AH110" i="43"/>
  <c r="AH109" i="43"/>
  <c r="AH108" i="43"/>
  <c r="AH107" i="43"/>
  <c r="AH106" i="43"/>
  <c r="AH105" i="43"/>
  <c r="AH104" i="43"/>
  <c r="AH103" i="43"/>
  <c r="AH102" i="43"/>
  <c r="AH101" i="43"/>
  <c r="AH100" i="43"/>
  <c r="AH99" i="43"/>
  <c r="AH98" i="43"/>
  <c r="AH97" i="43"/>
  <c r="AH96" i="43"/>
  <c r="AH95" i="43"/>
  <c r="AH94" i="43"/>
  <c r="AH93" i="43"/>
  <c r="AH92" i="43"/>
  <c r="AH91" i="43"/>
  <c r="AH90" i="43"/>
  <c r="AH89" i="43"/>
  <c r="AH88" i="43"/>
  <c r="AH87" i="43"/>
  <c r="AH86" i="43"/>
  <c r="AH85" i="43"/>
  <c r="AH84" i="43"/>
  <c r="AH83" i="43"/>
  <c r="AH82" i="43"/>
  <c r="AH81" i="43"/>
  <c r="AH80" i="43"/>
  <c r="AH79" i="43"/>
  <c r="AH78" i="43"/>
  <c r="AH77" i="43"/>
  <c r="AH76" i="43"/>
  <c r="AH75" i="43"/>
  <c r="AH74" i="43"/>
  <c r="AH73" i="43"/>
  <c r="AH72" i="43"/>
  <c r="AH71" i="43"/>
  <c r="AH70" i="43"/>
  <c r="AH69" i="43"/>
  <c r="AH68" i="43"/>
  <c r="AH67" i="43"/>
  <c r="AH66" i="43"/>
  <c r="AH65" i="43"/>
  <c r="AH64" i="43"/>
  <c r="AH63" i="43"/>
  <c r="AH62" i="43"/>
  <c r="AH61" i="43"/>
  <c r="AH60" i="43"/>
  <c r="AH59" i="43"/>
  <c r="AH58" i="43"/>
  <c r="AH57" i="43"/>
  <c r="AH56" i="43"/>
  <c r="AH55" i="43"/>
  <c r="AH54" i="43"/>
  <c r="AH53" i="43"/>
  <c r="AH39" i="43"/>
  <c r="AH38" i="43"/>
  <c r="AH37" i="43"/>
  <c r="AH36" i="43"/>
  <c r="AH40" i="43"/>
  <c r="AH35" i="43"/>
  <c r="AH34" i="43"/>
  <c r="AH33" i="43"/>
  <c r="AH50" i="43"/>
  <c r="AH31" i="43"/>
  <c r="AH30" i="43"/>
  <c r="AH5" i="43"/>
  <c r="AH48" i="43"/>
  <c r="AH44" i="43"/>
  <c r="AH24" i="43"/>
  <c r="AH43" i="43"/>
  <c r="AH47" i="43"/>
  <c r="AH17" i="43"/>
  <c r="AH16" i="43"/>
  <c r="AH45" i="43"/>
  <c r="AH15" i="43"/>
  <c r="AH14" i="43"/>
  <c r="AH6" i="43"/>
  <c r="AH12" i="43"/>
  <c r="AH13" i="43"/>
  <c r="AH11" i="43"/>
  <c r="AH10" i="43"/>
  <c r="AH27" i="43"/>
  <c r="AH52" i="43"/>
  <c r="AH9" i="43"/>
  <c r="AH4" i="43"/>
  <c r="AH49" i="43"/>
  <c r="AH8" i="43"/>
  <c r="AH29" i="43"/>
  <c r="AH21" i="43"/>
  <c r="AH28" i="43"/>
  <c r="AH18" i="43"/>
  <c r="AH25" i="43"/>
  <c r="AH46" i="43"/>
  <c r="AH26" i="43"/>
  <c r="AH23" i="43"/>
  <c r="AH22" i="43"/>
  <c r="AH42" i="43"/>
  <c r="AH41" i="43"/>
  <c r="AZ2" i="43"/>
  <c r="AY2" i="43"/>
  <c r="AX2" i="43"/>
  <c r="AW2" i="43"/>
  <c r="AV2" i="43"/>
  <c r="AT2" i="43"/>
  <c r="AS2" i="43"/>
  <c r="AQ2" i="43"/>
  <c r="AH2" i="43"/>
  <c r="Q2" i="43" a="1"/>
  <c r="Q2" i="43" s="1"/>
  <c r="P2" i="43" a="1"/>
  <c r="P2" i="43" s="1"/>
  <c r="O2" i="43"/>
  <c r="N2" i="43"/>
  <c r="D2" i="43"/>
  <c r="AG155" i="42"/>
  <c r="AG154" i="42"/>
  <c r="AG153" i="42"/>
  <c r="AG152" i="42"/>
  <c r="AG151" i="42"/>
  <c r="AG150" i="42"/>
  <c r="AG149" i="42"/>
  <c r="AG148" i="42"/>
  <c r="AG147" i="42"/>
  <c r="AG146" i="42"/>
  <c r="AG145" i="42"/>
  <c r="AG144" i="42"/>
  <c r="AG143" i="42"/>
  <c r="AG142" i="42"/>
  <c r="AG141" i="42"/>
  <c r="AG140" i="42"/>
  <c r="AG139" i="42"/>
  <c r="AG138" i="42"/>
  <c r="AG137" i="42"/>
  <c r="AG136" i="42"/>
  <c r="AG135" i="42"/>
  <c r="AG134" i="42"/>
  <c r="AG133" i="42"/>
  <c r="AG132" i="42"/>
  <c r="AG131" i="42"/>
  <c r="AG130" i="42"/>
  <c r="AG129" i="42"/>
  <c r="AG128" i="42"/>
  <c r="AG127" i="42"/>
  <c r="AG126" i="42"/>
  <c r="AG125" i="42"/>
  <c r="AG124" i="42"/>
  <c r="AG123" i="42"/>
  <c r="AG122" i="42"/>
  <c r="AG121" i="42"/>
  <c r="AG120" i="42"/>
  <c r="AG119" i="42"/>
  <c r="AG118" i="42"/>
  <c r="AG117" i="42"/>
  <c r="AG116" i="42"/>
  <c r="AG115" i="42"/>
  <c r="AG114" i="42"/>
  <c r="AG113" i="42"/>
  <c r="AG112" i="42"/>
  <c r="AG111" i="42"/>
  <c r="AG110" i="42"/>
  <c r="AG109" i="42"/>
  <c r="AG108" i="42"/>
  <c r="AG107" i="42"/>
  <c r="AG106" i="42"/>
  <c r="AG105" i="42"/>
  <c r="AG104" i="42"/>
  <c r="AG103" i="42"/>
  <c r="AG102" i="42"/>
  <c r="AG101" i="42"/>
  <c r="AG100" i="42"/>
  <c r="AG99" i="42"/>
  <c r="AG98" i="42"/>
  <c r="AG97" i="42"/>
  <c r="AG96" i="42"/>
  <c r="AG95" i="42"/>
  <c r="AG94" i="42"/>
  <c r="AG93" i="42"/>
  <c r="AG92" i="42"/>
  <c r="AG91" i="42"/>
  <c r="AG90" i="42"/>
  <c r="AG89" i="42"/>
  <c r="AG88" i="42"/>
  <c r="AG87" i="42"/>
  <c r="AG86" i="42"/>
  <c r="AG85" i="42"/>
  <c r="AG84" i="42"/>
  <c r="AG83" i="42"/>
  <c r="AG82" i="42"/>
  <c r="AG81" i="42"/>
  <c r="AG80" i="42"/>
  <c r="AG79" i="42"/>
  <c r="AG78" i="42"/>
  <c r="AG77" i="42"/>
  <c r="AG76" i="42"/>
  <c r="AG75" i="42"/>
  <c r="AG74" i="42"/>
  <c r="AG73" i="42"/>
  <c r="AG72" i="42"/>
  <c r="AG71" i="42"/>
  <c r="AG70" i="42"/>
  <c r="AG69" i="42"/>
  <c r="AG68" i="42"/>
  <c r="AG67" i="42"/>
  <c r="AG66" i="42"/>
  <c r="AG65" i="42"/>
  <c r="AG64" i="42"/>
  <c r="AG63" i="42"/>
  <c r="AG62" i="42"/>
  <c r="AG61" i="42"/>
  <c r="AG60" i="42"/>
  <c r="AG59" i="42"/>
  <c r="AG58" i="42"/>
  <c r="AG57" i="42"/>
  <c r="AG56" i="42"/>
  <c r="AG55" i="42"/>
  <c r="AG54" i="42"/>
  <c r="AG53" i="42"/>
  <c r="AG52" i="42"/>
  <c r="AG22" i="42"/>
  <c r="AG51" i="42"/>
  <c r="AG50" i="42"/>
  <c r="AG49" i="42"/>
  <c r="AG48" i="42"/>
  <c r="AG47" i="42"/>
  <c r="AG46" i="42"/>
  <c r="AG45" i="42"/>
  <c r="AG44" i="42"/>
  <c r="AG43" i="42"/>
  <c r="AG42" i="42"/>
  <c r="AG41" i="42"/>
  <c r="AG40" i="42"/>
  <c r="AG21" i="42"/>
  <c r="AG18" i="42"/>
  <c r="AG17" i="42"/>
  <c r="AG16" i="42"/>
  <c r="AG15" i="42"/>
  <c r="AG39" i="42"/>
  <c r="AG14" i="42"/>
  <c r="AG13" i="42"/>
  <c r="AG38" i="42"/>
  <c r="AG35" i="42"/>
  <c r="AG12" i="42"/>
  <c r="AG34" i="42"/>
  <c r="AG11" i="42"/>
  <c r="AG9" i="42"/>
  <c r="AG10" i="42"/>
  <c r="AG32" i="42"/>
  <c r="AG31" i="42"/>
  <c r="AG8" i="42"/>
  <c r="AG29" i="42"/>
  <c r="AG28" i="42"/>
  <c r="AG7" i="42"/>
  <c r="AG6" i="42"/>
  <c r="AG27" i="42"/>
  <c r="AG5" i="42"/>
  <c r="AG33" i="42"/>
  <c r="AG26" i="42"/>
  <c r="AG4" i="42"/>
  <c r="AG25" i="42"/>
  <c r="AG24" i="42"/>
  <c r="AG23" i="42"/>
  <c r="AY2" i="42"/>
  <c r="AX2" i="42"/>
  <c r="AW2" i="42"/>
  <c r="AV2" i="42"/>
  <c r="AU2" i="42"/>
  <c r="AS2" i="42"/>
  <c r="AR2" i="42"/>
  <c r="AP2" i="42"/>
  <c r="AG2" i="42"/>
  <c r="Q2" i="42" a="1"/>
  <c r="Q2" i="42" s="1"/>
  <c r="P2" i="42" a="1"/>
  <c r="P2" i="42" s="1"/>
  <c r="O2" i="42"/>
  <c r="N2" i="42"/>
  <c r="D2" i="42"/>
  <c r="AE155" i="41"/>
  <c r="AE154" i="41"/>
  <c r="AE153" i="41"/>
  <c r="AE152" i="41"/>
  <c r="AE151" i="41"/>
  <c r="AE150" i="41"/>
  <c r="AE149" i="41"/>
  <c r="AE148" i="41"/>
  <c r="AE147" i="41"/>
  <c r="AE146" i="41"/>
  <c r="AE145" i="41"/>
  <c r="AE144" i="41"/>
  <c r="AE143" i="41"/>
  <c r="AE142" i="41"/>
  <c r="AE141" i="41"/>
  <c r="AE140" i="41"/>
  <c r="AE139" i="41"/>
  <c r="AE138" i="41"/>
  <c r="AE137" i="41"/>
  <c r="AE136" i="41"/>
  <c r="AE135" i="41"/>
  <c r="AE134" i="41"/>
  <c r="AE133" i="41"/>
  <c r="AE132" i="41"/>
  <c r="AE131" i="41"/>
  <c r="AE130" i="41"/>
  <c r="AE129" i="41"/>
  <c r="AE128" i="41"/>
  <c r="AE127" i="41"/>
  <c r="AE126" i="41"/>
  <c r="AE125" i="41"/>
  <c r="AE124" i="41"/>
  <c r="AE123" i="41"/>
  <c r="AE122" i="41"/>
  <c r="AE121" i="41"/>
  <c r="AE120" i="41"/>
  <c r="AE119" i="41"/>
  <c r="AE118" i="41"/>
  <c r="AE117" i="41"/>
  <c r="AE116" i="41"/>
  <c r="AE115" i="41"/>
  <c r="AE114" i="41"/>
  <c r="AE113" i="41"/>
  <c r="AE112" i="41"/>
  <c r="AE111" i="41"/>
  <c r="AE110" i="41"/>
  <c r="AE109" i="41"/>
  <c r="AE108" i="41"/>
  <c r="AE107" i="41"/>
  <c r="AE106" i="41"/>
  <c r="AE105" i="41"/>
  <c r="AE104" i="41"/>
  <c r="AE103" i="41"/>
  <c r="AE102" i="41"/>
  <c r="AE101" i="41"/>
  <c r="AE100" i="41"/>
  <c r="AE99" i="41"/>
  <c r="AE98" i="41"/>
  <c r="AE97" i="41"/>
  <c r="AE96" i="41"/>
  <c r="AE95" i="41"/>
  <c r="AE94" i="41"/>
  <c r="AE93" i="41"/>
  <c r="AE92" i="41"/>
  <c r="AE91" i="41"/>
  <c r="AE90" i="41"/>
  <c r="AE89" i="41"/>
  <c r="AE88" i="41"/>
  <c r="AE87" i="41"/>
  <c r="AE86" i="41"/>
  <c r="AE85" i="41"/>
  <c r="AE84" i="41"/>
  <c r="AE83" i="41"/>
  <c r="AE82" i="41"/>
  <c r="AE81" i="41"/>
  <c r="AE80" i="41"/>
  <c r="AE79" i="41"/>
  <c r="AE78" i="41"/>
  <c r="AE77" i="41"/>
  <c r="AE76" i="41"/>
  <c r="AE75" i="41"/>
  <c r="AE74" i="41"/>
  <c r="AE73" i="41"/>
  <c r="AE72" i="41"/>
  <c r="AE71" i="41"/>
  <c r="AE70" i="41"/>
  <c r="AE69" i="41"/>
  <c r="AE68" i="41"/>
  <c r="AE67" i="41"/>
  <c r="AE66" i="41"/>
  <c r="AE65" i="41"/>
  <c r="AE64" i="41"/>
  <c r="AE63" i="41"/>
  <c r="AE62" i="41"/>
  <c r="AE61" i="41"/>
  <c r="AE60" i="41"/>
  <c r="AE59" i="41"/>
  <c r="AE58" i="41"/>
  <c r="AE57" i="41"/>
  <c r="AE56" i="41"/>
  <c r="AE55" i="41"/>
  <c r="AE54" i="41"/>
  <c r="AE53" i="41"/>
  <c r="AE52" i="41"/>
  <c r="AE51" i="41"/>
  <c r="AE50" i="41"/>
  <c r="AE49" i="41"/>
  <c r="AE48" i="41"/>
  <c r="AE47" i="41"/>
  <c r="AE46" i="41"/>
  <c r="AE45" i="41"/>
  <c r="AE44" i="41"/>
  <c r="AE43" i="41"/>
  <c r="AE42" i="41"/>
  <c r="AE41" i="41"/>
  <c r="AE40" i="41"/>
  <c r="AE39" i="41"/>
  <c r="AE38" i="41"/>
  <c r="AE35" i="41"/>
  <c r="AE34" i="41"/>
  <c r="AE33" i="41"/>
  <c r="AE32" i="41"/>
  <c r="AE22" i="41"/>
  <c r="AE30" i="41"/>
  <c r="AE29" i="41"/>
  <c r="AE31" i="41"/>
  <c r="AE21" i="41"/>
  <c r="AE24" i="41"/>
  <c r="AE17" i="41"/>
  <c r="AE13" i="41"/>
  <c r="AE12" i="41"/>
  <c r="AE20" i="41"/>
  <c r="AE19" i="41"/>
  <c r="AE18" i="41"/>
  <c r="AE28" i="41"/>
  <c r="AE15" i="41"/>
  <c r="AE14" i="41"/>
  <c r="AE25" i="41"/>
  <c r="AE10" i="41"/>
  <c r="AE11" i="41"/>
  <c r="AE23" i="41"/>
  <c r="AE9" i="41"/>
  <c r="AE8" i="41"/>
  <c r="AE7" i="41"/>
  <c r="AE6" i="41"/>
  <c r="AE5" i="41"/>
  <c r="AE4" i="41"/>
  <c r="A4" i="41"/>
  <c r="A5" i="41" s="1"/>
  <c r="A6" i="41" s="1"/>
  <c r="A7" i="41" s="1"/>
  <c r="A8" i="41" s="1"/>
  <c r="A9" i="41" s="1"/>
  <c r="AW2" i="41"/>
  <c r="AV2" i="41"/>
  <c r="AU2" i="41"/>
  <c r="AT2" i="41"/>
  <c r="AS2" i="41"/>
  <c r="AQ2" i="41"/>
  <c r="AP2" i="41"/>
  <c r="AN2" i="41"/>
  <c r="AE2" i="41"/>
  <c r="Q2" i="41" a="1"/>
  <c r="Q2" i="41" s="1"/>
  <c r="P2" i="41" a="1"/>
  <c r="P2" i="41" s="1"/>
  <c r="O2" i="41"/>
  <c r="N2" i="41"/>
  <c r="D2" i="41"/>
  <c r="P2" i="39" a="1"/>
  <c r="P2" i="39" s="1"/>
  <c r="Q2" i="39" a="1"/>
  <c r="Q2" i="39" s="1"/>
  <c r="A4" i="39"/>
  <c r="A5" i="39" s="1"/>
  <c r="A6" i="39" s="1"/>
  <c r="O2" i="39"/>
  <c r="N2" i="39"/>
  <c r="AE151" i="39"/>
  <c r="AE150" i="39"/>
  <c r="AE149" i="39"/>
  <c r="AE148" i="39"/>
  <c r="AE147" i="39"/>
  <c r="AE146" i="39"/>
  <c r="AE145" i="39"/>
  <c r="AE144" i="39"/>
  <c r="AE143" i="39"/>
  <c r="AE142" i="39"/>
  <c r="AE141" i="39"/>
  <c r="AE140" i="39"/>
  <c r="AE139" i="39"/>
  <c r="AE138" i="39"/>
  <c r="AE137" i="39"/>
  <c r="AE136" i="39"/>
  <c r="AE135" i="39"/>
  <c r="AE134" i="39"/>
  <c r="AE133" i="39"/>
  <c r="AE132" i="39"/>
  <c r="AE131" i="39"/>
  <c r="AE130" i="39"/>
  <c r="AE129" i="39"/>
  <c r="AE128" i="39"/>
  <c r="AE127" i="39"/>
  <c r="AE126" i="39"/>
  <c r="AE125" i="39"/>
  <c r="AE124" i="39"/>
  <c r="AE123" i="39"/>
  <c r="AE122" i="39"/>
  <c r="AE121" i="39"/>
  <c r="AE120" i="39"/>
  <c r="AE119" i="39"/>
  <c r="AE118" i="39"/>
  <c r="AE117" i="39"/>
  <c r="AE116" i="39"/>
  <c r="AE115" i="39"/>
  <c r="AE114" i="39"/>
  <c r="AE113" i="39"/>
  <c r="AE112" i="39"/>
  <c r="AE111" i="39"/>
  <c r="AE110" i="39"/>
  <c r="AE109" i="39"/>
  <c r="AE108" i="39"/>
  <c r="AE107" i="39"/>
  <c r="AE106" i="39"/>
  <c r="AE105" i="39"/>
  <c r="AE104" i="39"/>
  <c r="AE103" i="39"/>
  <c r="AE102" i="39"/>
  <c r="AE101" i="39"/>
  <c r="AE100" i="39"/>
  <c r="AE99" i="39"/>
  <c r="AE98" i="39"/>
  <c r="AE97" i="39"/>
  <c r="AE96" i="39"/>
  <c r="AE95" i="39"/>
  <c r="AE94" i="39"/>
  <c r="AE93" i="39"/>
  <c r="AE92" i="39"/>
  <c r="AE91" i="39"/>
  <c r="AE90" i="39"/>
  <c r="AE89" i="39"/>
  <c r="AE88" i="39"/>
  <c r="AE87" i="39"/>
  <c r="AE86" i="39"/>
  <c r="AE85" i="39"/>
  <c r="AE84" i="39"/>
  <c r="AE83" i="39"/>
  <c r="AE82" i="39"/>
  <c r="AE81" i="39"/>
  <c r="AE80" i="39"/>
  <c r="AE79" i="39"/>
  <c r="AE78" i="39"/>
  <c r="AE77" i="39"/>
  <c r="AE76" i="39"/>
  <c r="AE75" i="39"/>
  <c r="AE74" i="39"/>
  <c r="AE73" i="39"/>
  <c r="AE72" i="39"/>
  <c r="AE71" i="39"/>
  <c r="AE70" i="39"/>
  <c r="AE69" i="39"/>
  <c r="AE68" i="39"/>
  <c r="AE67" i="39"/>
  <c r="AE66" i="39"/>
  <c r="AE65" i="39"/>
  <c r="AE64" i="39"/>
  <c r="AE63" i="39"/>
  <c r="AE62" i="39"/>
  <c r="AE61" i="39"/>
  <c r="AE60" i="39"/>
  <c r="AE59" i="39"/>
  <c r="AE58" i="39"/>
  <c r="AE57" i="39"/>
  <c r="AE56" i="39"/>
  <c r="AE55" i="39"/>
  <c r="AE54" i="39"/>
  <c r="AE53" i="39"/>
  <c r="AE52" i="39"/>
  <c r="AE51" i="39"/>
  <c r="AE50" i="39"/>
  <c r="AE49" i="39"/>
  <c r="AE48" i="39"/>
  <c r="AE47" i="39"/>
  <c r="AE46" i="39"/>
  <c r="AE45" i="39"/>
  <c r="AE44" i="39"/>
  <c r="AE43" i="39"/>
  <c r="AE42" i="39"/>
  <c r="AE41" i="39"/>
  <c r="AE40" i="39"/>
  <c r="AE39" i="39"/>
  <c r="AE38" i="39"/>
  <c r="AE37" i="39"/>
  <c r="AE36" i="39"/>
  <c r="AE23" i="39"/>
  <c r="AE34" i="39"/>
  <c r="AE33" i="39"/>
  <c r="AE32" i="39"/>
  <c r="AE31" i="39"/>
  <c r="AE30" i="39"/>
  <c r="AE29" i="39"/>
  <c r="AE28" i="39"/>
  <c r="AE27" i="39"/>
  <c r="AE12" i="39"/>
  <c r="AE25" i="39"/>
  <c r="AE24" i="39"/>
  <c r="AE7" i="39"/>
  <c r="AE22" i="39"/>
  <c r="AE21" i="39"/>
  <c r="AE20" i="39"/>
  <c r="AE19" i="39"/>
  <c r="AE18" i="39"/>
  <c r="AE17" i="39"/>
  <c r="AE15" i="39"/>
  <c r="AE14" i="39"/>
  <c r="AE13" i="39"/>
  <c r="AE35" i="39"/>
  <c r="AE11" i="39"/>
  <c r="AE10" i="39"/>
  <c r="AE9" i="39"/>
  <c r="AE8" i="39"/>
  <c r="AE26" i="39"/>
  <c r="AE6" i="39"/>
  <c r="AE5" i="39"/>
  <c r="AE4" i="39"/>
  <c r="AW2" i="39"/>
  <c r="AV2" i="39"/>
  <c r="AU2" i="39"/>
  <c r="AT2" i="39"/>
  <c r="AS2" i="39"/>
  <c r="AQ2" i="39"/>
  <c r="AP2" i="39"/>
  <c r="AN2" i="39"/>
  <c r="AE2" i="39"/>
  <c r="D2" i="39"/>
  <c r="F2" i="34"/>
  <c r="E2" i="34"/>
  <c r="AA150" i="38"/>
  <c r="AA149" i="38"/>
  <c r="AA148" i="38"/>
  <c r="AA147" i="38"/>
  <c r="AA146" i="38"/>
  <c r="AA145" i="38"/>
  <c r="AA144" i="38"/>
  <c r="AA143" i="38"/>
  <c r="AA142" i="38"/>
  <c r="AA141" i="38"/>
  <c r="AA140" i="38"/>
  <c r="AA139" i="38"/>
  <c r="AA138" i="38"/>
  <c r="AA137" i="38"/>
  <c r="AA136" i="38"/>
  <c r="AA135" i="38"/>
  <c r="AA134" i="38"/>
  <c r="AA133" i="38"/>
  <c r="AA132" i="38"/>
  <c r="AA131" i="38"/>
  <c r="AA130" i="38"/>
  <c r="AA129" i="38"/>
  <c r="AA128" i="38"/>
  <c r="AA127" i="38"/>
  <c r="AA126" i="38"/>
  <c r="AA125" i="38"/>
  <c r="AA124" i="38"/>
  <c r="AA123" i="38"/>
  <c r="AA122" i="38"/>
  <c r="AA121" i="38"/>
  <c r="AA120" i="38"/>
  <c r="AA119" i="38"/>
  <c r="AA118" i="38"/>
  <c r="AA117" i="38"/>
  <c r="AA116" i="38"/>
  <c r="AA115" i="38"/>
  <c r="AA114" i="38"/>
  <c r="AA113" i="38"/>
  <c r="AA112" i="38"/>
  <c r="AA111" i="38"/>
  <c r="AA110" i="38"/>
  <c r="AA109" i="38"/>
  <c r="AA108" i="38"/>
  <c r="AA107" i="38"/>
  <c r="AA106" i="38"/>
  <c r="AA105" i="38"/>
  <c r="AA104" i="38"/>
  <c r="AA103" i="38"/>
  <c r="AA102" i="38"/>
  <c r="AA101" i="38"/>
  <c r="AA100" i="38"/>
  <c r="AA99" i="38"/>
  <c r="AA98" i="38"/>
  <c r="AA97" i="38"/>
  <c r="AA96" i="38"/>
  <c r="AA95" i="38"/>
  <c r="AA94" i="38"/>
  <c r="AA93" i="38"/>
  <c r="AA92" i="38"/>
  <c r="AA91" i="38"/>
  <c r="AA90" i="38"/>
  <c r="AA89" i="38"/>
  <c r="AA88" i="38"/>
  <c r="AA87" i="38"/>
  <c r="AA86" i="38"/>
  <c r="AA85" i="38"/>
  <c r="AA84" i="38"/>
  <c r="AA83" i="38"/>
  <c r="AA82" i="38"/>
  <c r="AA81" i="38"/>
  <c r="AA80" i="38"/>
  <c r="AA79" i="38"/>
  <c r="AA78" i="38"/>
  <c r="AA77" i="38"/>
  <c r="AA76" i="38"/>
  <c r="AA75" i="38"/>
  <c r="AA74" i="38"/>
  <c r="AA73" i="38"/>
  <c r="AA72" i="38"/>
  <c r="AA71" i="38"/>
  <c r="AA70" i="38"/>
  <c r="AA69" i="38"/>
  <c r="AA68" i="38"/>
  <c r="AA67" i="38"/>
  <c r="AA66" i="38"/>
  <c r="AA65" i="38"/>
  <c r="AA64" i="38"/>
  <c r="AA63" i="38"/>
  <c r="AA62" i="38"/>
  <c r="AA61" i="38"/>
  <c r="AA60" i="38"/>
  <c r="AA59" i="38"/>
  <c r="AA58" i="38"/>
  <c r="AA57" i="38"/>
  <c r="AA56" i="38"/>
  <c r="AA55" i="38"/>
  <c r="AA54" i="38"/>
  <c r="AA53" i="38"/>
  <c r="AA52" i="38"/>
  <c r="AA51" i="38"/>
  <c r="AA50" i="38"/>
  <c r="AA49" i="38"/>
  <c r="AA48" i="38"/>
  <c r="AA47" i="38"/>
  <c r="AA46" i="38"/>
  <c r="AA45" i="38"/>
  <c r="AA44" i="38"/>
  <c r="AA43" i="38"/>
  <c r="AA42" i="38"/>
  <c r="AA41" i="38"/>
  <c r="AA40" i="38"/>
  <c r="AA39" i="38"/>
  <c r="AA38" i="38"/>
  <c r="AA37" i="38"/>
  <c r="AA36" i="38"/>
  <c r="AA35" i="38"/>
  <c r="AA34" i="38"/>
  <c r="AA33" i="38"/>
  <c r="AA32" i="38"/>
  <c r="AA31" i="38"/>
  <c r="AA30" i="38"/>
  <c r="AA29" i="38"/>
  <c r="AA28" i="38"/>
  <c r="AA27" i="38"/>
  <c r="AA26" i="38"/>
  <c r="AA25" i="38"/>
  <c r="AA24" i="38"/>
  <c r="AA23" i="38"/>
  <c r="AA22" i="38"/>
  <c r="AA21" i="38"/>
  <c r="AA20" i="38"/>
  <c r="AA19" i="38"/>
  <c r="AA18" i="38"/>
  <c r="AA17" i="38"/>
  <c r="AA16" i="38"/>
  <c r="AA15" i="38"/>
  <c r="AA14" i="38"/>
  <c r="AA13" i="38"/>
  <c r="AA12" i="38"/>
  <c r="AA11" i="38"/>
  <c r="AA10" i="38"/>
  <c r="AA9" i="38"/>
  <c r="AA8" i="38"/>
  <c r="AA7" i="38"/>
  <c r="AA6" i="38"/>
  <c r="AA5" i="38"/>
  <c r="AA4" i="38"/>
  <c r="AA2" i="38"/>
  <c r="F2" i="38"/>
  <c r="E2" i="38"/>
  <c r="D2" i="38"/>
  <c r="AA150" i="37"/>
  <c r="AA149" i="37"/>
  <c r="AA148" i="37"/>
  <c r="AA147" i="37"/>
  <c r="AA146" i="37"/>
  <c r="AA145" i="37"/>
  <c r="AA144" i="37"/>
  <c r="AA143" i="37"/>
  <c r="AA142" i="37"/>
  <c r="AA141" i="37"/>
  <c r="AA140" i="37"/>
  <c r="AA139" i="37"/>
  <c r="AA138" i="37"/>
  <c r="AA137" i="37"/>
  <c r="AA136" i="37"/>
  <c r="AA135" i="37"/>
  <c r="AA134" i="37"/>
  <c r="AA133" i="37"/>
  <c r="AA132" i="37"/>
  <c r="AA131" i="37"/>
  <c r="AA130" i="37"/>
  <c r="AA129" i="37"/>
  <c r="AA128" i="37"/>
  <c r="AA127" i="37"/>
  <c r="AA126" i="37"/>
  <c r="AA125" i="37"/>
  <c r="AA124" i="37"/>
  <c r="AA123" i="37"/>
  <c r="AA122" i="37"/>
  <c r="AA121" i="37"/>
  <c r="AA120" i="37"/>
  <c r="AA119" i="37"/>
  <c r="AA118" i="37"/>
  <c r="AA117" i="37"/>
  <c r="AA116" i="37"/>
  <c r="AA115" i="37"/>
  <c r="AA114" i="37"/>
  <c r="AA113" i="37"/>
  <c r="AA112" i="37"/>
  <c r="AA111" i="37"/>
  <c r="AA110" i="37"/>
  <c r="AA109" i="37"/>
  <c r="AA108" i="37"/>
  <c r="AA107" i="37"/>
  <c r="AA106" i="37"/>
  <c r="AA105" i="37"/>
  <c r="AA104" i="37"/>
  <c r="AA103" i="37"/>
  <c r="AA102" i="37"/>
  <c r="AA101" i="37"/>
  <c r="AA100" i="37"/>
  <c r="AA99" i="37"/>
  <c r="AA98" i="37"/>
  <c r="AA97" i="37"/>
  <c r="AA96" i="37"/>
  <c r="AA95" i="37"/>
  <c r="AA94" i="37"/>
  <c r="AA93" i="37"/>
  <c r="AA92" i="37"/>
  <c r="AA91" i="37"/>
  <c r="AA90" i="37"/>
  <c r="AA89" i="37"/>
  <c r="AA88" i="37"/>
  <c r="AA87" i="37"/>
  <c r="AA86" i="37"/>
  <c r="AA85" i="37"/>
  <c r="AA84" i="37"/>
  <c r="AA83" i="37"/>
  <c r="AA82" i="37"/>
  <c r="AA81" i="37"/>
  <c r="AA80" i="37"/>
  <c r="AA79" i="37"/>
  <c r="AA78" i="37"/>
  <c r="AA77" i="37"/>
  <c r="AA76" i="37"/>
  <c r="AA75" i="37"/>
  <c r="AA74" i="37"/>
  <c r="AA73" i="37"/>
  <c r="AA72" i="37"/>
  <c r="AA71" i="37"/>
  <c r="AA70" i="37"/>
  <c r="AA69" i="37"/>
  <c r="AA68" i="37"/>
  <c r="AA67" i="37"/>
  <c r="AA66" i="37"/>
  <c r="AA65" i="37"/>
  <c r="AA64" i="37"/>
  <c r="AA63" i="37"/>
  <c r="AA62" i="37"/>
  <c r="AA61" i="37"/>
  <c r="AA60" i="37"/>
  <c r="AA59" i="37"/>
  <c r="AA58" i="37"/>
  <c r="AA57" i="37"/>
  <c r="AA56" i="37"/>
  <c r="AA55" i="37"/>
  <c r="AA54" i="37"/>
  <c r="AA53" i="37"/>
  <c r="AA52" i="37"/>
  <c r="AA51" i="37"/>
  <c r="AA50" i="37"/>
  <c r="AA49" i="37"/>
  <c r="AA48" i="37"/>
  <c r="AA47" i="37"/>
  <c r="AA46" i="37"/>
  <c r="AA45" i="37"/>
  <c r="AA44" i="37"/>
  <c r="AA43" i="37"/>
  <c r="AA42" i="37"/>
  <c r="AA41" i="37"/>
  <c r="AA40" i="37"/>
  <c r="AA39" i="37"/>
  <c r="AA38" i="37"/>
  <c r="AA37" i="37"/>
  <c r="AA36" i="37"/>
  <c r="AA35" i="37"/>
  <c r="AA34" i="37"/>
  <c r="AA33" i="37"/>
  <c r="AA32" i="37"/>
  <c r="AA31" i="37"/>
  <c r="AA30" i="37"/>
  <c r="AA29" i="37"/>
  <c r="AA28" i="37"/>
  <c r="AA27" i="37"/>
  <c r="AA26" i="37"/>
  <c r="AA25" i="37"/>
  <c r="AA24" i="37"/>
  <c r="AA23" i="37"/>
  <c r="AA22" i="37"/>
  <c r="AA21" i="37"/>
  <c r="AA20" i="37"/>
  <c r="AA19" i="37"/>
  <c r="AA18" i="37"/>
  <c r="AA17" i="37"/>
  <c r="AA16" i="37"/>
  <c r="AA15" i="37"/>
  <c r="AA14" i="37"/>
  <c r="AA13" i="37"/>
  <c r="AA12" i="37"/>
  <c r="AA11" i="37"/>
  <c r="AA10" i="37"/>
  <c r="AA9" i="37"/>
  <c r="AA8" i="37"/>
  <c r="AA7" i="37"/>
  <c r="AA6" i="37"/>
  <c r="AA5" i="37"/>
  <c r="AA4" i="37"/>
  <c r="AA2" i="37"/>
  <c r="F2" i="37"/>
  <c r="E2" i="37"/>
  <c r="D2" i="37"/>
  <c r="AA150" i="36"/>
  <c r="AA149" i="36"/>
  <c r="AA148" i="36"/>
  <c r="AA147" i="36"/>
  <c r="AA146" i="36"/>
  <c r="AA145" i="36"/>
  <c r="AA144" i="36"/>
  <c r="AA143" i="36"/>
  <c r="AA142" i="36"/>
  <c r="AA141" i="36"/>
  <c r="AA140" i="36"/>
  <c r="AA139" i="36"/>
  <c r="AA138" i="36"/>
  <c r="AA137" i="36"/>
  <c r="AA136" i="36"/>
  <c r="AA135" i="36"/>
  <c r="AA134" i="36"/>
  <c r="AA133" i="36"/>
  <c r="AA132" i="36"/>
  <c r="AA131" i="36"/>
  <c r="AA130" i="36"/>
  <c r="AA129" i="36"/>
  <c r="AA128" i="36"/>
  <c r="AA127" i="36"/>
  <c r="AA126" i="36"/>
  <c r="AA125" i="36"/>
  <c r="AA124" i="36"/>
  <c r="AA123" i="36"/>
  <c r="AA122" i="36"/>
  <c r="AA121" i="36"/>
  <c r="AA120" i="36"/>
  <c r="AA119" i="36"/>
  <c r="AA118" i="36"/>
  <c r="AA117" i="36"/>
  <c r="AA116" i="36"/>
  <c r="AA115" i="36"/>
  <c r="AA114" i="36"/>
  <c r="AA113" i="36"/>
  <c r="AA112" i="36"/>
  <c r="AA111" i="36"/>
  <c r="AA110" i="36"/>
  <c r="AA109" i="36"/>
  <c r="AA108" i="36"/>
  <c r="AA107" i="36"/>
  <c r="AA106" i="36"/>
  <c r="AA105" i="36"/>
  <c r="AA104" i="36"/>
  <c r="AA103" i="36"/>
  <c r="AA102" i="36"/>
  <c r="AA101" i="36"/>
  <c r="AA100" i="36"/>
  <c r="AA99" i="36"/>
  <c r="AA98" i="36"/>
  <c r="AA97" i="36"/>
  <c r="AA96" i="36"/>
  <c r="AA95" i="36"/>
  <c r="AA94" i="36"/>
  <c r="AA93" i="36"/>
  <c r="AA92" i="36"/>
  <c r="AA91" i="36"/>
  <c r="AA90" i="36"/>
  <c r="AA89" i="36"/>
  <c r="AA88" i="36"/>
  <c r="AA87" i="36"/>
  <c r="AA86" i="36"/>
  <c r="AA85" i="36"/>
  <c r="AA84" i="36"/>
  <c r="AA83" i="36"/>
  <c r="AA82" i="36"/>
  <c r="AA81" i="36"/>
  <c r="AA80" i="36"/>
  <c r="AA79" i="36"/>
  <c r="AA78" i="36"/>
  <c r="AA77" i="36"/>
  <c r="AA76" i="36"/>
  <c r="AA75" i="36"/>
  <c r="AA74" i="36"/>
  <c r="AA73" i="36"/>
  <c r="AA72" i="36"/>
  <c r="AA71" i="36"/>
  <c r="AA70" i="36"/>
  <c r="AA69" i="36"/>
  <c r="AA68" i="36"/>
  <c r="AA67" i="36"/>
  <c r="AA66" i="36"/>
  <c r="AA65" i="36"/>
  <c r="AA64" i="36"/>
  <c r="AA63" i="36"/>
  <c r="AA62" i="36"/>
  <c r="AA61" i="36"/>
  <c r="AA60" i="36"/>
  <c r="AA59" i="36"/>
  <c r="AA58" i="36"/>
  <c r="AA57" i="36"/>
  <c r="AA56" i="36"/>
  <c r="AA55" i="36"/>
  <c r="AA54" i="36"/>
  <c r="AA53" i="36"/>
  <c r="AA52" i="36"/>
  <c r="AA51" i="36"/>
  <c r="AA50" i="36"/>
  <c r="AA49" i="36"/>
  <c r="AA48" i="36"/>
  <c r="AA47" i="36"/>
  <c r="AA46" i="36"/>
  <c r="AA45" i="36"/>
  <c r="AA44" i="36"/>
  <c r="AA43" i="36"/>
  <c r="AA42" i="36"/>
  <c r="AA41" i="36"/>
  <c r="AA40" i="36"/>
  <c r="AA39" i="36"/>
  <c r="AA38" i="36"/>
  <c r="AA37" i="36"/>
  <c r="AA36" i="36"/>
  <c r="AA35" i="36"/>
  <c r="AA34" i="36"/>
  <c r="AA33" i="36"/>
  <c r="AA32" i="36"/>
  <c r="AA31" i="36"/>
  <c r="AA30" i="36"/>
  <c r="AA29" i="36"/>
  <c r="AA28" i="36"/>
  <c r="AA27" i="36"/>
  <c r="AA26" i="36"/>
  <c r="AA25" i="36"/>
  <c r="AA24" i="36"/>
  <c r="AA23" i="36"/>
  <c r="AA22" i="36"/>
  <c r="AA21" i="36"/>
  <c r="AA20" i="36"/>
  <c r="AA19" i="36"/>
  <c r="AA18" i="36"/>
  <c r="AA17" i="36"/>
  <c r="AA16" i="36"/>
  <c r="AA15" i="36"/>
  <c r="AA14" i="36"/>
  <c r="AA13" i="36"/>
  <c r="AA12" i="36"/>
  <c r="AA11" i="36"/>
  <c r="AA10" i="36"/>
  <c r="AA9" i="36"/>
  <c r="AA8" i="36"/>
  <c r="AA7" i="36"/>
  <c r="AA6" i="36"/>
  <c r="AA5" i="36"/>
  <c r="AA4" i="36"/>
  <c r="AA2" i="36"/>
  <c r="F2" i="36"/>
  <c r="E2" i="36"/>
  <c r="D2" i="36"/>
  <c r="AP2" i="34"/>
  <c r="AQ2" i="34"/>
  <c r="AR2" i="34"/>
  <c r="AS2" i="34"/>
  <c r="AO2" i="34"/>
  <c r="D2" i="34"/>
  <c r="AA5" i="34"/>
  <c r="AA6" i="34"/>
  <c r="AA7" i="34"/>
  <c r="AA8" i="34"/>
  <c r="AA9" i="34"/>
  <c r="AA10" i="34"/>
  <c r="AA11" i="34"/>
  <c r="AA12" i="34"/>
  <c r="AA13" i="34"/>
  <c r="AA14" i="34"/>
  <c r="AA15" i="34"/>
  <c r="AA16" i="34"/>
  <c r="AA17" i="34"/>
  <c r="AA18" i="34"/>
  <c r="AA19" i="34"/>
  <c r="AA20" i="34"/>
  <c r="AA21" i="34"/>
  <c r="AA22" i="34"/>
  <c r="AA23" i="34"/>
  <c r="AA24" i="34"/>
  <c r="AA25" i="34"/>
  <c r="AA26" i="34"/>
  <c r="AA27" i="34"/>
  <c r="AA28" i="34"/>
  <c r="AA29" i="34"/>
  <c r="AA30" i="34"/>
  <c r="AA31" i="34"/>
  <c r="AA32" i="34"/>
  <c r="AA33" i="34"/>
  <c r="AA34" i="34"/>
  <c r="AA35" i="34"/>
  <c r="AA36" i="34"/>
  <c r="AA37" i="34"/>
  <c r="AA38" i="34"/>
  <c r="AA39" i="34"/>
  <c r="AA40" i="34"/>
  <c r="AA41" i="34"/>
  <c r="AA42" i="34"/>
  <c r="AA43" i="34"/>
  <c r="AA44" i="34"/>
  <c r="AA45" i="34"/>
  <c r="AA46" i="34"/>
  <c r="AA47" i="34"/>
  <c r="AA48" i="34"/>
  <c r="AA49" i="34"/>
  <c r="AA50" i="34"/>
  <c r="AA51" i="34"/>
  <c r="AA52" i="34"/>
  <c r="AA53" i="34"/>
  <c r="AA54" i="34"/>
  <c r="AA55" i="34"/>
  <c r="AA56" i="34"/>
  <c r="AA57" i="34"/>
  <c r="AA58" i="34"/>
  <c r="AA59" i="34"/>
  <c r="AA60" i="34"/>
  <c r="AA61" i="34"/>
  <c r="AA62" i="34"/>
  <c r="AA63" i="34"/>
  <c r="AA64" i="34"/>
  <c r="AA65" i="34"/>
  <c r="AA66" i="34"/>
  <c r="AA67" i="34"/>
  <c r="AA68" i="34"/>
  <c r="AA69" i="34"/>
  <c r="AA70" i="34"/>
  <c r="AA71" i="34"/>
  <c r="AA72" i="34"/>
  <c r="AA73" i="34"/>
  <c r="AA74" i="34"/>
  <c r="AA75" i="34"/>
  <c r="AA76" i="34"/>
  <c r="AA77" i="34"/>
  <c r="AA78" i="34"/>
  <c r="AA79" i="34"/>
  <c r="AA80" i="34"/>
  <c r="AA81" i="34"/>
  <c r="AA82" i="34"/>
  <c r="AA83" i="34"/>
  <c r="AA84" i="34"/>
  <c r="AA85" i="34"/>
  <c r="AA86" i="34"/>
  <c r="AA87" i="34"/>
  <c r="AA88" i="34"/>
  <c r="AA89" i="34"/>
  <c r="AA90" i="34"/>
  <c r="AA91" i="34"/>
  <c r="AA92" i="34"/>
  <c r="AA93" i="34"/>
  <c r="AA94" i="34"/>
  <c r="AA95" i="34"/>
  <c r="AA96" i="34"/>
  <c r="AA97" i="34"/>
  <c r="AA98" i="34"/>
  <c r="AA99" i="34"/>
  <c r="AA100" i="34"/>
  <c r="AA101" i="34"/>
  <c r="AA102" i="34"/>
  <c r="AA103" i="34"/>
  <c r="AA104" i="34"/>
  <c r="AA105" i="34"/>
  <c r="AA106" i="34"/>
  <c r="AA107" i="34"/>
  <c r="AA108" i="34"/>
  <c r="AA109" i="34"/>
  <c r="AA110" i="34"/>
  <c r="AA111" i="34"/>
  <c r="AA112" i="34"/>
  <c r="AA113" i="34"/>
  <c r="AA114" i="34"/>
  <c r="AA115" i="34"/>
  <c r="AA116" i="34"/>
  <c r="AA117" i="34"/>
  <c r="AA118" i="34"/>
  <c r="AA119" i="34"/>
  <c r="AA120" i="34"/>
  <c r="AA121" i="34"/>
  <c r="AA122" i="34"/>
  <c r="AA123" i="34"/>
  <c r="AA124" i="34"/>
  <c r="AA125" i="34"/>
  <c r="AA126" i="34"/>
  <c r="AA127" i="34"/>
  <c r="AA128" i="34"/>
  <c r="AA129" i="34"/>
  <c r="AA130" i="34"/>
  <c r="AA131" i="34"/>
  <c r="AA132" i="34"/>
  <c r="AA133" i="34"/>
  <c r="AA134" i="34"/>
  <c r="AA135" i="34"/>
  <c r="AA136" i="34"/>
  <c r="AA137" i="34"/>
  <c r="AA138" i="34"/>
  <c r="AA139" i="34"/>
  <c r="AA140" i="34"/>
  <c r="AA141" i="34"/>
  <c r="AA142" i="34"/>
  <c r="AA143" i="34"/>
  <c r="AA144" i="34"/>
  <c r="AA145" i="34"/>
  <c r="AA146" i="34"/>
  <c r="AA147" i="34"/>
  <c r="AA148" i="34"/>
  <c r="AA149" i="34"/>
  <c r="AA150" i="34"/>
  <c r="AJ2" i="34"/>
  <c r="AM2" i="34"/>
  <c r="AL2" i="34"/>
  <c r="O149" i="35"/>
  <c r="O148" i="35"/>
  <c r="O147" i="35"/>
  <c r="O146" i="35"/>
  <c r="O145" i="35"/>
  <c r="O144" i="35"/>
  <c r="O143" i="35"/>
  <c r="O142" i="35"/>
  <c r="O141" i="35"/>
  <c r="O140" i="35"/>
  <c r="O139" i="35"/>
  <c r="O138" i="35"/>
  <c r="O137" i="35"/>
  <c r="O136" i="35"/>
  <c r="O135" i="35"/>
  <c r="O134" i="35"/>
  <c r="O133" i="35"/>
  <c r="O132" i="35"/>
  <c r="O131" i="35"/>
  <c r="O130" i="35"/>
  <c r="O129" i="35"/>
  <c r="O128" i="35"/>
  <c r="O127" i="35"/>
  <c r="O126" i="35"/>
  <c r="O125" i="35"/>
  <c r="O124" i="35"/>
  <c r="O123" i="35"/>
  <c r="O122" i="35"/>
  <c r="O121" i="35"/>
  <c r="O120" i="35"/>
  <c r="O119" i="35"/>
  <c r="O118" i="35"/>
  <c r="O117" i="35"/>
  <c r="O116" i="35"/>
  <c r="O115" i="35"/>
  <c r="O114" i="35"/>
  <c r="O113" i="35"/>
  <c r="O112" i="35"/>
  <c r="O111" i="35"/>
  <c r="O110" i="35"/>
  <c r="O109" i="35"/>
  <c r="O108" i="35"/>
  <c r="O107" i="35"/>
  <c r="O106" i="35"/>
  <c r="O105" i="35"/>
  <c r="O104" i="35"/>
  <c r="O103" i="35"/>
  <c r="O102" i="35"/>
  <c r="O101" i="35"/>
  <c r="O100" i="35"/>
  <c r="O99" i="35"/>
  <c r="O98" i="35"/>
  <c r="O97" i="35"/>
  <c r="O96" i="35"/>
  <c r="O95" i="35"/>
  <c r="O94" i="35"/>
  <c r="O93" i="35"/>
  <c r="O92" i="35"/>
  <c r="O91" i="35"/>
  <c r="O90" i="35"/>
  <c r="O89" i="35"/>
  <c r="O88" i="35"/>
  <c r="O87" i="35"/>
  <c r="O86" i="35"/>
  <c r="O85" i="35"/>
  <c r="O84" i="35"/>
  <c r="O83" i="35"/>
  <c r="O82" i="35"/>
  <c r="O81" i="35"/>
  <c r="O80" i="35"/>
  <c r="O79" i="35"/>
  <c r="O77" i="35"/>
  <c r="O76" i="35"/>
  <c r="O75" i="35"/>
  <c r="O74" i="35"/>
  <c r="O73" i="35"/>
  <c r="O72" i="35"/>
  <c r="O71" i="35"/>
  <c r="O70" i="35"/>
  <c r="O69" i="35"/>
  <c r="O68" i="35"/>
  <c r="O67" i="35"/>
  <c r="O66" i="35"/>
  <c r="O65" i="35"/>
  <c r="O64" i="35"/>
  <c r="O63" i="35"/>
  <c r="O62" i="35"/>
  <c r="O61" i="35"/>
  <c r="O60" i="35"/>
  <c r="O59" i="35"/>
  <c r="O56" i="35"/>
  <c r="H55" i="35"/>
  <c r="O54" i="35"/>
  <c r="O53" i="35"/>
  <c r="H52" i="35"/>
  <c r="O52" i="35" s="1"/>
  <c r="O51" i="35"/>
  <c r="O50" i="35"/>
  <c r="O49" i="35"/>
  <c r="O48" i="35"/>
  <c r="O47" i="35"/>
  <c r="O46" i="35"/>
  <c r="O45" i="35"/>
  <c r="O44" i="35"/>
  <c r="O43" i="35"/>
  <c r="O42" i="35"/>
  <c r="O41" i="35"/>
  <c r="O40" i="35"/>
  <c r="O39" i="35"/>
  <c r="O38" i="35"/>
  <c r="O37" i="35"/>
  <c r="O36" i="35"/>
  <c r="O35" i="35"/>
  <c r="O34" i="35"/>
  <c r="O33" i="35"/>
  <c r="O32" i="35"/>
  <c r="O31" i="35"/>
  <c r="O30" i="35"/>
  <c r="O29" i="35"/>
  <c r="O28" i="35"/>
  <c r="O27" i="35"/>
  <c r="O26" i="35"/>
  <c r="O25" i="35"/>
  <c r="O24" i="35"/>
  <c r="O23" i="35"/>
  <c r="O22" i="35"/>
  <c r="O21" i="35"/>
  <c r="O20" i="35"/>
  <c r="O19" i="35"/>
  <c r="O18" i="35"/>
  <c r="O17" i="35"/>
  <c r="O16" i="35"/>
  <c r="O15" i="35"/>
  <c r="O14" i="35"/>
  <c r="O13" i="35"/>
  <c r="O12" i="35"/>
  <c r="O11" i="35"/>
  <c r="O10" i="35"/>
  <c r="O9" i="35"/>
  <c r="O8" i="35"/>
  <c r="O7" i="35"/>
  <c r="O6" i="35"/>
  <c r="O5" i="35"/>
  <c r="O4" i="35"/>
  <c r="O3" i="35"/>
  <c r="AA4" i="34"/>
  <c r="AA2" i="34" s="1"/>
  <c r="H55" i="33"/>
  <c r="O149" i="33"/>
  <c r="O148" i="33"/>
  <c r="O147" i="33"/>
  <c r="O146" i="33"/>
  <c r="O145" i="33"/>
  <c r="O144" i="33"/>
  <c r="O143" i="33"/>
  <c r="O142" i="33"/>
  <c r="O141" i="33"/>
  <c r="O140" i="33"/>
  <c r="O139" i="33"/>
  <c r="O138" i="33"/>
  <c r="O137" i="33"/>
  <c r="O136" i="33"/>
  <c r="O135" i="33"/>
  <c r="O134" i="33"/>
  <c r="O133" i="33"/>
  <c r="O132" i="33"/>
  <c r="O131" i="33"/>
  <c r="O130" i="33"/>
  <c r="O129" i="33"/>
  <c r="O128" i="33"/>
  <c r="O127" i="33"/>
  <c r="O126" i="33"/>
  <c r="O125" i="33"/>
  <c r="O124" i="33"/>
  <c r="O123" i="33"/>
  <c r="O122" i="33"/>
  <c r="O121" i="33"/>
  <c r="O120" i="33"/>
  <c r="O119" i="33"/>
  <c r="O118" i="33"/>
  <c r="O117" i="33"/>
  <c r="O116" i="33"/>
  <c r="O115" i="33"/>
  <c r="O114" i="33"/>
  <c r="O113" i="33"/>
  <c r="O112" i="33"/>
  <c r="O111" i="33"/>
  <c r="O110" i="33"/>
  <c r="O109" i="33"/>
  <c r="O108" i="33"/>
  <c r="O107" i="33"/>
  <c r="O106" i="33"/>
  <c r="O105" i="33"/>
  <c r="O104" i="33"/>
  <c r="O103" i="33"/>
  <c r="O102" i="33"/>
  <c r="O101" i="33"/>
  <c r="O100" i="33"/>
  <c r="O99" i="33"/>
  <c r="O98" i="33"/>
  <c r="O97" i="33"/>
  <c r="O96" i="33"/>
  <c r="O95" i="33"/>
  <c r="O94" i="33"/>
  <c r="O93" i="33"/>
  <c r="O92" i="33"/>
  <c r="O91" i="33"/>
  <c r="O90" i="33"/>
  <c r="O89" i="33"/>
  <c r="O88" i="33"/>
  <c r="O87" i="33"/>
  <c r="O86" i="33"/>
  <c r="O85" i="33"/>
  <c r="O84" i="33"/>
  <c r="O83" i="33"/>
  <c r="O82" i="33"/>
  <c r="O81" i="33"/>
  <c r="O80" i="33"/>
  <c r="O79" i="33"/>
  <c r="O77" i="33"/>
  <c r="O76" i="33"/>
  <c r="O75" i="33"/>
  <c r="O74" i="33"/>
  <c r="O73" i="33"/>
  <c r="O72" i="33"/>
  <c r="O71" i="33"/>
  <c r="O70" i="33"/>
  <c r="O69" i="33"/>
  <c r="O68" i="33"/>
  <c r="O67" i="33"/>
  <c r="O66" i="33"/>
  <c r="O65" i="33"/>
  <c r="O64" i="33"/>
  <c r="O63" i="33"/>
  <c r="O62" i="33"/>
  <c r="O61" i="33"/>
  <c r="O60" i="33"/>
  <c r="O59" i="33"/>
  <c r="O56" i="33"/>
  <c r="O54" i="33"/>
  <c r="O53" i="33"/>
  <c r="H52" i="33"/>
  <c r="O52" i="33" s="1"/>
  <c r="O51" i="33"/>
  <c r="O50" i="33"/>
  <c r="O49" i="33"/>
  <c r="O48" i="33"/>
  <c r="O47" i="33"/>
  <c r="O46" i="33"/>
  <c r="O45" i="33"/>
  <c r="O44" i="33"/>
  <c r="O43" i="33"/>
  <c r="O42" i="33"/>
  <c r="O41" i="33"/>
  <c r="O40" i="33"/>
  <c r="O39" i="33"/>
  <c r="O38" i="33"/>
  <c r="O37" i="33"/>
  <c r="O36" i="33"/>
  <c r="O35" i="33"/>
  <c r="O34" i="33"/>
  <c r="O33" i="33"/>
  <c r="O32" i="33"/>
  <c r="O31" i="33"/>
  <c r="O30" i="33"/>
  <c r="O29" i="33"/>
  <c r="O28" i="33"/>
  <c r="O27" i="33"/>
  <c r="O26" i="33"/>
  <c r="O25" i="33"/>
  <c r="O24" i="33"/>
  <c r="O23" i="33"/>
  <c r="O22" i="33"/>
  <c r="O21" i="33"/>
  <c r="O20" i="33"/>
  <c r="O19" i="33"/>
  <c r="O18" i="33"/>
  <c r="O17" i="33"/>
  <c r="O16" i="33"/>
  <c r="O15" i="33"/>
  <c r="O14" i="33"/>
  <c r="O13" i="33"/>
  <c r="O12" i="33"/>
  <c r="O11" i="33"/>
  <c r="O10" i="33"/>
  <c r="O9" i="33"/>
  <c r="O8" i="33"/>
  <c r="O7" i="33"/>
  <c r="O6" i="33"/>
  <c r="O5" i="33"/>
  <c r="O4" i="33"/>
  <c r="O3" i="33"/>
  <c r="O148" i="32"/>
  <c r="O147" i="32"/>
  <c r="O146" i="32"/>
  <c r="O145" i="32"/>
  <c r="O144" i="32"/>
  <c r="O143" i="32"/>
  <c r="O142" i="32"/>
  <c r="O141" i="32"/>
  <c r="O140" i="32"/>
  <c r="O139" i="32"/>
  <c r="O138" i="32"/>
  <c r="O137" i="32"/>
  <c r="O136" i="32"/>
  <c r="O135" i="32"/>
  <c r="O134" i="32"/>
  <c r="O133" i="32"/>
  <c r="O132" i="32"/>
  <c r="O131" i="32"/>
  <c r="O130" i="32"/>
  <c r="O129" i="32"/>
  <c r="O128" i="32"/>
  <c r="O127" i="32"/>
  <c r="O126" i="32"/>
  <c r="O125" i="32"/>
  <c r="O124" i="32"/>
  <c r="O123" i="32"/>
  <c r="O122" i="32"/>
  <c r="O121" i="32"/>
  <c r="O120" i="32"/>
  <c r="O119" i="32"/>
  <c r="O118" i="32"/>
  <c r="O117" i="32"/>
  <c r="O116" i="32"/>
  <c r="O115" i="32"/>
  <c r="O114" i="32"/>
  <c r="O113" i="32"/>
  <c r="O112" i="32"/>
  <c r="O111" i="32"/>
  <c r="O110" i="32"/>
  <c r="O109" i="32"/>
  <c r="O108" i="32"/>
  <c r="O107" i="32"/>
  <c r="O106" i="32"/>
  <c r="O105" i="32"/>
  <c r="O104" i="32"/>
  <c r="O103" i="32"/>
  <c r="O102" i="32"/>
  <c r="O101" i="32"/>
  <c r="O100" i="32"/>
  <c r="O99" i="32"/>
  <c r="O98" i="32"/>
  <c r="O97" i="32"/>
  <c r="O96" i="32"/>
  <c r="O95" i="32"/>
  <c r="O94" i="32"/>
  <c r="O93" i="32"/>
  <c r="O92" i="32"/>
  <c r="O91" i="32"/>
  <c r="O90" i="32"/>
  <c r="O89" i="32"/>
  <c r="O88" i="32"/>
  <c r="O87" i="32"/>
  <c r="O86" i="32"/>
  <c r="O85" i="32"/>
  <c r="O84" i="32"/>
  <c r="O83" i="32"/>
  <c r="O82" i="32"/>
  <c r="O81" i="32"/>
  <c r="O80" i="32"/>
  <c r="O79" i="32"/>
  <c r="O78" i="32"/>
  <c r="O76" i="32"/>
  <c r="O75" i="32"/>
  <c r="O74" i="32"/>
  <c r="O73" i="32"/>
  <c r="O72" i="32"/>
  <c r="O71" i="32"/>
  <c r="O70" i="32"/>
  <c r="O69" i="32"/>
  <c r="O68" i="32"/>
  <c r="O67" i="32"/>
  <c r="O66" i="32"/>
  <c r="O65" i="32"/>
  <c r="O64" i="32"/>
  <c r="O63" i="32"/>
  <c r="O62" i="32"/>
  <c r="O61" i="32"/>
  <c r="O60" i="32"/>
  <c r="O59" i="32"/>
  <c r="O58" i="32"/>
  <c r="O55" i="32"/>
  <c r="O54" i="32"/>
  <c r="O53" i="32"/>
  <c r="H52" i="32"/>
  <c r="O52" i="32" s="1"/>
  <c r="O51" i="32"/>
  <c r="O50" i="32"/>
  <c r="O49" i="32"/>
  <c r="O48" i="32"/>
  <c r="O47" i="32"/>
  <c r="O46" i="32"/>
  <c r="O45" i="32"/>
  <c r="O44" i="32"/>
  <c r="O43" i="32"/>
  <c r="O42" i="32"/>
  <c r="O41" i="32"/>
  <c r="O40" i="32"/>
  <c r="O39" i="32"/>
  <c r="O38" i="32"/>
  <c r="O37" i="32"/>
  <c r="O36" i="32"/>
  <c r="O35" i="32"/>
  <c r="O34" i="32"/>
  <c r="O33" i="32"/>
  <c r="O32" i="32"/>
  <c r="O31" i="32"/>
  <c r="O30" i="32"/>
  <c r="O29" i="32"/>
  <c r="O28" i="32"/>
  <c r="O27" i="32"/>
  <c r="O26" i="32"/>
  <c r="O25" i="32"/>
  <c r="O24" i="32"/>
  <c r="O23" i="32"/>
  <c r="O22" i="32"/>
  <c r="O21" i="32"/>
  <c r="O20" i="32"/>
  <c r="O19" i="32"/>
  <c r="O18" i="32"/>
  <c r="O17" i="32"/>
  <c r="O16" i="32"/>
  <c r="O15" i="32"/>
  <c r="O14" i="32"/>
  <c r="O13" i="32"/>
  <c r="O12" i="32"/>
  <c r="O11" i="32"/>
  <c r="O10" i="32"/>
  <c r="O9" i="32"/>
  <c r="O8" i="32"/>
  <c r="O7" i="32"/>
  <c r="O6" i="32"/>
  <c r="O5" i="32"/>
  <c r="O4" i="32"/>
  <c r="O3" i="32"/>
  <c r="O147" i="31"/>
  <c r="O146" i="31"/>
  <c r="O145" i="31"/>
  <c r="O144" i="31"/>
  <c r="O143" i="31"/>
  <c r="O142" i="31"/>
  <c r="O141" i="31"/>
  <c r="O140" i="31"/>
  <c r="O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O95" i="31"/>
  <c r="O94" i="31"/>
  <c r="O93" i="31"/>
  <c r="O92" i="31"/>
  <c r="O91" i="31"/>
  <c r="O90" i="31"/>
  <c r="O89" i="31"/>
  <c r="O88" i="31"/>
  <c r="O87" i="31"/>
  <c r="O86" i="31"/>
  <c r="O85" i="31"/>
  <c r="O84" i="31"/>
  <c r="O83" i="31"/>
  <c r="O82" i="31"/>
  <c r="O81" i="31"/>
  <c r="O80" i="31"/>
  <c r="O79" i="31"/>
  <c r="O78" i="31"/>
  <c r="O77" i="31"/>
  <c r="O75" i="31"/>
  <c r="O74" i="31"/>
  <c r="O73" i="31"/>
  <c r="O72" i="31"/>
  <c r="O71" i="31"/>
  <c r="O70" i="31"/>
  <c r="O69" i="31"/>
  <c r="O68" i="31"/>
  <c r="O67" i="31"/>
  <c r="O66" i="31"/>
  <c r="O65" i="31"/>
  <c r="O64" i="31"/>
  <c r="O63" i="31"/>
  <c r="O62" i="31"/>
  <c r="O61" i="31"/>
  <c r="O60" i="31"/>
  <c r="O59" i="31"/>
  <c r="O58" i="31"/>
  <c r="O57" i="31"/>
  <c r="O55" i="31"/>
  <c r="O54" i="31"/>
  <c r="O53" i="31"/>
  <c r="H52" i="31"/>
  <c r="O52" i="31" s="1"/>
  <c r="O51" i="31"/>
  <c r="O50" i="31"/>
  <c r="O49" i="31"/>
  <c r="O48" i="31"/>
  <c r="O47" i="31"/>
  <c r="O46" i="31"/>
  <c r="O45" i="31"/>
  <c r="O44" i="31"/>
  <c r="O43" i="31"/>
  <c r="O42" i="31"/>
  <c r="O41" i="31"/>
  <c r="O40" i="31"/>
  <c r="O39" i="31"/>
  <c r="O38" i="31"/>
  <c r="O37" i="31"/>
  <c r="O36" i="31"/>
  <c r="O35" i="31"/>
  <c r="O34" i="31"/>
  <c r="O33" i="31"/>
  <c r="O32" i="31"/>
  <c r="O31" i="31"/>
  <c r="O30" i="31"/>
  <c r="O29" i="31"/>
  <c r="O28" i="31"/>
  <c r="O27" i="31"/>
  <c r="O26" i="31"/>
  <c r="O25" i="31"/>
  <c r="O24" i="31"/>
  <c r="O23" i="31"/>
  <c r="O22" i="31"/>
  <c r="O21" i="31"/>
  <c r="O20" i="31"/>
  <c r="O19" i="31"/>
  <c r="O18" i="31"/>
  <c r="O17" i="31"/>
  <c r="O16" i="31"/>
  <c r="O15" i="31"/>
  <c r="O14" i="31"/>
  <c r="O13" i="31"/>
  <c r="O12" i="31"/>
  <c r="O11" i="31"/>
  <c r="O10" i="31"/>
  <c r="O9" i="31"/>
  <c r="O8" i="31"/>
  <c r="O7" i="31"/>
  <c r="O6" i="31"/>
  <c r="O5" i="31"/>
  <c r="O4" i="31"/>
  <c r="O3" i="31"/>
  <c r="O148" i="30"/>
  <c r="O147" i="30"/>
  <c r="O146" i="30"/>
  <c r="O145" i="30"/>
  <c r="O144" i="30"/>
  <c r="O143" i="30"/>
  <c r="O142" i="30"/>
  <c r="O141" i="30"/>
  <c r="O140" i="30"/>
  <c r="O139" i="30"/>
  <c r="O138" i="30"/>
  <c r="O137" i="30"/>
  <c r="O136" i="30"/>
  <c r="O135" i="30"/>
  <c r="O134" i="30"/>
  <c r="O133" i="30"/>
  <c r="O132" i="30"/>
  <c r="O131" i="30"/>
  <c r="O130" i="30"/>
  <c r="O129" i="30"/>
  <c r="O128" i="30"/>
  <c r="O127" i="30"/>
  <c r="O126" i="30"/>
  <c r="O125" i="30"/>
  <c r="O124" i="30"/>
  <c r="O123" i="30"/>
  <c r="O122" i="30"/>
  <c r="O121" i="30"/>
  <c r="O120" i="30"/>
  <c r="O119" i="30"/>
  <c r="O118" i="30"/>
  <c r="O117" i="30"/>
  <c r="O116" i="30"/>
  <c r="O115" i="30"/>
  <c r="O114" i="30"/>
  <c r="O113" i="30"/>
  <c r="O112" i="30"/>
  <c r="O111" i="30"/>
  <c r="O110" i="30"/>
  <c r="O109" i="30"/>
  <c r="O108" i="30"/>
  <c r="O107" i="30"/>
  <c r="O106" i="30"/>
  <c r="O105" i="30"/>
  <c r="O104" i="30"/>
  <c r="O103" i="30"/>
  <c r="O102" i="30"/>
  <c r="O101" i="30"/>
  <c r="O100" i="30"/>
  <c r="O99" i="30"/>
  <c r="O98" i="30"/>
  <c r="O97" i="30"/>
  <c r="O96" i="30"/>
  <c r="O95" i="30"/>
  <c r="O94" i="30"/>
  <c r="O93" i="30"/>
  <c r="O92" i="30"/>
  <c r="O91" i="30"/>
  <c r="O90" i="30"/>
  <c r="O89" i="30"/>
  <c r="O88" i="30"/>
  <c r="O87" i="30"/>
  <c r="O86" i="30"/>
  <c r="O85" i="30"/>
  <c r="O84" i="30"/>
  <c r="O83" i="30"/>
  <c r="O82" i="30"/>
  <c r="O81" i="30"/>
  <c r="O80" i="30"/>
  <c r="O79" i="30"/>
  <c r="O78" i="30"/>
  <c r="O76" i="30"/>
  <c r="O75" i="30"/>
  <c r="O74" i="30"/>
  <c r="O73" i="30"/>
  <c r="O72" i="30"/>
  <c r="O71" i="30"/>
  <c r="O70" i="30"/>
  <c r="O69" i="30"/>
  <c r="O68" i="30"/>
  <c r="O67" i="30"/>
  <c r="O66" i="30"/>
  <c r="O65" i="30"/>
  <c r="O64" i="30"/>
  <c r="O63" i="30"/>
  <c r="O62" i="30"/>
  <c r="O61" i="30"/>
  <c r="O60" i="30"/>
  <c r="O59" i="30"/>
  <c r="O58" i="30"/>
  <c r="O55" i="30"/>
  <c r="O54" i="30"/>
  <c r="O53" i="30"/>
  <c r="H52" i="30"/>
  <c r="O52" i="30" s="1"/>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3" i="30"/>
  <c r="O147" i="29"/>
  <c r="O146" i="29"/>
  <c r="O145" i="29"/>
  <c r="O144" i="29"/>
  <c r="O143" i="29"/>
  <c r="O142" i="29"/>
  <c r="O141" i="29"/>
  <c r="O140" i="29"/>
  <c r="O139" i="29"/>
  <c r="O138" i="29"/>
  <c r="O137" i="29"/>
  <c r="O136" i="29"/>
  <c r="O135" i="29"/>
  <c r="O134" i="29"/>
  <c r="O133" i="29"/>
  <c r="O132" i="29"/>
  <c r="O131" i="29"/>
  <c r="O130" i="29"/>
  <c r="O129" i="29"/>
  <c r="O128" i="29"/>
  <c r="O127" i="29"/>
  <c r="O126" i="29"/>
  <c r="O125" i="29"/>
  <c r="O124" i="29"/>
  <c r="O123" i="29"/>
  <c r="O122" i="29"/>
  <c r="O121" i="29"/>
  <c r="O120" i="29"/>
  <c r="O119" i="29"/>
  <c r="O118" i="29"/>
  <c r="O117" i="29"/>
  <c r="O116" i="29"/>
  <c r="O115" i="29"/>
  <c r="O114" i="29"/>
  <c r="O113" i="29"/>
  <c r="O112" i="29"/>
  <c r="O111" i="29"/>
  <c r="O110" i="29"/>
  <c r="O109" i="29"/>
  <c r="O108" i="29"/>
  <c r="O107" i="29"/>
  <c r="O106" i="29"/>
  <c r="O105" i="29"/>
  <c r="O104" i="29"/>
  <c r="O103" i="29"/>
  <c r="O102" i="29"/>
  <c r="O101" i="29"/>
  <c r="O100" i="29"/>
  <c r="O99" i="29"/>
  <c r="O98" i="29"/>
  <c r="O97" i="29"/>
  <c r="O96" i="29"/>
  <c r="O95" i="29"/>
  <c r="O94" i="29"/>
  <c r="O93" i="29"/>
  <c r="O92" i="29"/>
  <c r="O91" i="29"/>
  <c r="O90" i="29"/>
  <c r="O89" i="29"/>
  <c r="O88" i="29"/>
  <c r="O87" i="29"/>
  <c r="O86" i="29"/>
  <c r="O85" i="29"/>
  <c r="O84" i="29"/>
  <c r="O83" i="29"/>
  <c r="O82" i="29"/>
  <c r="O81" i="29"/>
  <c r="O80" i="29"/>
  <c r="O79" i="29"/>
  <c r="O78" i="29"/>
  <c r="O77" i="29"/>
  <c r="O75" i="29"/>
  <c r="O74" i="29"/>
  <c r="O73" i="29"/>
  <c r="O72" i="29"/>
  <c r="O71" i="29"/>
  <c r="O70" i="29"/>
  <c r="O69" i="29"/>
  <c r="O68" i="29"/>
  <c r="O67" i="29"/>
  <c r="O66" i="29"/>
  <c r="O65" i="29"/>
  <c r="O64" i="29"/>
  <c r="O63" i="29"/>
  <c r="O62" i="29"/>
  <c r="O61" i="29"/>
  <c r="O60" i="29"/>
  <c r="O59" i="29"/>
  <c r="O58" i="29"/>
  <c r="O57" i="29"/>
  <c r="O55" i="29"/>
  <c r="O54" i="29"/>
  <c r="O53" i="29"/>
  <c r="H52" i="29"/>
  <c r="O52" i="29" s="1"/>
  <c r="O51" i="29"/>
  <c r="O50" i="29"/>
  <c r="O49" i="29"/>
  <c r="O48" i="29"/>
  <c r="O47" i="29"/>
  <c r="O46" i="29"/>
  <c r="O45" i="29"/>
  <c r="O44" i="29"/>
  <c r="O43" i="29"/>
  <c r="O42" i="29"/>
  <c r="O41" i="29"/>
  <c r="O40" i="29"/>
  <c r="O39" i="29"/>
  <c r="O38" i="29"/>
  <c r="O37" i="29"/>
  <c r="O36" i="29"/>
  <c r="O35" i="29"/>
  <c r="O34" i="29"/>
  <c r="O33" i="29"/>
  <c r="O32" i="29"/>
  <c r="O31" i="29"/>
  <c r="O30" i="29"/>
  <c r="O29" i="29"/>
  <c r="O28" i="29"/>
  <c r="O27" i="29"/>
  <c r="O26" i="29"/>
  <c r="O25" i="29"/>
  <c r="O24" i="29"/>
  <c r="O23" i="29"/>
  <c r="O22" i="29"/>
  <c r="O21" i="29"/>
  <c r="O20" i="29"/>
  <c r="O19" i="29"/>
  <c r="O18" i="29"/>
  <c r="O17" i="29"/>
  <c r="O16" i="29"/>
  <c r="O15" i="29"/>
  <c r="O14" i="29"/>
  <c r="O13" i="29"/>
  <c r="O12" i="29"/>
  <c r="O11" i="29"/>
  <c r="O10" i="29"/>
  <c r="O9" i="29"/>
  <c r="O8" i="29"/>
  <c r="O7" i="29"/>
  <c r="O6" i="29"/>
  <c r="O5" i="29"/>
  <c r="O4" i="29"/>
  <c r="O3" i="29"/>
  <c r="O54" i="28"/>
  <c r="O55" i="28"/>
  <c r="O146" i="28"/>
  <c r="O145" i="28"/>
  <c r="O144" i="28"/>
  <c r="O143" i="28"/>
  <c r="O142" i="28"/>
  <c r="O141" i="28"/>
  <c r="O140" i="28"/>
  <c r="O139" i="28"/>
  <c r="O138" i="28"/>
  <c r="O137" i="28"/>
  <c r="O136" i="28"/>
  <c r="O135" i="28"/>
  <c r="O134" i="28"/>
  <c r="O133" i="28"/>
  <c r="O132" i="28"/>
  <c r="O131" i="28"/>
  <c r="O130" i="28"/>
  <c r="O129" i="28"/>
  <c r="O128" i="28"/>
  <c r="O127" i="28"/>
  <c r="O126" i="28"/>
  <c r="O125" i="28"/>
  <c r="O124" i="28"/>
  <c r="O123" i="28"/>
  <c r="O122" i="28"/>
  <c r="O121" i="28"/>
  <c r="O120" i="28"/>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O78" i="28"/>
  <c r="O77" i="28"/>
  <c r="O76" i="28"/>
  <c r="O74" i="28"/>
  <c r="O73" i="28"/>
  <c r="O72" i="28"/>
  <c r="O71" i="28"/>
  <c r="O70" i="28"/>
  <c r="O69" i="28"/>
  <c r="O68" i="28"/>
  <c r="O67" i="28"/>
  <c r="O66" i="28"/>
  <c r="O65" i="28"/>
  <c r="O64" i="28"/>
  <c r="O63" i="28"/>
  <c r="O62" i="28"/>
  <c r="O61" i="28"/>
  <c r="O60" i="28"/>
  <c r="O59" i="28"/>
  <c r="O58" i="28"/>
  <c r="O57" i="28"/>
  <c r="O56" i="28"/>
  <c r="O53" i="28"/>
  <c r="H52" i="28"/>
  <c r="O52" i="28" s="1"/>
  <c r="O51" i="28"/>
  <c r="O50" i="28"/>
  <c r="O49" i="28"/>
  <c r="O48" i="28"/>
  <c r="O47" i="28"/>
  <c r="O46" i="28"/>
  <c r="O45" i="28"/>
  <c r="O44" i="28"/>
  <c r="O43" i="28"/>
  <c r="O42" i="28"/>
  <c r="O41" i="28"/>
  <c r="O40" i="28"/>
  <c r="O39" i="28"/>
  <c r="O38" i="28"/>
  <c r="O37" i="28"/>
  <c r="O36" i="28"/>
  <c r="O35" i="28"/>
  <c r="O34" i="28"/>
  <c r="O33" i="28"/>
  <c r="O32" i="28"/>
  <c r="O31" i="28"/>
  <c r="O30" i="28"/>
  <c r="O29" i="28"/>
  <c r="O28" i="28"/>
  <c r="O27" i="28"/>
  <c r="O26" i="28"/>
  <c r="O25" i="28"/>
  <c r="O24" i="28"/>
  <c r="O23" i="28"/>
  <c r="O22" i="28"/>
  <c r="O21" i="28"/>
  <c r="O20" i="28"/>
  <c r="O19" i="28"/>
  <c r="O18" i="28"/>
  <c r="O17" i="28"/>
  <c r="O16" i="28"/>
  <c r="O15" i="28"/>
  <c r="O14" i="28"/>
  <c r="O13" i="28"/>
  <c r="O12" i="28"/>
  <c r="O11" i="28"/>
  <c r="O10" i="28"/>
  <c r="O9" i="28"/>
  <c r="O8" i="28"/>
  <c r="O7" i="28"/>
  <c r="O6" i="28"/>
  <c r="O5" i="28"/>
  <c r="O4" i="28"/>
  <c r="O3" i="28"/>
  <c r="O144" i="27"/>
  <c r="O143" i="27"/>
  <c r="O142" i="27"/>
  <c r="O141" i="27"/>
  <c r="O140" i="27"/>
  <c r="O139" i="27"/>
  <c r="O138" i="27"/>
  <c r="O137" i="27"/>
  <c r="O136" i="27"/>
  <c r="O135" i="27"/>
  <c r="O134" i="27"/>
  <c r="O133" i="27"/>
  <c r="O132" i="27"/>
  <c r="O131" i="27"/>
  <c r="O130" i="27"/>
  <c r="O129" i="27"/>
  <c r="O128" i="27"/>
  <c r="O127" i="27"/>
  <c r="O126" i="27"/>
  <c r="O125" i="27"/>
  <c r="O124" i="27"/>
  <c r="O123" i="27"/>
  <c r="O122" i="27"/>
  <c r="O121" i="27"/>
  <c r="O120" i="27"/>
  <c r="O119" i="27"/>
  <c r="O118" i="27"/>
  <c r="O117" i="27"/>
  <c r="O116" i="27"/>
  <c r="O115" i="27"/>
  <c r="O114" i="27"/>
  <c r="O113" i="27"/>
  <c r="O112" i="27"/>
  <c r="O111" i="27"/>
  <c r="O110" i="27"/>
  <c r="O109" i="27"/>
  <c r="O108" i="27"/>
  <c r="O107" i="27"/>
  <c r="O106" i="27"/>
  <c r="O105" i="27"/>
  <c r="O104" i="27"/>
  <c r="O103" i="27"/>
  <c r="O102" i="27"/>
  <c r="O101" i="27"/>
  <c r="O100" i="27"/>
  <c r="O99" i="27"/>
  <c r="O98" i="27"/>
  <c r="O97" i="27"/>
  <c r="O96" i="27"/>
  <c r="O95" i="27"/>
  <c r="O94" i="27"/>
  <c r="O93" i="27"/>
  <c r="O92" i="27"/>
  <c r="O91" i="27"/>
  <c r="O90" i="27"/>
  <c r="O89" i="27"/>
  <c r="O88" i="27"/>
  <c r="O87" i="27"/>
  <c r="O86" i="27"/>
  <c r="O85" i="27"/>
  <c r="O84" i="27"/>
  <c r="O83" i="27"/>
  <c r="O82" i="27"/>
  <c r="O81" i="27"/>
  <c r="O80" i="27"/>
  <c r="O79" i="27"/>
  <c r="O78" i="27"/>
  <c r="O77" i="27"/>
  <c r="O76" i="27"/>
  <c r="O75" i="27"/>
  <c r="O74" i="27"/>
  <c r="O33" i="27"/>
  <c r="H52" i="27"/>
  <c r="O52" i="27" s="1"/>
  <c r="O53" i="27"/>
  <c r="O69" i="27"/>
  <c r="O72" i="27"/>
  <c r="O71" i="27"/>
  <c r="O70" i="27"/>
  <c r="O17" i="27"/>
  <c r="O68" i="27"/>
  <c r="O67" i="27"/>
  <c r="O66" i="27"/>
  <c r="O65" i="27"/>
  <c r="O64" i="27"/>
  <c r="O63" i="27"/>
  <c r="O61" i="27"/>
  <c r="O62" i="27"/>
  <c r="O60" i="27"/>
  <c r="O59" i="27"/>
  <c r="O58" i="27"/>
  <c r="O19" i="27"/>
  <c r="O57" i="27"/>
  <c r="O56" i="27"/>
  <c r="O55" i="27"/>
  <c r="O54" i="27"/>
  <c r="O51" i="27"/>
  <c r="O50" i="27"/>
  <c r="O49" i="27"/>
  <c r="O48" i="27"/>
  <c r="O47" i="27"/>
  <c r="O46" i="27"/>
  <c r="O45" i="27"/>
  <c r="O44" i="27"/>
  <c r="O43" i="27"/>
  <c r="O42" i="27"/>
  <c r="O41" i="27"/>
  <c r="O40" i="27"/>
  <c r="O39" i="27"/>
  <c r="O38" i="27"/>
  <c r="O37" i="27"/>
  <c r="O36" i="27"/>
  <c r="O35" i="27"/>
  <c r="O34" i="27"/>
  <c r="O32" i="27"/>
  <c r="O31" i="27"/>
  <c r="O30" i="27"/>
  <c r="O29" i="27"/>
  <c r="O28" i="27"/>
  <c r="O27" i="27"/>
  <c r="O26" i="27"/>
  <c r="O25" i="27"/>
  <c r="O24" i="27"/>
  <c r="O23" i="27"/>
  <c r="O22" i="27"/>
  <c r="O20" i="27"/>
  <c r="O18" i="27"/>
  <c r="O4" i="27"/>
  <c r="O16" i="27"/>
  <c r="O15" i="27"/>
  <c r="O14" i="27"/>
  <c r="O13" i="27"/>
  <c r="O12" i="27"/>
  <c r="O11" i="27"/>
  <c r="O10" i="27"/>
  <c r="O9" i="27"/>
  <c r="O8" i="27"/>
  <c r="O7" i="27"/>
  <c r="O6" i="27"/>
  <c r="O5" i="27"/>
  <c r="O21" i="27"/>
  <c r="O3" i="27"/>
  <c r="O12" i="26"/>
  <c r="O143" i="26"/>
  <c r="O142" i="26"/>
  <c r="O141" i="26"/>
  <c r="O140" i="26"/>
  <c r="O139" i="26"/>
  <c r="O138" i="26"/>
  <c r="O137" i="26"/>
  <c r="O136" i="26"/>
  <c r="O135" i="26"/>
  <c r="O134" i="26"/>
  <c r="O133" i="26"/>
  <c r="O132" i="26"/>
  <c r="O131" i="26"/>
  <c r="O130" i="26"/>
  <c r="O129" i="26"/>
  <c r="O128" i="26"/>
  <c r="O127" i="26"/>
  <c r="O126" i="26"/>
  <c r="O125" i="26"/>
  <c r="O124" i="26"/>
  <c r="O123" i="26"/>
  <c r="O122" i="26"/>
  <c r="O121" i="26"/>
  <c r="O120" i="26"/>
  <c r="O119" i="26"/>
  <c r="O118" i="26"/>
  <c r="O117" i="26"/>
  <c r="O116" i="26"/>
  <c r="O115" i="26"/>
  <c r="O114" i="26"/>
  <c r="O113" i="26"/>
  <c r="O112" i="26"/>
  <c r="O111" i="26"/>
  <c r="O110" i="26"/>
  <c r="O109" i="26"/>
  <c r="O108" i="26"/>
  <c r="O107" i="26"/>
  <c r="O106" i="26"/>
  <c r="O105" i="26"/>
  <c r="O104" i="26"/>
  <c r="O103" i="26"/>
  <c r="O102" i="26"/>
  <c r="O101" i="26"/>
  <c r="O100" i="26"/>
  <c r="O99" i="26"/>
  <c r="O98" i="26"/>
  <c r="O97" i="26"/>
  <c r="O96" i="26"/>
  <c r="O95" i="26"/>
  <c r="O94" i="26"/>
  <c r="O93" i="26"/>
  <c r="O92" i="26"/>
  <c r="O91" i="26"/>
  <c r="O90" i="26"/>
  <c r="O89" i="26"/>
  <c r="O88" i="26"/>
  <c r="O87" i="26"/>
  <c r="O86" i="26"/>
  <c r="O85" i="26"/>
  <c r="O84" i="26"/>
  <c r="O83" i="26"/>
  <c r="O82" i="26"/>
  <c r="O81" i="26"/>
  <c r="O80" i="26"/>
  <c r="O79" i="26"/>
  <c r="O78" i="26"/>
  <c r="O77" i="26"/>
  <c r="O76" i="26"/>
  <c r="O75" i="26"/>
  <c r="O74" i="26"/>
  <c r="O73" i="26"/>
  <c r="O72" i="26"/>
  <c r="H71" i="26"/>
  <c r="O71" i="26" s="1"/>
  <c r="O70" i="26"/>
  <c r="O69" i="26"/>
  <c r="O68" i="26"/>
  <c r="O67" i="26"/>
  <c r="O66" i="26"/>
  <c r="O65" i="26"/>
  <c r="O64" i="26"/>
  <c r="O63" i="26"/>
  <c r="O62" i="26"/>
  <c r="O61" i="26"/>
  <c r="O60" i="26"/>
  <c r="O59" i="26"/>
  <c r="O58" i="26"/>
  <c r="O57" i="26"/>
  <c r="O56" i="26"/>
  <c r="O55" i="26"/>
  <c r="O54" i="26"/>
  <c r="O53" i="26"/>
  <c r="O52" i="26"/>
  <c r="O51" i="26"/>
  <c r="O50" i="26"/>
  <c r="O49" i="26"/>
  <c r="O48" i="26"/>
  <c r="O47" i="26"/>
  <c r="O46" i="26"/>
  <c r="O45" i="26"/>
  <c r="O44" i="26"/>
  <c r="O43" i="26"/>
  <c r="O42" i="26"/>
  <c r="O41" i="26"/>
  <c r="O40" i="26"/>
  <c r="O39" i="26"/>
  <c r="O38" i="26"/>
  <c r="O37" i="26"/>
  <c r="O36" i="26"/>
  <c r="O35" i="26"/>
  <c r="O34" i="26"/>
  <c r="O33" i="26"/>
  <c r="O32" i="26"/>
  <c r="O31" i="26"/>
  <c r="O30" i="26"/>
  <c r="O29" i="26"/>
  <c r="O28" i="26"/>
  <c r="O27" i="26"/>
  <c r="O26" i="26"/>
  <c r="O25" i="26"/>
  <c r="O24" i="26"/>
  <c r="O23" i="26"/>
  <c r="O22" i="26"/>
  <c r="O21" i="26"/>
  <c r="O20" i="26"/>
  <c r="O4" i="26"/>
  <c r="O19" i="26"/>
  <c r="O18" i="26"/>
  <c r="O16" i="26"/>
  <c r="O15" i="26"/>
  <c r="O14" i="26"/>
  <c r="O13" i="26"/>
  <c r="O11" i="26"/>
  <c r="O10" i="26"/>
  <c r="O9" i="26"/>
  <c r="O8" i="26"/>
  <c r="O7" i="26"/>
  <c r="O6" i="26"/>
  <c r="O5" i="26"/>
  <c r="O17" i="26"/>
  <c r="O3" i="26"/>
  <c r="H70" i="25"/>
  <c r="O142" i="25"/>
  <c r="O141" i="25"/>
  <c r="O140" i="25"/>
  <c r="O139" i="25"/>
  <c r="O138" i="25"/>
  <c r="O137" i="25"/>
  <c r="O136" i="25"/>
  <c r="O135" i="25"/>
  <c r="O134" i="25"/>
  <c r="O133" i="25"/>
  <c r="O132" i="25"/>
  <c r="O131" i="25"/>
  <c r="O130" i="25"/>
  <c r="O129" i="25"/>
  <c r="O128" i="25"/>
  <c r="O127" i="25"/>
  <c r="O126" i="25"/>
  <c r="O125" i="25"/>
  <c r="O124" i="25"/>
  <c r="O123" i="25"/>
  <c r="O122" i="25"/>
  <c r="O121" i="25"/>
  <c r="O120" i="25"/>
  <c r="O119" i="25"/>
  <c r="O118" i="25"/>
  <c r="O117" i="25"/>
  <c r="O116" i="25"/>
  <c r="O115" i="25"/>
  <c r="O114" i="25"/>
  <c r="O113" i="25"/>
  <c r="O112" i="25"/>
  <c r="O111" i="25"/>
  <c r="O110" i="25"/>
  <c r="O109" i="25"/>
  <c r="O108" i="25"/>
  <c r="O107" i="25"/>
  <c r="O106" i="25"/>
  <c r="O105" i="25"/>
  <c r="O104" i="25"/>
  <c r="O103" i="25"/>
  <c r="O102" i="25"/>
  <c r="O101" i="25"/>
  <c r="O100" i="25"/>
  <c r="O99" i="25"/>
  <c r="O98" i="25"/>
  <c r="O97" i="25"/>
  <c r="O96" i="25"/>
  <c r="O95" i="25"/>
  <c r="O94" i="25"/>
  <c r="O93" i="25"/>
  <c r="O92" i="25"/>
  <c r="O91" i="25"/>
  <c r="O90" i="25"/>
  <c r="O89" i="25"/>
  <c r="O88" i="25"/>
  <c r="O87" i="25"/>
  <c r="O86" i="25"/>
  <c r="O85" i="25"/>
  <c r="O84" i="25"/>
  <c r="O83" i="25"/>
  <c r="O82" i="25"/>
  <c r="O81" i="25"/>
  <c r="O80" i="25"/>
  <c r="O79" i="25"/>
  <c r="O78" i="25"/>
  <c r="O77" i="25"/>
  <c r="O76" i="25"/>
  <c r="O75" i="25"/>
  <c r="O74" i="25"/>
  <c r="O73" i="25"/>
  <c r="O72" i="25"/>
  <c r="O71" i="25"/>
  <c r="O70" i="25"/>
  <c r="O69" i="25"/>
  <c r="O68" i="25"/>
  <c r="O67" i="25"/>
  <c r="O66" i="25"/>
  <c r="O65" i="25"/>
  <c r="O64" i="25"/>
  <c r="O63" i="25"/>
  <c r="O62" i="25"/>
  <c r="O61" i="25"/>
  <c r="O60" i="25"/>
  <c r="O59" i="25"/>
  <c r="O58" i="25"/>
  <c r="O57" i="25"/>
  <c r="O56" i="25"/>
  <c r="O55" i="25"/>
  <c r="O54" i="25"/>
  <c r="O53" i="25"/>
  <c r="O52" i="25"/>
  <c r="O51" i="25"/>
  <c r="O50" i="25"/>
  <c r="O49" i="25"/>
  <c r="O48" i="25"/>
  <c r="O47" i="25"/>
  <c r="O46" i="25"/>
  <c r="O45" i="25"/>
  <c r="O44" i="25"/>
  <c r="O43" i="25"/>
  <c r="O42" i="25"/>
  <c r="O41" i="25"/>
  <c r="O40" i="25"/>
  <c r="O39" i="25"/>
  <c r="O38" i="25"/>
  <c r="O37" i="25"/>
  <c r="O36" i="25"/>
  <c r="O35" i="25"/>
  <c r="O34" i="25"/>
  <c r="O33" i="25"/>
  <c r="O32" i="25"/>
  <c r="O31" i="25"/>
  <c r="O30" i="25"/>
  <c r="O29" i="25"/>
  <c r="O28" i="25"/>
  <c r="O27" i="25"/>
  <c r="O26" i="25"/>
  <c r="O25" i="25"/>
  <c r="O24" i="25"/>
  <c r="O23" i="25"/>
  <c r="O22" i="25"/>
  <c r="O21" i="25"/>
  <c r="O20" i="25"/>
  <c r="O19" i="25"/>
  <c r="O18" i="25"/>
  <c r="O17" i="25"/>
  <c r="O16" i="25"/>
  <c r="O15" i="25"/>
  <c r="O14" i="25"/>
  <c r="O13" i="25"/>
  <c r="O12" i="25"/>
  <c r="O11" i="25"/>
  <c r="O10" i="25"/>
  <c r="O9" i="25"/>
  <c r="O8" i="25"/>
  <c r="O7" i="25"/>
  <c r="O6" i="25"/>
  <c r="O5" i="25"/>
  <c r="O4" i="25"/>
  <c r="O3" i="25"/>
  <c r="O142" i="24"/>
  <c r="O141" i="24"/>
  <c r="O140" i="24"/>
  <c r="O139" i="24"/>
  <c r="O138" i="24"/>
  <c r="O137" i="24"/>
  <c r="O136" i="24"/>
  <c r="O135" i="24"/>
  <c r="O134" i="24"/>
  <c r="O133" i="24"/>
  <c r="O132" i="24"/>
  <c r="O131" i="24"/>
  <c r="O130" i="24"/>
  <c r="O129" i="24"/>
  <c r="O128" i="24"/>
  <c r="O127" i="24"/>
  <c r="O126" i="24"/>
  <c r="O125" i="24"/>
  <c r="O124" i="24"/>
  <c r="O123" i="24"/>
  <c r="O122" i="24"/>
  <c r="O121" i="24"/>
  <c r="O120" i="24"/>
  <c r="O119" i="24"/>
  <c r="O118" i="24"/>
  <c r="O117" i="24"/>
  <c r="O116" i="24"/>
  <c r="O115" i="24"/>
  <c r="O114" i="24"/>
  <c r="O113" i="24"/>
  <c r="O112" i="24"/>
  <c r="O111" i="24"/>
  <c r="O110" i="24"/>
  <c r="O109" i="24"/>
  <c r="O108" i="24"/>
  <c r="O107" i="24"/>
  <c r="O106" i="24"/>
  <c r="O105" i="24"/>
  <c r="O104" i="24"/>
  <c r="O103" i="24"/>
  <c r="O102" i="24"/>
  <c r="O101" i="24"/>
  <c r="O100" i="24"/>
  <c r="O99" i="24"/>
  <c r="O98" i="24"/>
  <c r="O97" i="24"/>
  <c r="O96" i="24"/>
  <c r="O95" i="24"/>
  <c r="O94" i="24"/>
  <c r="O93" i="24"/>
  <c r="O92" i="24"/>
  <c r="O91" i="24"/>
  <c r="O90" i="24"/>
  <c r="O89" i="24"/>
  <c r="O88" i="24"/>
  <c r="O87" i="24"/>
  <c r="O86" i="24"/>
  <c r="O85" i="24"/>
  <c r="O84" i="24"/>
  <c r="O83" i="24"/>
  <c r="O82" i="24"/>
  <c r="O81" i="24"/>
  <c r="O80" i="24"/>
  <c r="O79" i="24"/>
  <c r="O78" i="24"/>
  <c r="O77" i="24"/>
  <c r="O76" i="24"/>
  <c r="O75" i="24"/>
  <c r="O74" i="24"/>
  <c r="O73" i="24"/>
  <c r="O72" i="24"/>
  <c r="O71" i="24"/>
  <c r="O70" i="24"/>
  <c r="O69" i="24"/>
  <c r="O68" i="24"/>
  <c r="O67" i="24"/>
  <c r="O66" i="24"/>
  <c r="O65" i="24"/>
  <c r="O64" i="24"/>
  <c r="O63" i="24"/>
  <c r="O62" i="24"/>
  <c r="O61" i="24"/>
  <c r="O60" i="24"/>
  <c r="O59" i="24"/>
  <c r="O58" i="24"/>
  <c r="O57" i="24"/>
  <c r="O56" i="24"/>
  <c r="O55" i="24"/>
  <c r="O54" i="24"/>
  <c r="O53" i="24"/>
  <c r="O52" i="24"/>
  <c r="O51" i="24"/>
  <c r="O50" i="24"/>
  <c r="O49" i="24"/>
  <c r="O48" i="24"/>
  <c r="O47" i="24"/>
  <c r="O46" i="24"/>
  <c r="O45" i="24"/>
  <c r="O44" i="24"/>
  <c r="O43" i="24"/>
  <c r="O42" i="24"/>
  <c r="O41" i="24"/>
  <c r="O40" i="24"/>
  <c r="O39" i="24"/>
  <c r="O38" i="24"/>
  <c r="O37" i="24"/>
  <c r="O36" i="24"/>
  <c r="O35" i="24"/>
  <c r="O34" i="24"/>
  <c r="O33" i="24"/>
  <c r="O32" i="24"/>
  <c r="O31" i="24"/>
  <c r="O30" i="24"/>
  <c r="O29" i="24"/>
  <c r="O28" i="24"/>
  <c r="O27" i="24"/>
  <c r="O26" i="24"/>
  <c r="O25" i="24"/>
  <c r="O24" i="24"/>
  <c r="O23" i="24"/>
  <c r="O22" i="24"/>
  <c r="O21" i="24"/>
  <c r="O20" i="24"/>
  <c r="O19" i="24"/>
  <c r="O18" i="24"/>
  <c r="O17" i="24"/>
  <c r="O16" i="24"/>
  <c r="O15" i="24"/>
  <c r="O14" i="24"/>
  <c r="O13" i="24"/>
  <c r="O12" i="24"/>
  <c r="O11" i="24"/>
  <c r="O10" i="24"/>
  <c r="O9" i="24"/>
  <c r="O8" i="24"/>
  <c r="O7" i="24"/>
  <c r="O6" i="24"/>
  <c r="O5" i="24"/>
  <c r="O4" i="24"/>
  <c r="O3" i="24"/>
  <c r="O142" i="23"/>
  <c r="O141" i="23"/>
  <c r="O140" i="23"/>
  <c r="O139" i="23"/>
  <c r="O138" i="23"/>
  <c r="O137" i="23"/>
  <c r="O136" i="23"/>
  <c r="O135" i="23"/>
  <c r="O134" i="23"/>
  <c r="O133" i="23"/>
  <c r="O132" i="23"/>
  <c r="O131" i="23"/>
  <c r="O130" i="23"/>
  <c r="O129" i="23"/>
  <c r="O128" i="23"/>
  <c r="O127" i="23"/>
  <c r="O126" i="23"/>
  <c r="O125" i="23"/>
  <c r="O124" i="23"/>
  <c r="O123" i="23"/>
  <c r="O122" i="23"/>
  <c r="O121" i="23"/>
  <c r="O120" i="23"/>
  <c r="O119" i="23"/>
  <c r="O118" i="23"/>
  <c r="O117" i="23"/>
  <c r="O116" i="23"/>
  <c r="O115" i="23"/>
  <c r="O114" i="23"/>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3" i="23"/>
  <c r="O82"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O48" i="23"/>
  <c r="O47" i="23"/>
  <c r="O46" i="23"/>
  <c r="O45" i="23"/>
  <c r="O44" i="23"/>
  <c r="O43" i="23"/>
  <c r="O42" i="23"/>
  <c r="O41" i="23"/>
  <c r="O40" i="23"/>
  <c r="O39" i="23"/>
  <c r="O38" i="23"/>
  <c r="O37" i="23"/>
  <c r="O36" i="23"/>
  <c r="O35" i="23"/>
  <c r="O34" i="23"/>
  <c r="O33" i="23"/>
  <c r="O32" i="23"/>
  <c r="O31" i="23"/>
  <c r="O30" i="23"/>
  <c r="O29" i="23"/>
  <c r="O28" i="23"/>
  <c r="O27" i="23"/>
  <c r="O26" i="23"/>
  <c r="O25" i="23"/>
  <c r="O24" i="23"/>
  <c r="O23" i="23"/>
  <c r="O22" i="23"/>
  <c r="O21" i="23"/>
  <c r="O20" i="23"/>
  <c r="O19" i="23"/>
  <c r="O18" i="23"/>
  <c r="O17" i="23"/>
  <c r="O16" i="23"/>
  <c r="O15" i="23"/>
  <c r="O14" i="23"/>
  <c r="O13" i="23"/>
  <c r="O12" i="23"/>
  <c r="O11" i="23"/>
  <c r="O10" i="23"/>
  <c r="O9" i="23"/>
  <c r="O8" i="23"/>
  <c r="O7" i="23"/>
  <c r="O6" i="23"/>
  <c r="O5" i="23"/>
  <c r="O4" i="23"/>
  <c r="O3" i="23"/>
  <c r="O142" i="22"/>
  <c r="O141" i="22"/>
  <c r="O140" i="22"/>
  <c r="O139" i="22"/>
  <c r="O138" i="22"/>
  <c r="O137" i="22"/>
  <c r="O136" i="22"/>
  <c r="O135" i="22"/>
  <c r="O134" i="22"/>
  <c r="O133" i="22"/>
  <c r="O132" i="22"/>
  <c r="O131" i="22"/>
  <c r="O130" i="22"/>
  <c r="O129" i="22"/>
  <c r="O128" i="22"/>
  <c r="O127" i="22"/>
  <c r="O126" i="22"/>
  <c r="O125" i="22"/>
  <c r="O124" i="22"/>
  <c r="O123" i="22"/>
  <c r="O122" i="22"/>
  <c r="O121" i="22"/>
  <c r="O120" i="22"/>
  <c r="O119" i="22"/>
  <c r="O118" i="22"/>
  <c r="O117" i="22"/>
  <c r="O116" i="22"/>
  <c r="O115" i="22"/>
  <c r="O114" i="22"/>
  <c r="O113" i="22"/>
  <c r="O112" i="22"/>
  <c r="O111" i="22"/>
  <c r="O110" i="22"/>
  <c r="O109" i="22"/>
  <c r="O108" i="22"/>
  <c r="O107" i="22"/>
  <c r="O106" i="22"/>
  <c r="O105" i="22"/>
  <c r="O104" i="22"/>
  <c r="O103" i="22"/>
  <c r="O102" i="22"/>
  <c r="O101" i="22"/>
  <c r="O100" i="22"/>
  <c r="O99" i="22"/>
  <c r="O98" i="22"/>
  <c r="O97" i="22"/>
  <c r="O96" i="22"/>
  <c r="O95" i="22"/>
  <c r="O94" i="22"/>
  <c r="O93" i="22"/>
  <c r="O92" i="22"/>
  <c r="O91" i="22"/>
  <c r="O90" i="22"/>
  <c r="O89" i="22"/>
  <c r="O88" i="22"/>
  <c r="O87" i="22"/>
  <c r="O86" i="22"/>
  <c r="O85" i="22"/>
  <c r="O84" i="22"/>
  <c r="O83" i="22"/>
  <c r="O82" i="22"/>
  <c r="O81" i="22"/>
  <c r="O80" i="22"/>
  <c r="O79" i="22"/>
  <c r="O78" i="22"/>
  <c r="O77" i="22"/>
  <c r="O76" i="22"/>
  <c r="O75" i="22"/>
  <c r="O74" i="22"/>
  <c r="O73" i="22"/>
  <c r="O72" i="22"/>
  <c r="O71" i="22"/>
  <c r="O70" i="22"/>
  <c r="O69" i="22"/>
  <c r="O68" i="22"/>
  <c r="O67" i="22"/>
  <c r="O66" i="22"/>
  <c r="O65" i="22"/>
  <c r="O64" i="22"/>
  <c r="O63" i="22"/>
  <c r="O62" i="22"/>
  <c r="O61" i="22"/>
  <c r="O60" i="22"/>
  <c r="O59" i="22"/>
  <c r="O58" i="22"/>
  <c r="O57" i="22"/>
  <c r="O56" i="22"/>
  <c r="O55" i="22"/>
  <c r="O54" i="22"/>
  <c r="O53" i="22"/>
  <c r="O52" i="22"/>
  <c r="O51" i="22"/>
  <c r="O50" i="22"/>
  <c r="O49" i="22"/>
  <c r="O48" i="22"/>
  <c r="O47" i="22"/>
  <c r="O46" i="22"/>
  <c r="O45" i="22"/>
  <c r="O44" i="22"/>
  <c r="O43" i="22"/>
  <c r="O42" i="22"/>
  <c r="O41" i="22"/>
  <c r="O40" i="22"/>
  <c r="O39" i="22"/>
  <c r="O38" i="22"/>
  <c r="O37" i="22"/>
  <c r="O36" i="22"/>
  <c r="O35" i="22"/>
  <c r="O34" i="22"/>
  <c r="O33" i="22"/>
  <c r="O32" i="22"/>
  <c r="O31" i="22"/>
  <c r="O30" i="22"/>
  <c r="O29" i="22"/>
  <c r="O28" i="22"/>
  <c r="O27" i="22"/>
  <c r="O26" i="22"/>
  <c r="O25" i="22"/>
  <c r="O24" i="22"/>
  <c r="O23" i="22"/>
  <c r="O22" i="22"/>
  <c r="O21" i="22"/>
  <c r="O20" i="22"/>
  <c r="O19" i="22"/>
  <c r="O18" i="22"/>
  <c r="O17" i="22"/>
  <c r="O16" i="22"/>
  <c r="O15" i="22"/>
  <c r="O14" i="22"/>
  <c r="O13" i="22"/>
  <c r="O12" i="22"/>
  <c r="O11" i="22"/>
  <c r="O10" i="22"/>
  <c r="O9" i="22"/>
  <c r="O8" i="22"/>
  <c r="O7" i="22"/>
  <c r="O6" i="22"/>
  <c r="O5" i="22"/>
  <c r="O4" i="22"/>
  <c r="O3" i="22"/>
  <c r="O142" i="21"/>
  <c r="O141" i="21"/>
  <c r="O140" i="21"/>
  <c r="O139" i="21"/>
  <c r="O138" i="21"/>
  <c r="O137" i="21"/>
  <c r="O136" i="21"/>
  <c r="O135" i="21"/>
  <c r="O134" i="21"/>
  <c r="O133" i="21"/>
  <c r="O132" i="21"/>
  <c r="O131" i="21"/>
  <c r="O130" i="21"/>
  <c r="O129" i="21"/>
  <c r="O128" i="21"/>
  <c r="O127" i="21"/>
  <c r="O126" i="21"/>
  <c r="O125" i="21"/>
  <c r="O124" i="21"/>
  <c r="O123" i="21"/>
  <c r="O122" i="21"/>
  <c r="O121" i="21"/>
  <c r="O120" i="21"/>
  <c r="O119" i="21"/>
  <c r="O118" i="21"/>
  <c r="O117" i="21"/>
  <c r="O116" i="21"/>
  <c r="O115" i="21"/>
  <c r="O114" i="21"/>
  <c r="O113" i="21"/>
  <c r="O112" i="21"/>
  <c r="O111" i="21"/>
  <c r="O110" i="21"/>
  <c r="O109" i="21"/>
  <c r="O108" i="21"/>
  <c r="O107" i="21"/>
  <c r="O106" i="21"/>
  <c r="O105" i="21"/>
  <c r="O104" i="21"/>
  <c r="O103" i="21"/>
  <c r="O102" i="21"/>
  <c r="O101" i="21"/>
  <c r="O100" i="21"/>
  <c r="O99" i="21"/>
  <c r="O98" i="21"/>
  <c r="O97" i="21"/>
  <c r="O96" i="21"/>
  <c r="O95" i="21"/>
  <c r="O94" i="21"/>
  <c r="O93" i="21"/>
  <c r="O92" i="21"/>
  <c r="O91" i="21"/>
  <c r="O90" i="21"/>
  <c r="O89" i="21"/>
  <c r="O88" i="21"/>
  <c r="O87" i="21"/>
  <c r="O86" i="21"/>
  <c r="O85" i="21"/>
  <c r="O84" i="21"/>
  <c r="O83" i="21"/>
  <c r="O82" i="21"/>
  <c r="O81" i="21"/>
  <c r="O80" i="21"/>
  <c r="O79" i="21"/>
  <c r="O78" i="21"/>
  <c r="O77" i="21"/>
  <c r="O76" i="21"/>
  <c r="O75" i="21"/>
  <c r="O74" i="21"/>
  <c r="O73" i="21"/>
  <c r="O72" i="21"/>
  <c r="O71" i="21"/>
  <c r="O70" i="21"/>
  <c r="O69" i="21"/>
  <c r="O68" i="21"/>
  <c r="O22" i="21"/>
  <c r="O28" i="21"/>
  <c r="O51" i="21"/>
  <c r="O13" i="21"/>
  <c r="O15" i="21"/>
  <c r="O14" i="21"/>
  <c r="O11" i="21"/>
  <c r="O12" i="21"/>
  <c r="O10" i="21"/>
  <c r="O23" i="21"/>
  <c r="O30" i="21"/>
  <c r="O63" i="21"/>
  <c r="O53" i="21"/>
  <c r="O52" i="21"/>
  <c r="O66" i="21"/>
  <c r="O25" i="21"/>
  <c r="O60" i="21"/>
  <c r="O61" i="21"/>
  <c r="O24" i="21"/>
  <c r="O8" i="21"/>
  <c r="O20" i="21"/>
  <c r="O58" i="21"/>
  <c r="O57" i="21"/>
  <c r="O44" i="21"/>
  <c r="O67" i="21"/>
  <c r="O6" i="21"/>
  <c r="O64" i="21"/>
  <c r="O46" i="21"/>
  <c r="O47" i="21"/>
  <c r="O38" i="21"/>
  <c r="O33" i="21"/>
  <c r="O36" i="21"/>
  <c r="O35" i="21"/>
  <c r="O54" i="21"/>
  <c r="O39" i="21"/>
  <c r="O26" i="21"/>
  <c r="O21" i="21"/>
  <c r="O43" i="21"/>
  <c r="O59" i="21"/>
  <c r="O48" i="21"/>
  <c r="O32" i="21"/>
  <c r="O4" i="21"/>
  <c r="O56" i="21"/>
  <c r="O18" i="21"/>
  <c r="O42" i="21"/>
  <c r="O65" i="21"/>
  <c r="O37" i="21"/>
  <c r="O50" i="21"/>
  <c r="O31" i="21"/>
  <c r="O55" i="21"/>
  <c r="O49" i="21"/>
  <c r="O17" i="21"/>
  <c r="O16" i="21"/>
  <c r="O62" i="21"/>
  <c r="O40" i="21"/>
  <c r="O5" i="21"/>
  <c r="O9" i="21"/>
  <c r="O19" i="21"/>
  <c r="O41" i="21"/>
  <c r="O34" i="21"/>
  <c r="O7" i="21"/>
  <c r="O45" i="21"/>
  <c r="O29" i="21"/>
  <c r="O3" i="21"/>
  <c r="O27" i="21"/>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25" i="19"/>
  <c r="O26" i="19"/>
  <c r="O27" i="19"/>
  <c r="O28" i="19"/>
  <c r="O29" i="19"/>
  <c r="O30" i="19"/>
  <c r="O31" i="19"/>
  <c r="O32"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4" i="19"/>
  <c r="N248" i="20"/>
  <c r="N245" i="20"/>
  <c r="N242" i="20"/>
  <c r="N239" i="20"/>
  <c r="N236" i="20"/>
  <c r="N233" i="20"/>
  <c r="N230" i="20"/>
  <c r="N227" i="20"/>
  <c r="N224" i="20"/>
  <c r="N221" i="20"/>
  <c r="N218" i="20"/>
  <c r="N215" i="20"/>
  <c r="N212" i="20"/>
  <c r="N209" i="20"/>
  <c r="N206" i="20"/>
  <c r="N203" i="20"/>
  <c r="N200" i="20"/>
  <c r="N197" i="20"/>
  <c r="N194" i="20"/>
  <c r="N191" i="20"/>
  <c r="N188" i="20"/>
  <c r="N185" i="20"/>
  <c r="N182" i="20"/>
  <c r="N179" i="20"/>
  <c r="N176" i="20"/>
  <c r="N173" i="20"/>
  <c r="N170" i="20"/>
  <c r="N167" i="20"/>
  <c r="N164" i="20"/>
  <c r="N161" i="20"/>
  <c r="N158" i="20"/>
  <c r="N155" i="20"/>
  <c r="N152" i="20"/>
  <c r="N149" i="20"/>
  <c r="N146" i="20"/>
  <c r="N143" i="20"/>
  <c r="N140" i="20"/>
  <c r="N137" i="20"/>
  <c r="N134" i="20"/>
  <c r="N131" i="20"/>
  <c r="N128" i="20"/>
  <c r="N125" i="20"/>
  <c r="N122" i="20"/>
  <c r="N119" i="20"/>
  <c r="N116" i="20"/>
  <c r="N113" i="20"/>
  <c r="N110" i="20"/>
  <c r="N107" i="20"/>
  <c r="N104" i="20"/>
  <c r="N101" i="20"/>
  <c r="N98" i="20"/>
  <c r="N95" i="20"/>
  <c r="N92" i="20"/>
  <c r="N89" i="20"/>
  <c r="N86" i="20"/>
  <c r="N83" i="20"/>
  <c r="N80" i="20"/>
  <c r="N77" i="20"/>
  <c r="N74" i="20"/>
  <c r="N71" i="20"/>
  <c r="N68" i="20"/>
  <c r="N65" i="20"/>
  <c r="N62" i="20"/>
  <c r="N59" i="20"/>
  <c r="N56" i="20"/>
  <c r="N53" i="20"/>
  <c r="N50" i="20"/>
  <c r="N47" i="20"/>
  <c r="N45" i="20"/>
  <c r="N42" i="20"/>
  <c r="N39" i="20"/>
  <c r="N36" i="20"/>
  <c r="N33" i="20"/>
  <c r="N30" i="20"/>
  <c r="N27" i="20"/>
  <c r="N24" i="20"/>
  <c r="N21" i="20"/>
  <c r="N18" i="20"/>
  <c r="N15" i="20"/>
  <c r="N12" i="20"/>
  <c r="N9" i="20"/>
  <c r="N6" i="20"/>
  <c r="N3" i="20"/>
  <c r="O80" i="19"/>
  <c r="O24" i="19"/>
  <c r="O23" i="19"/>
  <c r="O22" i="19"/>
  <c r="O21" i="19"/>
  <c r="O20" i="19"/>
  <c r="O19" i="19"/>
  <c r="O18" i="19"/>
  <c r="O17" i="19"/>
  <c r="O16" i="19"/>
  <c r="O15" i="19"/>
  <c r="O14" i="19"/>
  <c r="O13" i="19"/>
  <c r="O12" i="19"/>
  <c r="O11" i="19"/>
  <c r="O10" i="19"/>
  <c r="O9" i="19"/>
  <c r="O8" i="19"/>
  <c r="O7" i="19"/>
  <c r="O6" i="19"/>
  <c r="O5" i="19"/>
  <c r="O3" i="19"/>
  <c r="M134" i="17"/>
  <c r="M248" i="17"/>
  <c r="M245" i="17"/>
  <c r="M242" i="17"/>
  <c r="M239" i="17"/>
  <c r="M236" i="17"/>
  <c r="M233" i="17"/>
  <c r="M230" i="17"/>
  <c r="M227" i="17"/>
  <c r="M224" i="17"/>
  <c r="M221" i="17"/>
  <c r="M218" i="17"/>
  <c r="M215" i="17"/>
  <c r="M212" i="17"/>
  <c r="M209" i="17"/>
  <c r="M206" i="17"/>
  <c r="M203" i="17"/>
  <c r="M200" i="17"/>
  <c r="M197" i="17"/>
  <c r="M194" i="17"/>
  <c r="M191" i="17"/>
  <c r="M188" i="17"/>
  <c r="M185" i="17"/>
  <c r="M182" i="17"/>
  <c r="M179" i="17"/>
  <c r="M176" i="17"/>
  <c r="M173" i="17"/>
  <c r="M170" i="17"/>
  <c r="M167" i="17"/>
  <c r="M164" i="17"/>
  <c r="M161" i="17"/>
  <c r="M158" i="17"/>
  <c r="M155" i="17"/>
  <c r="M152" i="17"/>
  <c r="M149" i="17"/>
  <c r="M146" i="17"/>
  <c r="M143" i="17"/>
  <c r="M140" i="17"/>
  <c r="M137" i="17"/>
  <c r="M74" i="17"/>
  <c r="M131" i="17"/>
  <c r="M128" i="17"/>
  <c r="M125" i="17"/>
  <c r="M122" i="17"/>
  <c r="M119" i="17"/>
  <c r="M116" i="17"/>
  <c r="M113" i="17"/>
  <c r="M110" i="17"/>
  <c r="M107" i="17"/>
  <c r="M104" i="17"/>
  <c r="M101" i="17"/>
  <c r="M98" i="17"/>
  <c r="M95" i="17"/>
  <c r="M92" i="17"/>
  <c r="M89" i="17"/>
  <c r="M86" i="17"/>
  <c r="M71" i="17"/>
  <c r="M68" i="17"/>
  <c r="M65" i="17"/>
  <c r="M62" i="17"/>
  <c r="M6" i="17"/>
  <c r="M9" i="17"/>
  <c r="M12" i="17"/>
  <c r="M15" i="17"/>
  <c r="M18" i="17"/>
  <c r="M21" i="17"/>
  <c r="M24" i="17"/>
  <c r="M27" i="17"/>
  <c r="M30" i="17"/>
  <c r="M33" i="17"/>
  <c r="M36" i="17"/>
  <c r="M39" i="17"/>
  <c r="M42" i="17"/>
  <c r="M45" i="17"/>
  <c r="M47" i="17"/>
  <c r="M50" i="17"/>
  <c r="M53" i="17"/>
  <c r="M56" i="17"/>
  <c r="M59" i="17"/>
  <c r="M77" i="17"/>
  <c r="M80" i="17"/>
  <c r="M83" i="17"/>
  <c r="M3" i="17"/>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6" i="39"/>
  <c r="A57" i="39"/>
  <c r="A58" i="39"/>
  <c r="A59" i="39"/>
  <c r="A60"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101" i="39"/>
  <c r="A102" i="39"/>
  <c r="A103" i="39"/>
  <c r="A104" i="39"/>
  <c r="A105" i="39"/>
  <c r="A106" i="39"/>
  <c r="A107" i="39"/>
  <c r="A108" i="39"/>
  <c r="A109" i="39"/>
  <c r="A110" i="39"/>
  <c r="A111" i="39"/>
  <c r="A112" i="39"/>
  <c r="A113" i="39"/>
  <c r="A114" i="39"/>
  <c r="A115" i="39"/>
  <c r="A116" i="39"/>
  <c r="A117" i="39"/>
  <c r="A118" i="39"/>
  <c r="A119" i="39"/>
  <c r="A120" i="39"/>
  <c r="A121" i="39"/>
  <c r="A122" i="39"/>
  <c r="A123" i="39"/>
  <c r="A124" i="39"/>
  <c r="A125" i="39"/>
  <c r="A126" i="39"/>
  <c r="A127" i="39"/>
  <c r="A128" i="39"/>
  <c r="A129" i="39"/>
  <c r="A130" i="39"/>
  <c r="A131" i="39"/>
  <c r="A132" i="39"/>
  <c r="A133" i="39"/>
  <c r="A134" i="39"/>
  <c r="A135" i="39"/>
  <c r="A136" i="39"/>
  <c r="A137" i="39"/>
  <c r="A138" i="39"/>
  <c r="A139" i="39"/>
  <c r="A140" i="39"/>
  <c r="A141" i="39"/>
  <c r="A142" i="39"/>
  <c r="A143" i="39"/>
  <c r="A144" i="39"/>
  <c r="A145" i="39"/>
  <c r="A146" i="39"/>
  <c r="A147" i="39"/>
  <c r="A148" i="39"/>
  <c r="A149" i="39"/>
  <c r="A150" i="39"/>
  <c r="A151" i="39"/>
  <c r="A10" i="41"/>
  <c r="A11" i="41"/>
  <c r="A12" i="41"/>
  <c r="A13" i="41"/>
  <c r="A14" i="41"/>
  <c r="A15" i="41"/>
  <c r="A16" i="41"/>
  <c r="A17" i="41"/>
  <c r="A18" i="41"/>
  <c r="A19" i="41"/>
  <c r="A20" i="41"/>
  <c r="A21" i="41"/>
  <c r="A22" i="41"/>
  <c r="A23" i="41"/>
  <c r="A24" i="41"/>
  <c r="A25" i="41"/>
  <c r="A26" i="41"/>
  <c r="A27" i="41"/>
  <c r="A28" i="41"/>
  <c r="A29" i="41"/>
  <c r="A30" i="41"/>
  <c r="A31" i="41"/>
  <c r="A32" i="41"/>
  <c r="A33" i="41"/>
  <c r="A34" i="41"/>
  <c r="A35" i="41"/>
  <c r="A36" i="41"/>
  <c r="A37" i="41"/>
  <c r="A38" i="41"/>
  <c r="A39" i="41"/>
  <c r="A40" i="41"/>
  <c r="A41" i="41"/>
  <c r="A42" i="41"/>
  <c r="A43" i="41"/>
  <c r="A44" i="41"/>
  <c r="A45" i="41"/>
  <c r="A46" i="41"/>
  <c r="A47" i="41"/>
  <c r="A48" i="41"/>
  <c r="A49" i="41"/>
  <c r="A50" i="41"/>
  <c r="A51" i="41"/>
  <c r="A52" i="41"/>
  <c r="A53" i="41"/>
  <c r="A54" i="41"/>
  <c r="A55" i="41"/>
  <c r="A56" i="41"/>
  <c r="A57" i="41"/>
  <c r="A58" i="41"/>
  <c r="A59" i="41"/>
  <c r="A60" i="41"/>
  <c r="A61" i="41"/>
  <c r="A62" i="41"/>
  <c r="A63" i="41"/>
  <c r="A64" i="41"/>
  <c r="A65" i="41"/>
  <c r="A66" i="41"/>
  <c r="A67" i="41"/>
  <c r="A68" i="41"/>
  <c r="A69" i="41"/>
  <c r="A70" i="41"/>
  <c r="A71" i="41"/>
  <c r="A72" i="41"/>
  <c r="A73" i="41"/>
  <c r="A74" i="41"/>
  <c r="A75" i="41"/>
  <c r="A76" i="41"/>
  <c r="A77" i="41"/>
  <c r="A78" i="41"/>
  <c r="A79" i="41"/>
  <c r="A80" i="41"/>
  <c r="A81" i="41"/>
  <c r="A82" i="41"/>
  <c r="A83" i="41"/>
  <c r="A84" i="41"/>
  <c r="A85" i="41"/>
  <c r="A86" i="41"/>
  <c r="A87" i="41"/>
  <c r="A88" i="41"/>
  <c r="A89" i="41"/>
  <c r="A90" i="41"/>
  <c r="A91" i="41"/>
  <c r="A92" i="41"/>
  <c r="A93" i="41"/>
  <c r="A94" i="41"/>
  <c r="A95" i="41"/>
  <c r="A96" i="41"/>
  <c r="A97" i="41"/>
  <c r="A98" i="41"/>
  <c r="A99" i="41"/>
  <c r="A100" i="41"/>
  <c r="A101" i="41"/>
  <c r="A102" i="41"/>
  <c r="A103" i="41"/>
  <c r="A104" i="41"/>
  <c r="A105" i="41"/>
  <c r="A106" i="41"/>
  <c r="A107" i="41"/>
  <c r="A108" i="41"/>
  <c r="A109" i="41"/>
  <c r="A110" i="41"/>
  <c r="A111" i="41"/>
  <c r="A112" i="41"/>
  <c r="A113" i="41"/>
  <c r="A114" i="41"/>
  <c r="A115" i="41"/>
  <c r="A116" i="41"/>
  <c r="A117" i="41"/>
  <c r="A118" i="41"/>
  <c r="A119" i="41"/>
  <c r="A120" i="41"/>
  <c r="A121" i="41"/>
  <c r="A122" i="41"/>
  <c r="A123" i="41"/>
  <c r="A124" i="41"/>
  <c r="A125" i="41"/>
  <c r="A126" i="41"/>
  <c r="A127" i="41"/>
  <c r="A128" i="41"/>
  <c r="A129" i="41"/>
  <c r="A130" i="41"/>
  <c r="A131" i="41"/>
  <c r="A132" i="41"/>
  <c r="A133" i="41"/>
  <c r="A134" i="41"/>
  <c r="A135" i="41"/>
  <c r="A136" i="41"/>
  <c r="A137" i="41"/>
  <c r="A138" i="41"/>
  <c r="A139" i="41"/>
  <c r="A140" i="41"/>
  <c r="A141" i="41"/>
  <c r="A142" i="41"/>
  <c r="A143" i="41"/>
  <c r="A144" i="41"/>
  <c r="A145" i="41"/>
  <c r="A146" i="41"/>
  <c r="A147" i="41"/>
  <c r="A148" i="41"/>
  <c r="A149" i="41"/>
  <c r="A150" i="41"/>
  <c r="A151" i="41"/>
  <c r="A152" i="41"/>
  <c r="A153" i="41"/>
  <c r="A154" i="41"/>
  <c r="A155" i="41"/>
  <c r="A4" i="42"/>
  <c r="A5" i="42"/>
  <c r="A6" i="42"/>
  <c r="A7" i="42"/>
  <c r="A8" i="42"/>
  <c r="A9" i="42"/>
  <c r="A10" i="42"/>
  <c r="A11" i="42"/>
  <c r="A12" i="42"/>
  <c r="A13" i="42"/>
  <c r="A14" i="42"/>
  <c r="A15" i="42"/>
  <c r="A16" i="42"/>
  <c r="A17" i="42"/>
  <c r="A18" i="42"/>
  <c r="A19" i="42"/>
  <c r="A20" i="42"/>
  <c r="A21" i="42"/>
  <c r="A22" i="42"/>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62" i="42"/>
  <c r="A63" i="42"/>
  <c r="A64" i="42"/>
  <c r="A65" i="42"/>
  <c r="A66" i="42"/>
  <c r="A67" i="42"/>
  <c r="A68" i="42"/>
  <c r="A69" i="42"/>
  <c r="A70" i="42"/>
  <c r="A71" i="42"/>
  <c r="A72" i="42"/>
  <c r="A73" i="42"/>
  <c r="A74" i="42"/>
  <c r="A75" i="42"/>
  <c r="A76" i="42"/>
  <c r="A77" i="42"/>
  <c r="A78" i="42"/>
  <c r="A79" i="42"/>
  <c r="A80" i="42"/>
  <c r="A81" i="42"/>
  <c r="A82" i="42"/>
  <c r="A83" i="42"/>
  <c r="A84" i="42"/>
  <c r="A85" i="42"/>
  <c r="A86" i="42"/>
  <c r="A87" i="42"/>
  <c r="A88" i="42"/>
  <c r="A89" i="42"/>
  <c r="A90" i="42"/>
  <c r="A91" i="42"/>
  <c r="A92" i="42"/>
  <c r="A93" i="42"/>
  <c r="A94" i="42"/>
  <c r="A95" i="42"/>
  <c r="A96" i="42"/>
  <c r="A97" i="42"/>
  <c r="A98" i="42"/>
  <c r="A99" i="42"/>
  <c r="A100" i="42"/>
  <c r="A101" i="42"/>
  <c r="A102" i="42"/>
  <c r="A103" i="42"/>
  <c r="A104" i="42"/>
  <c r="A105" i="42"/>
  <c r="A106" i="42"/>
  <c r="A107" i="42"/>
  <c r="A108" i="42"/>
  <c r="A109" i="42"/>
  <c r="A110" i="42"/>
  <c r="A111" i="42"/>
  <c r="A112" i="42"/>
  <c r="A113" i="42"/>
  <c r="A114" i="42"/>
  <c r="A115" i="42"/>
  <c r="A116" i="42"/>
  <c r="A117" i="42"/>
  <c r="A118" i="42"/>
  <c r="A119" i="42"/>
  <c r="A120" i="42"/>
  <c r="A121" i="42"/>
  <c r="A122" i="42"/>
  <c r="A123" i="42"/>
  <c r="A124" i="42"/>
  <c r="A125" i="42"/>
  <c r="A126" i="42"/>
  <c r="A127" i="42"/>
  <c r="A128" i="42"/>
  <c r="A129" i="42"/>
  <c r="A130" i="42"/>
  <c r="A131" i="42"/>
  <c r="A132" i="42"/>
  <c r="A133" i="42"/>
  <c r="A134" i="42"/>
  <c r="A135" i="42"/>
  <c r="A136" i="42"/>
  <c r="A137" i="42"/>
  <c r="A138" i="42"/>
  <c r="A139" i="42"/>
  <c r="A140" i="42"/>
  <c r="A141" i="42"/>
  <c r="A142" i="42"/>
  <c r="A143" i="42"/>
  <c r="A144" i="42"/>
  <c r="A145" i="42"/>
  <c r="A146" i="42"/>
  <c r="A147" i="42"/>
  <c r="A148" i="42"/>
  <c r="A149" i="42"/>
  <c r="A150" i="42"/>
  <c r="A151" i="42"/>
  <c r="A152" i="42"/>
  <c r="A153" i="42"/>
  <c r="A154" i="42"/>
  <c r="A155" i="42"/>
  <c r="A4" i="43"/>
  <c r="A5" i="43"/>
  <c r="A6" i="43"/>
  <c r="A7" i="43"/>
  <c r="A8" i="43"/>
  <c r="A9" i="43" s="1"/>
  <c r="A10" i="43" s="1"/>
  <c r="A11" i="43" s="1"/>
  <c r="A12" i="43" s="1"/>
  <c r="A13" i="43" s="1"/>
  <c r="A14" i="43" s="1"/>
  <c r="A15" i="43" s="1"/>
  <c r="A16" i="43" s="1"/>
  <c r="A17" i="43" s="1"/>
  <c r="A18" i="43"/>
  <c r="A19" i="43" s="1"/>
  <c r="A20" i="43" s="1"/>
  <c r="A21" i="43" s="1"/>
  <c r="A22" i="43"/>
  <c r="A23" i="43"/>
  <c r="A24" i="43" s="1"/>
  <c r="A25" i="43" s="1"/>
  <c r="A26" i="43"/>
  <c r="A27" i="43" s="1"/>
  <c r="A28" i="43"/>
  <c r="A29" i="43"/>
  <c r="A30" i="43" s="1"/>
  <c r="A31" i="43" s="1"/>
  <c r="A32" i="43"/>
  <c r="A33" i="43" s="1"/>
  <c r="A34" i="43" s="1"/>
  <c r="A35" i="43" s="1"/>
  <c r="A36" i="43" s="1"/>
  <c r="A37" i="43" s="1"/>
  <c r="A38" i="43" s="1"/>
  <c r="A39" i="43" s="1"/>
  <c r="A40" i="43" s="1"/>
  <c r="A41" i="43" s="1"/>
  <c r="A42" i="43" s="1"/>
  <c r="A43" i="43" s="1"/>
  <c r="A44" i="43" s="1"/>
  <c r="A45" i="43" s="1"/>
  <c r="A46" i="43" s="1"/>
  <c r="A47" i="43" s="1"/>
  <c r="A48" i="43" s="1"/>
  <c r="A49" i="43" s="1"/>
  <c r="A50" i="43" s="1"/>
  <c r="A51" i="43"/>
  <c r="A52" i="43"/>
  <c r="A53" i="43"/>
  <c r="A54" i="43"/>
  <c r="A55" i="43"/>
  <c r="A56" i="43"/>
  <c r="A57" i="43"/>
  <c r="A58" i="43"/>
  <c r="A59" i="43"/>
  <c r="A60" i="43"/>
  <c r="A61" i="43"/>
  <c r="A62" i="43"/>
  <c r="A63" i="43"/>
  <c r="A64" i="43"/>
  <c r="A65" i="43"/>
  <c r="A66" i="43"/>
  <c r="A67" i="43"/>
  <c r="A68" i="43"/>
  <c r="A69" i="43"/>
  <c r="A70" i="43"/>
  <c r="A71" i="43"/>
  <c r="A72" i="43"/>
  <c r="A73" i="43"/>
  <c r="A74" i="43"/>
  <c r="A75" i="43"/>
  <c r="A76" i="43"/>
  <c r="A77" i="43"/>
  <c r="A78" i="43"/>
  <c r="A79" i="43"/>
  <c r="A80" i="43"/>
  <c r="A81" i="43"/>
  <c r="A82" i="43"/>
  <c r="A83" i="43"/>
  <c r="A84" i="43"/>
  <c r="A85" i="43"/>
  <c r="A86" i="43"/>
  <c r="A87" i="43"/>
  <c r="A88" i="43"/>
  <c r="A89" i="43"/>
  <c r="A90" i="43"/>
  <c r="A91" i="43"/>
  <c r="A92" i="43"/>
  <c r="A93" i="43"/>
  <c r="A94" i="43"/>
  <c r="A95" i="43"/>
  <c r="A96" i="43"/>
  <c r="A97" i="43"/>
  <c r="A98" i="43"/>
  <c r="A99" i="43"/>
  <c r="A100" i="43"/>
  <c r="A101" i="43"/>
  <c r="A102" i="43"/>
  <c r="A103" i="43"/>
  <c r="A104" i="43"/>
  <c r="A105" i="43"/>
  <c r="A106" i="43"/>
  <c r="A107" i="43"/>
  <c r="A108" i="43"/>
  <c r="A109" i="43"/>
  <c r="A110" i="43"/>
  <c r="A111" i="43"/>
  <c r="A112" i="43"/>
  <c r="A113" i="43"/>
  <c r="A114" i="43"/>
  <c r="A115" i="43"/>
  <c r="A116" i="43"/>
  <c r="A117" i="43"/>
  <c r="A118" i="43"/>
  <c r="A119" i="43"/>
  <c r="A120" i="43"/>
  <c r="A121" i="43"/>
  <c r="A122" i="43"/>
  <c r="A123" i="43"/>
  <c r="A124" i="43"/>
  <c r="A125" i="43"/>
  <c r="A126" i="43"/>
  <c r="A127" i="43"/>
  <c r="A128" i="43"/>
  <c r="A129" i="43"/>
  <c r="A130" i="43"/>
  <c r="A131" i="43"/>
  <c r="A132" i="43"/>
  <c r="A133" i="43"/>
  <c r="A134" i="43"/>
  <c r="A135" i="43"/>
  <c r="A136" i="43"/>
  <c r="A137" i="43"/>
  <c r="A138" i="43"/>
  <c r="A139" i="43"/>
  <c r="A140" i="43"/>
  <c r="A141" i="43"/>
  <c r="A142" i="43"/>
  <c r="A143" i="43"/>
  <c r="A144" i="43"/>
  <c r="A145" i="43"/>
  <c r="A146" i="43"/>
  <c r="A147" i="43"/>
  <c r="A148" i="43"/>
  <c r="A149" i="43"/>
  <c r="A150" i="43"/>
  <c r="A151" i="43"/>
  <c r="A152" i="43"/>
  <c r="A153" i="43"/>
  <c r="A154" i="43"/>
  <c r="A155" i="43"/>
  <c r="A4" i="44"/>
  <c r="A5" i="44"/>
  <c r="A6" i="44"/>
  <c r="A7" i="44"/>
  <c r="A8" i="44"/>
  <c r="A9" i="44"/>
  <c r="A10" i="44"/>
  <c r="A11" i="44"/>
  <c r="A12" i="44"/>
  <c r="A13" i="44"/>
  <c r="A14" i="44"/>
  <c r="A15" i="44"/>
  <c r="A16" i="44"/>
  <c r="A17" i="44"/>
  <c r="A18" i="44"/>
  <c r="A19" i="44"/>
  <c r="A20" i="44"/>
  <c r="A21" i="44"/>
  <c r="A22" i="44"/>
  <c r="A23" i="44"/>
  <c r="A24" i="44"/>
  <c r="A25" i="44"/>
  <c r="A26" i="44"/>
  <c r="A27" i="44"/>
  <c r="A28" i="44"/>
  <c r="A29" i="44"/>
  <c r="A30"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59" i="44"/>
  <c r="A60" i="44"/>
  <c r="A61" i="44"/>
  <c r="A62" i="44"/>
  <c r="A63" i="44"/>
  <c r="A64" i="44"/>
  <c r="A65" i="44"/>
  <c r="A66" i="44"/>
  <c r="A67" i="44"/>
  <c r="A68" i="44"/>
  <c r="A69" i="44"/>
  <c r="A70" i="44"/>
  <c r="A71" i="44"/>
  <c r="A72" i="44"/>
  <c r="A73" i="44"/>
  <c r="A74" i="44"/>
  <c r="A75" i="44"/>
  <c r="A76" i="44"/>
  <c r="A77" i="44"/>
  <c r="A78" i="44"/>
  <c r="A79" i="44"/>
  <c r="A80" i="44"/>
  <c r="A81" i="44"/>
  <c r="A82" i="44"/>
  <c r="A83" i="44"/>
  <c r="A84" i="44"/>
  <c r="A85" i="44"/>
  <c r="A86" i="44"/>
  <c r="A87" i="44"/>
  <c r="A88" i="44"/>
  <c r="A89" i="44"/>
  <c r="A90" i="44"/>
  <c r="A91" i="44"/>
  <c r="A92" i="44"/>
  <c r="A93" i="44"/>
  <c r="A94" i="44"/>
  <c r="A95" i="44"/>
  <c r="A96" i="44"/>
  <c r="A97" i="44"/>
  <c r="A98" i="44"/>
  <c r="A99" i="44"/>
  <c r="A100" i="44"/>
  <c r="A101" i="44"/>
  <c r="A102" i="44"/>
  <c r="A103" i="44"/>
  <c r="A104" i="44"/>
  <c r="A105" i="44"/>
  <c r="A106" i="44"/>
  <c r="A107" i="44"/>
  <c r="A108" i="44"/>
  <c r="A109" i="44"/>
  <c r="A110" i="44"/>
  <c r="A111" i="44"/>
  <c r="A112" i="44"/>
  <c r="A113" i="44"/>
  <c r="A114" i="44"/>
  <c r="A115" i="44"/>
  <c r="A116" i="44"/>
  <c r="A117" i="44"/>
  <c r="A118" i="44"/>
  <c r="A119" i="44"/>
  <c r="A120" i="44"/>
  <c r="A121" i="44"/>
  <c r="A122" i="44"/>
  <c r="A123" i="44"/>
  <c r="A124" i="44"/>
  <c r="A125" i="44"/>
  <c r="A126" i="44"/>
  <c r="A127" i="44"/>
  <c r="A128" i="44"/>
  <c r="A129" i="44"/>
  <c r="A130" i="44"/>
  <c r="A131" i="44"/>
  <c r="A132" i="44"/>
  <c r="A133" i="44"/>
  <c r="A134" i="44"/>
  <c r="A135" i="44"/>
  <c r="A136" i="44"/>
  <c r="A137" i="44"/>
  <c r="A138" i="44"/>
  <c r="A139" i="44"/>
  <c r="A140" i="44"/>
  <c r="A141" i="44"/>
  <c r="A142" i="44"/>
  <c r="A143" i="44"/>
  <c r="A144" i="44"/>
  <c r="A145" i="44"/>
  <c r="A146" i="44"/>
  <c r="A147" i="44"/>
  <c r="A148" i="44"/>
  <c r="A149" i="44"/>
  <c r="A150" i="44"/>
  <c r="A151" i="44"/>
  <c r="A152" i="44"/>
  <c r="A153" i="44"/>
  <c r="A154" i="44"/>
  <c r="A155" i="44"/>
  <c r="A156" i="44"/>
  <c r="A157" i="44"/>
  <c r="A4" i="45"/>
  <c r="A5" i="45"/>
  <c r="A6" i="45"/>
  <c r="A7" i="45"/>
  <c r="A8" i="45"/>
  <c r="A9" i="45"/>
  <c r="A10" i="45"/>
  <c r="A11" i="45"/>
  <c r="A12" i="45"/>
  <c r="A13" i="45"/>
  <c r="A14" i="45"/>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A66" i="45" s="1"/>
  <c r="A67" i="45" s="1"/>
  <c r="A68" i="45" s="1"/>
  <c r="A69" i="45" s="1"/>
  <c r="A70" i="45" s="1"/>
  <c r="A71" i="45" s="1"/>
  <c r="A72" i="45" s="1"/>
  <c r="A73" i="45" s="1"/>
  <c r="A74" i="45" s="1"/>
  <c r="A75" i="45" s="1"/>
  <c r="A76" i="45" s="1"/>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100" i="45" s="1"/>
  <c r="A101" i="45" s="1"/>
  <c r="A102" i="45" s="1"/>
  <c r="A103" i="45" s="1"/>
  <c r="A104" i="45" s="1"/>
  <c r="A105" i="45" s="1"/>
  <c r="A106" i="45" s="1"/>
  <c r="A107" i="45" s="1"/>
  <c r="A108" i="45" s="1"/>
  <c r="A109" i="45" s="1"/>
  <c r="A110" i="45" s="1"/>
  <c r="A111" i="45" s="1"/>
  <c r="A112" i="45" s="1"/>
  <c r="A113" i="45" s="1"/>
  <c r="A114" i="45" s="1"/>
  <c r="A115" i="45" s="1"/>
  <c r="A116" i="45" s="1"/>
  <c r="A117" i="45" s="1"/>
  <c r="A118" i="45" s="1"/>
  <c r="A119" i="45" s="1"/>
  <c r="A120" i="45" s="1"/>
  <c r="A121" i="45" s="1"/>
  <c r="A122" i="45" s="1"/>
  <c r="A123" i="45" s="1"/>
  <c r="A124" i="45" s="1"/>
  <c r="A125" i="45" s="1"/>
  <c r="A126" i="45" s="1"/>
  <c r="A127" i="45" s="1"/>
  <c r="A128" i="45" s="1"/>
  <c r="A129" i="45" s="1"/>
  <c r="A130" i="45" s="1"/>
  <c r="A131" i="45" s="1"/>
  <c r="A132" i="45" s="1"/>
  <c r="A133" i="45" s="1"/>
  <c r="A134" i="45" s="1"/>
  <c r="A135" i="45" s="1"/>
  <c r="A136" i="45" s="1"/>
  <c r="A137" i="45" s="1"/>
  <c r="A138" i="45" s="1"/>
  <c r="A139" i="45" s="1"/>
  <c r="A140" i="45" s="1"/>
  <c r="A141" i="45" s="1"/>
  <c r="A142" i="45" s="1"/>
  <c r="A143" i="45" s="1"/>
  <c r="A144" i="45" s="1"/>
  <c r="A145" i="45" s="1"/>
  <c r="A146" i="45" s="1"/>
  <c r="A147" i="45" s="1"/>
  <c r="A148" i="45" s="1"/>
  <c r="A149" i="45" s="1"/>
  <c r="A150" i="45" s="1"/>
  <c r="A151" i="45" s="1"/>
  <c r="A152" i="45" s="1"/>
  <c r="A153" i="45" s="1"/>
  <c r="A154" i="45" s="1"/>
  <c r="A155" i="45" s="1"/>
  <c r="A156" i="45" s="1"/>
  <c r="A157"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tc={80293F59-0635-4607-A426-D0FDFC5C2D24}</author>
  </authors>
  <commentList>
    <comment ref="J3" authorId="0" shapeId="0" xr:uid="{80293F59-0635-4607-A426-D0FDFC5C2D24}">
      <text>
        <r>
          <rPr>
            <sz val="10"/>
            <color rgb="FF000000"/>
            <rFont val="Arial"/>
            <charset val="1"/>
          </rPr>
          <t>[Threaded comment]
Your version of Excel allows you to read this threaded comment; however, any edits to it will get removed if the file is opened in a newer version of Excel. Learn more: https://go.microsoft.com/fwlink/?linkid=870924
Comment:
    A proposer/valider avec la direction (intitulé)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tc={F6CC6A8E-24BB-4775-B1F6-A17D7AC4E5D9}</author>
  </authors>
  <commentList>
    <comment ref="J3" authorId="0" shapeId="0" xr:uid="{F6CC6A8E-24BB-4775-B1F6-A17D7AC4E5D9}">
      <text>
        <r>
          <rPr>
            <sz val="10"/>
            <color rgb="FF000000"/>
            <rFont val="Arial"/>
            <charset val="1"/>
          </rPr>
          <t>[Threaded comment]
Your version of Excel allows you to read this threaded comment; however, any edits to it will get removed if the file is opened in a newer version of Excel. Learn more: https://go.microsoft.com/fwlink/?linkid=870924
Comment:
    A proposer/valider avec la direction (intitulé)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tc={28E68731-01A7-4888-81D4-D13F0F73A916}</author>
  </authors>
  <commentList>
    <comment ref="J3" authorId="0" shapeId="0" xr:uid="{28E68731-01A7-4888-81D4-D13F0F73A916}">
      <text>
        <r>
          <rPr>
            <sz val="10"/>
            <color rgb="FF000000"/>
            <rFont val="Arial"/>
            <charset val="1"/>
          </rPr>
          <t>[Threaded comment]
Your version of Excel allows you to read this threaded comment; however, any edits to it will get removed if the file is opened in a newer version of Excel. Learn more: https://go.microsoft.com/fwlink/?linkid=870924
Comment:
    A proposer/valider avec la direction (intitulé)</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tc={E77D53AC-03DB-431F-BEFE-577F46D76F22}</author>
  </authors>
  <commentList>
    <comment ref="J3" authorId="0" shapeId="0" xr:uid="{E77D53AC-03DB-431F-BEFE-577F46D76F22}">
      <text>
        <r>
          <rPr>
            <sz val="10"/>
            <color rgb="FF000000"/>
            <rFont val="Arial"/>
            <charset val="1"/>
          </rPr>
          <t>[Threaded comment]
Your version of Excel allows you to read this threaded comment; however, any edits to it will get removed if the file is opened in a newer version of Excel. Learn more: https://go.microsoft.com/fwlink/?linkid=870924
Comment:
    A proposer/valider avec la direction (intitulé)</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<sst xmlns="http://schemas.openxmlformats.org/spreadsheetml/2006/main" count="15049" uniqueCount="1240">
  <si>
    <t>PROJET</t>
  </si>
  <si>
    <t>PROJET TERMINE</t>
  </si>
  <si>
    <t>PROJET EN STAND BY OU A VENIR</t>
  </si>
  <si>
    <t>EN COURS</t>
  </si>
  <si>
    <t>VISION NPS</t>
  </si>
  <si>
    <t xml:space="preserve">ETAPE DU PROJET </t>
  </si>
  <si>
    <t>AVANT VENTES</t>
  </si>
  <si>
    <t>Plage de score</t>
  </si>
  <si>
    <t>Signification</t>
  </si>
  <si>
    <t>Recommandations</t>
  </si>
  <si>
    <t>CADRAGE</t>
  </si>
  <si>
    <t>-100 à 0</t>
  </si>
  <si>
    <t>La majorité des clients ont une mauvaise expérience et déconseillent votre produit ou service</t>
  </si>
  <si>
    <t>Identifier les causes d’insatisfaction, prioriser les correctifs urgents et renforcer le support client.</t>
  </si>
  <si>
    <t>BUILD</t>
  </si>
  <si>
    <t>1 à 30</t>
  </si>
  <si>
    <t>Légèrement plus de promoteurs que de détracteurs. Satisfaction correcte mais perfectible.</t>
  </si>
  <si>
    <t>Collecter du feedback précis, prioriser les améliorations produit et service.</t>
  </si>
  <si>
    <t>GARANTIE</t>
  </si>
  <si>
    <t>31 à 50</t>
  </si>
  <si>
    <t>Gamme où se situent de nombreuses entreprises. Forte attention portée à l’expérience client, avec un groupe solide de promoteurs.</t>
  </si>
  <si>
    <t>Continuer à améliorer l’expérience, fidéliser les promoteurs existants.</t>
  </si>
  <si>
    <t>AT / REGIE</t>
  </si>
  <si>
    <t>51 à 70</t>
  </si>
  <si>
    <t>Niveaux élevés de satisfaction. Marques très appréciées avec un fort bouche-à-oreille positif.</t>
  </si>
  <si>
    <t>Maintenir la qualité, capitaliser sur les promoteurs pour attirer de nouveaux clients.</t>
  </si>
  <si>
    <t>RUN</t>
  </si>
  <si>
    <t>71 à 100</t>
  </si>
  <si>
    <t>Excellence absolue. Rarement atteinte, cette gamme reflète une expérience client exceptionnelle.</t>
  </si>
  <si>
    <t>Protéger la réputation, utiliser le score comme preuve sociale, continuer l’innovation.</t>
  </si>
  <si>
    <t>SANTE PROJET / VISION CLIENT &amp; INTERNE</t>
  </si>
  <si>
    <t>WARNING !</t>
  </si>
  <si>
    <t>A AMÉLIORER</t>
  </si>
  <si>
    <t>NON DÉFINI</t>
  </si>
  <si>
    <t>BON</t>
  </si>
  <si>
    <t>EXCELLENT</t>
  </si>
  <si>
    <t>NB JOURS VENDUS</t>
  </si>
  <si>
    <t>0 - 10</t>
  </si>
  <si>
    <t>10 - 30</t>
  </si>
  <si>
    <t>30 - 50</t>
  </si>
  <si>
    <t>50 - 100</t>
  </si>
  <si>
    <t>100 - 200</t>
  </si>
  <si>
    <t>&gt; 200</t>
  </si>
  <si>
    <t>TYPE DE CONTRAT</t>
  </si>
  <si>
    <t>FORFAIT</t>
  </si>
  <si>
    <t>CONTRAT TEMPS</t>
  </si>
  <si>
    <t>ABS. CONTRAT</t>
  </si>
  <si>
    <t>MAINTENANCE</t>
  </si>
  <si>
    <t>REGIE</t>
  </si>
  <si>
    <t>CHEF DE PROJET</t>
  </si>
  <si>
    <t>César F</t>
  </si>
  <si>
    <t>Benjamin D</t>
  </si>
  <si>
    <t>Tiffany E</t>
  </si>
  <si>
    <t>Elsa CC</t>
  </si>
  <si>
    <t>Audrey P</t>
  </si>
  <si>
    <t>Non Affecté</t>
  </si>
  <si>
    <t>ETAT DU PROJET</t>
  </si>
  <si>
    <t>Actif</t>
  </si>
  <si>
    <t>Pause</t>
  </si>
  <si>
    <t>Non Actif</t>
  </si>
  <si>
    <t>DAS</t>
  </si>
  <si>
    <t>BU ERP / CRM / BI</t>
  </si>
  <si>
    <t>BU ERP / CRM / BI (techno : ODOO / Suite CRM / Power BI / datawarehouse)</t>
  </si>
  <si>
    <t>BU WEB / E-COM</t>
  </si>
  <si>
    <t>BU WEB - E-COM (Majento, Front commerce, Presta, WP, Sylius)</t>
  </si>
  <si>
    <t>BU DEV SPE</t>
  </si>
  <si>
    <t>BU DEV SPE : (PHP,JS, Python)</t>
  </si>
  <si>
    <t>RISQUES PROJET</t>
  </si>
  <si>
    <t>RISQUE PROJET</t>
  </si>
  <si>
    <t>COUT PROJET</t>
  </si>
  <si>
    <t>RESPECT COUT PROJET</t>
  </si>
  <si>
    <t xml:space="preserve">DELAI PROJET </t>
  </si>
  <si>
    <t>RESSOURCES PROJET</t>
  </si>
  <si>
    <t>Nbre de personne affectées au projet suffisant</t>
  </si>
  <si>
    <t>RESPECT DEADLINE</t>
  </si>
  <si>
    <t>TEMPS PASSE</t>
  </si>
  <si>
    <t>QUALITE PROJET</t>
  </si>
  <si>
    <t>SATISFACTION CLIENT</t>
  </si>
  <si>
    <t>RETOUR QA/RECETTE</t>
  </si>
  <si>
    <t>SATISFACTION EQUIPE</t>
  </si>
  <si>
    <t>GLOBAL</t>
  </si>
  <si>
    <t>1 à 5</t>
  </si>
  <si>
    <t>Date dans le passé</t>
  </si>
  <si>
    <t>Date à plus de 8 jours</t>
  </si>
  <si>
    <t>Date dans la semaine (today + 7 jours)</t>
  </si>
  <si>
    <t>Projet</t>
  </si>
  <si>
    <t>Chef de projet</t>
  </si>
  <si>
    <t>Etape du projet</t>
  </si>
  <si>
    <t>Type de contrat</t>
  </si>
  <si>
    <t>Nombre de jours vendus</t>
  </si>
  <si>
    <t>Risque projet</t>
  </si>
  <si>
    <t>Respect Coût projet</t>
  </si>
  <si>
    <t>Respect Deadline</t>
  </si>
  <si>
    <t>Temps passé</t>
  </si>
  <si>
    <t>Satisfaction Client</t>
  </si>
  <si>
    <t>Satisfaction Equipe</t>
  </si>
  <si>
    <t>Retour QA/Recette/Bug</t>
  </si>
  <si>
    <t>REMARQUES / OBJECTIFS SEMAINE SUIVANTE</t>
  </si>
  <si>
    <t>HEMAC</t>
  </si>
  <si>
    <t>Tickets à traiter par Alexandr. RAS</t>
  </si>
  <si>
    <t>AdelisTech</t>
  </si>
  <si>
    <t>r</t>
  </si>
  <si>
    <t>Relance client faire cette semaine, sans retour. A relancer semaine prochaine</t>
  </si>
  <si>
    <t>Hotelpro / Eboutix</t>
  </si>
  <si>
    <t>ras</t>
  </si>
  <si>
    <t>Aucun besoin côté Eclairage Pro. Relancer HotelPro début Septembre à leur rentrée</t>
  </si>
  <si>
    <t>Odoo - Huco</t>
  </si>
  <si>
    <t>RAS</t>
  </si>
  <si>
    <t>BE-YS / MSK</t>
  </si>
  <si>
    <t>Point MSK pour suite projet lundi 26 août</t>
  </si>
  <si>
    <t>ISB ODOO</t>
  </si>
  <si>
    <t>Monkilowatt</t>
  </si>
  <si>
    <t>Le client revient vers moi si nouveau besoin (à priori formation pour octobre) à confirmer début septembre/début octobre</t>
  </si>
  <si>
    <t>CTS - PoC Odoo</t>
  </si>
  <si>
    <t>Point commercial entre Huco et CTS prévu début septembre</t>
  </si>
  <si>
    <t>Climax - Cadrage</t>
  </si>
  <si>
    <t>Attente Go Client</t>
  </si>
  <si>
    <t>Archipell - CT 10 jours</t>
  </si>
  <si>
    <t>nc</t>
  </si>
  <si>
    <t>Nouvelle demande client suite à relance. Réponse à apporter semaine prochaine</t>
  </si>
  <si>
    <t>MonFourgonShop - Cadrage</t>
  </si>
  <si>
    <t>Garantie commencée. Reste des bugs non bloquants à corriger</t>
  </si>
  <si>
    <t xml:space="preserve">ST Luxury </t>
  </si>
  <si>
    <t>Tiffany</t>
  </si>
  <si>
    <t>Gros de travail de QA à venir - MAJ maquette client - Développement du RAF</t>
  </si>
  <si>
    <t>CNES</t>
  </si>
  <si>
    <t>Finaliser au moins les vues principales / Amorcer voir Terminer la recherche + Toute la QA à faire + MAJ de la Documentation</t>
  </si>
  <si>
    <t>Croq</t>
  </si>
  <si>
    <t>Attente retour de Audrey pour correctif front</t>
  </si>
  <si>
    <t xml:space="preserve">Owliance </t>
  </si>
  <si>
    <t>Pyko</t>
  </si>
  <si>
    <t>Faire le contrat de maintenance</t>
  </si>
  <si>
    <t>Imodeus/Finzzle</t>
  </si>
  <si>
    <t>Faire une montée de version de Drupal au cours T4</t>
  </si>
  <si>
    <t>Particip'Agent</t>
  </si>
  <si>
    <t>MEP Lundi 26 août</t>
  </si>
  <si>
    <t>KRISS-LAURE</t>
  </si>
  <si>
    <t>Redaction du CDC en cours pour validation client semaine prochaine</t>
  </si>
  <si>
    <t>Terrang + Terrang-armurerie
B2C M2 + FC</t>
  </si>
  <si>
    <t>MP SEC
B2B M1</t>
  </si>
  <si>
    <t>CDC qui doit arriver 1ère semaine de septembre pour catalogue M1</t>
  </si>
  <si>
    <t>CTS</t>
  </si>
  <si>
    <t>Montée de version de Front Commerce ou changement ERP</t>
  </si>
  <si>
    <t>Robertet</t>
  </si>
  <si>
    <t>Tout est traité -&gt; Voir projet robertet IA</t>
  </si>
  <si>
    <t>AO Région Occitanie</t>
  </si>
  <si>
    <t>AO doit être envoyé à la Région le 2 septembre</t>
  </si>
  <si>
    <t>Intersport</t>
  </si>
  <si>
    <t>Enveloppe à maitriser + Attente Go Midica</t>
  </si>
  <si>
    <t>Osports</t>
  </si>
  <si>
    <t>Elsa</t>
  </si>
  <si>
    <t>Cellule de crise en place</t>
  </si>
  <si>
    <t>Normadoc</t>
  </si>
  <si>
    <t>Passation BD + Arbitrage sur chiffrage</t>
  </si>
  <si>
    <t>Everblue</t>
  </si>
  <si>
    <t xml:space="preserve">Réunion Websocket </t>
  </si>
  <si>
    <t>Handy</t>
  </si>
  <si>
    <t>Import de la base produit et test de bout en bout</t>
  </si>
  <si>
    <t>Midica - Cadrage</t>
  </si>
  <si>
    <t>Validation de l'architecture technique et restitution cadrage</t>
  </si>
  <si>
    <t>ProVille -Cadrage</t>
  </si>
  <si>
    <t>Attente maquette + restution cadrage (Fin Septembre)</t>
  </si>
  <si>
    <t>ISB portail parents</t>
  </si>
  <si>
    <t>Eddy</t>
  </si>
  <si>
    <t>ISB web</t>
  </si>
  <si>
    <t>ISB intranet</t>
  </si>
  <si>
    <t>Midi2I</t>
  </si>
  <si>
    <t>ONP / OPUS</t>
  </si>
  <si>
    <t>ONP / Accueil et caisse</t>
  </si>
  <si>
    <t>T3M</t>
  </si>
  <si>
    <t>BATS - Boutique du soudeur</t>
  </si>
  <si>
    <t>Vignerons indépendants</t>
  </si>
  <si>
    <t>NS Team / Quick CRM</t>
  </si>
  <si>
    <t>Robertet IA</t>
  </si>
  <si>
    <t>César</t>
  </si>
  <si>
    <t>Présentation de la part Vuca - Fin Août / début septembre</t>
  </si>
  <si>
    <t>Scanisette</t>
  </si>
  <si>
    <t>VillaVerde</t>
  </si>
  <si>
    <t xml:space="preserve">Projet perdu </t>
  </si>
  <si>
    <t>Civistar</t>
  </si>
  <si>
    <t>Fitour</t>
  </si>
  <si>
    <t>Point avec Big Happy début septembre</t>
  </si>
  <si>
    <t>Sorbonne POD</t>
  </si>
  <si>
    <t>Attente rentrée de septembre</t>
  </si>
  <si>
    <t>Sorbonne Collab</t>
  </si>
  <si>
    <t>Date de MEP / Livraison prévue</t>
  </si>
  <si>
    <t>Nouvelle Demande eclairage pro sur septembre à chiffrer. Relancer HotelPro début Septembre à leur rentrée</t>
  </si>
  <si>
    <t>Point sur le dashboard avec le client mi septembre.</t>
  </si>
  <si>
    <t>A priori, CTS ne prendra pas Odoo mais continuera avec HUCO pour la suite.</t>
  </si>
  <si>
    <t>Début Mission métier Mi septembre (Calendrier à valider côté client)</t>
  </si>
  <si>
    <t>Gros de travail de QA à venir suite à MAJ maquette - MAJ maquette client 1ère semaine de septembre- Développement du RAF</t>
  </si>
  <si>
    <t>Revue Design à faire sur la vue rateau (impact potentiel sur la date de livraison projet + Finaliser au moins les vues principales / Amorcer voir Terminer la recherche + Toute la QA à faire + MAJ de la Documentation =&gt; Très peut de visibilité sur l'AO de la MCO et Lot 2 et Lot 3</t>
  </si>
  <si>
    <t>Traitement en cours ticket (Back / Front). Point avec Front Commerce prévu la semaine prochaine + Point Global avec le client semaine prochaine</t>
  </si>
  <si>
    <t>Période de garantie en cours. Faire le contrat de maintenance</t>
  </si>
  <si>
    <t>MEP Lundi 26 août - Période de garantie</t>
  </si>
  <si>
    <t>Rédaction V1 terminé. Validation en cours côté VUCA. Point client prévu mi septembre pour validation.</t>
  </si>
  <si>
    <t>Attente retour client pour épurer le backlog</t>
  </si>
  <si>
    <t>CDC qui doit arriver 3ème semaine de septembre pour catalogue M1 (Front et Back)</t>
  </si>
  <si>
    <t>Montée de version de Front Commerce ou changement ERP. Pas de retour client sur le Backlog</t>
  </si>
  <si>
    <t>Tout est traité -&gt; Voir projet robertet IA.
Problème de facturation (pas en accord le devis envoyé)</t>
  </si>
  <si>
    <t>Passation BD + Arbitrage sur chiffrage. Revue du code MVP</t>
  </si>
  <si>
    <t xml:space="preserve">Réunion Websocket ?? </t>
  </si>
  <si>
    <t>todo</t>
  </si>
  <si>
    <t>MEP cette semaine ??</t>
  </si>
  <si>
    <t>MEP cette semaine. Période de garantie (1 mois)</t>
  </si>
  <si>
    <t>Midi2I - Extranet</t>
  </si>
  <si>
    <t>Audit de Lambert à faire mi septembre chez Emagma</t>
  </si>
  <si>
    <t xml:space="preserve">Document marché innovant envoyé. 2 ateliers de cadrage / sem pendant 2 mois. Pour finalisation des spec prévue Novembre </t>
  </si>
  <si>
    <t>CDC en cours de rédaction côté ONP. Point toutes les 2 semaines pour revue HUCO/ONP</t>
  </si>
  <si>
    <t xml:space="preserve">Reste 7 jours pour finaliser le projet. Point avec Lambert Lundi pour solution de cartographie. Pas de QA réalisée </t>
  </si>
  <si>
    <t>Audrey</t>
  </si>
  <si>
    <t>Réponse à donner au client asap !</t>
  </si>
  <si>
    <t>Ateliers avec SERMA qui commence en septembre + Dossier innovation à faire pout septembre</t>
  </si>
  <si>
    <t xml:space="preserve">Ducs de Gascogne </t>
  </si>
  <si>
    <t>Big Happy (uniquement une maintenance en attendant le projet en 2025) : Réunion prévu fin aout</t>
  </si>
  <si>
    <t>Gembaware</t>
  </si>
  <si>
    <t>Attente fin Septembre pour validation mission Benjamin Odoo</t>
  </si>
  <si>
    <t>Van Mania</t>
  </si>
  <si>
    <t>Attente retour Big Happy</t>
  </si>
  <si>
    <t>Projet CRM via VUCA</t>
  </si>
  <si>
    <t>Attente CDC en septembre</t>
  </si>
  <si>
    <t xml:space="preserve">Projet IA (avec Vuca) (verrerie le aprait) </t>
  </si>
  <si>
    <t>Attente retour de JP crenn</t>
  </si>
  <si>
    <t>SVM V2</t>
  </si>
  <si>
    <t>Attente rdv client</t>
  </si>
  <si>
    <t xml:space="preserve">Hypervisoul V2 </t>
  </si>
  <si>
    <t>attente Rdv</t>
  </si>
  <si>
    <t>Farinia</t>
  </si>
  <si>
    <t>Etude CDC en cours. Présentation Backlog / Chiffrage semaine prochaine</t>
  </si>
  <si>
    <t>Priorité Entreprise</t>
  </si>
  <si>
    <t>NC</t>
  </si>
  <si>
    <t>Point sur le dashboard avec le client mi septembre. Relancer le client pour avoir le dashboard</t>
  </si>
  <si>
    <t>Climax - Métier</t>
  </si>
  <si>
    <t>Début Mission métier 17 septembre (Calendrier à valider côté client)</t>
  </si>
  <si>
    <t>MonFourgonShop - Projet</t>
  </si>
  <si>
    <t>Gros de travail de QA à venir suite à MAJ maquette - MAJ maquette client 2ème semaine de septembre- Développement du RAF à partir d'octobre</t>
  </si>
  <si>
    <t xml:space="preserve"> Finaliser au moins les vues principales / Amorcer voir Terminer la recherche + Démo client semaine prochaine + Démo finale 2ème semaine d'octobre +Toute la QA à faire + MAJ de la Documentation =&gt; Très peut de visibilité sur l'AO de la MCO et Lot 2 et Lot 3</t>
  </si>
  <si>
    <t xml:space="preserve">Plus de sous, CA en baisse. Estimation à prévoir de la bascule de Front Commerce vers magnento 2 front. Traitement en cours ticket (Back / Front). Le client pense à faire du PWA studio (etude de faisabilité, benchmark de cette solution VS magento Front). </t>
  </si>
  <si>
    <t>Mi-temps de Firmin jusqu'à fin septembre voire fin décembre</t>
  </si>
  <si>
    <t>Période de garantie terminée. Point client à organiser avec le client ? Contrat de maintenance à evoyer asap</t>
  </si>
  <si>
    <t>Rédaction CDC V1 envoyé lundi 2 septembre. Validation en cours côté VUCA. Point client prévu mi septembre pour validation.</t>
  </si>
  <si>
    <t>Plus de sous, fin d'année il y aura plus de besoins. Les derniers tickets (3) peuvent être fait asap.</t>
  </si>
  <si>
    <t>RDV à planifier avec le client pour valider la prestation de cadrage + redaction CDC. catalogue M1 (Front et Back)</t>
  </si>
  <si>
    <t>CTS - FrontCommerce</t>
  </si>
  <si>
    <t>Tout est traité -&gt; Voir projet robertet IA.</t>
  </si>
  <si>
    <t>Enveloppe à maitriser + Attente Go Midica
Techno : React Nativ (Yves Marie)</t>
  </si>
  <si>
    <t>SCOMO</t>
  </si>
  <si>
    <t>RDV avec le client semaine prochaine. Sont sur Odoo V15. Déployer un e-commerce plutôt sympa B2B. 
Début : Octobre / Novembre</t>
  </si>
  <si>
    <t>Elsa / Benjamin D</t>
  </si>
  <si>
    <t>Arbitrage sur chiffrage. Revue du code MVP. Copil prévu le 25 Septembre</t>
  </si>
  <si>
    <t>Recette avec la cliente : EB56 + MEP EB-123</t>
  </si>
  <si>
    <t>Reste les contributions client + Recette du site à faire</t>
  </si>
  <si>
    <t>Atelier interop le 16/09 . Axe graphique validé. Restitution cadrage prévue fin Septembre ! 
A priori : choix sur Odoo</t>
  </si>
  <si>
    <t>ProVille - Cadrage</t>
  </si>
  <si>
    <t>Attente maquette + restitution cadrage (Fin Septembre)
Techno : Prestashop</t>
  </si>
  <si>
    <t>En cours. Période de garantie ??</t>
  </si>
  <si>
    <t>Retour de recette en cours de traitement chez Lambert</t>
  </si>
  <si>
    <t>Audit de Lambert à faire mi septembre</t>
  </si>
  <si>
    <t>Document marché innovant envoyé. 2 ateliers de cadrage / sem pendant 2 mois. Pour finalisation des spec prévue Novembre 
Retour sur offre SOFRA</t>
  </si>
  <si>
    <t>Deut dev janvier</t>
  </si>
  <si>
    <t>CDC en cours de rédaction côté ONP. Point toutes les 2 semaines pour revue HUCO/ONP.
Pierre montée en compétence PHP !
Retour sur offre SOFRA</t>
  </si>
  <si>
    <t>Date de MEP à valider avec Kevin ?</t>
  </si>
  <si>
    <t xml:space="preserve">Reste 3 jours sur le contrat. Reste 7 jours pour finaliser le projet. Point avec Lambert Lundi pour solution de cartographie. Pas de QA réalisée </t>
  </si>
  <si>
    <t>MEP de tous les sujets en Ready to deploy prévu fin du mois</t>
  </si>
  <si>
    <t>Envoi de la propal vendredi 13 septembre + Resitution fin septembre
Techno : Wordpress (préparer une démo 2/3 jours)</t>
  </si>
  <si>
    <t>Mail synthèse de tous les sujets pour Benoit et priorité associé.</t>
  </si>
  <si>
    <t>Ateliers avec SERMA qui commence le 24 septembre + Dossier innovation à finaliser semaine prochaine</t>
  </si>
  <si>
    <t>Non Attribué</t>
  </si>
  <si>
    <t>A faire en janvier</t>
  </si>
  <si>
    <t>Point avec Big Happy le 19 septembre. Thomas préssentie sur le projet
Techno : React Nativ</t>
  </si>
  <si>
    <t xml:space="preserve">Infrastructure IT de la sorbonne, n'est pas encore prêt. </t>
  </si>
  <si>
    <t>Sprint 7 à démarrer en octobre ! Fin Septembre retour attendu du client.</t>
  </si>
  <si>
    <t>Contacter Big Happy pour accès au site Wordpress pour analyse/estimation</t>
  </si>
  <si>
    <t>CMS - Acapella</t>
  </si>
  <si>
    <t>CMS - Gite de lio</t>
  </si>
  <si>
    <t>CMS - ADSEA</t>
  </si>
  <si>
    <t>7 jours de dev vendu à passer par Kevin. Pas spécialement de deadline.</t>
  </si>
  <si>
    <t>CMS - Mairie Gagnac</t>
  </si>
  <si>
    <t>Maquette à voir côté Cindy</t>
  </si>
  <si>
    <t>CMS - Midi2i</t>
  </si>
  <si>
    <t>CMS - IRdi</t>
  </si>
  <si>
    <t>Patrimoine Immobilier</t>
  </si>
  <si>
    <t>Planning pour l'immobilier</t>
  </si>
  <si>
    <t>Hérault Logement</t>
  </si>
  <si>
    <t>Exem</t>
  </si>
  <si>
    <t>Portail de supervision. Repenser intégralement le front B2B / B2C. Observatoire des ondes site web à refaire. Prestation de cadrage à faire, suite à réception des documents de Lamine. Uniquement le Front à faire + API. - Prévu Mi octobre pour démarrage</t>
  </si>
  <si>
    <t>Réponse faite au client, attete retour client</t>
  </si>
  <si>
    <t>Maquette à voir côté Cindy, en cours</t>
  </si>
  <si>
    <t>Hors FLux Kevin</t>
  </si>
  <si>
    <t xml:space="preserve"> Transfert des anciennes URL vers nouvelles URL. Nouvelle démo prévue le 27 septembre. 
Attente validation des dernières estimations. 
Reste QA à faire.
Fin de projet potentielle fin du mois.
Lot 2, normalement T1 2025 en attente confirmation périmètre MCO / MCS</t>
  </si>
  <si>
    <t>Plus de sous, CA en baisse. Estimation à prévoir de la bascule de Front Commerce vers magnento 2 front. Traitement en cours ticket (Back / Front). Le client pense à faire du PWA studio (etude de faisabilité, benchmark de cette solution VS magento Front). 
Retour à faire au client pour l'estimation du travail à réaliser</t>
  </si>
  <si>
    <t>Montée de version de Front Commerce ou changement ERP. Pas de retour client sur le Backlog. Réunion avec la cliente semaine 38.</t>
  </si>
  <si>
    <t xml:space="preserve">Tickets à reprendre et à finir : EB56 + MEP EB-123
</t>
  </si>
  <si>
    <t>Intégration fichier image ECC 
Formation des équipes (Kevin + Elsa) 
Reste recette client à faire</t>
  </si>
  <si>
    <t>Lot 1 : Enveloppe de 22k€. 
Connecteur à développer.
Connecteur bidirectionnel GLPI &lt;=&gt; CartoSI</t>
  </si>
  <si>
    <t>Faire une montée de version de Drupal au cours T4 =&gt; Voir lambert sur T4</t>
  </si>
  <si>
    <t xml:space="preserve"> Période de garantie (1 mois)
Déploiement wordpress parent.</t>
  </si>
  <si>
    <t>D'ici mi octobre préparer des maquettes pour présentation au client. 
Retour CDC semaine prochaine. Point à caler entre le client et VUCA.</t>
  </si>
  <si>
    <t xml:space="preserve">
Ghislanin et Nicolas travaillent sur l'estimation de passage M1 vers M2 + Front M2. 
RDV à planifier avec le client pour valider la prestation de cadrage + redaction CDC.</t>
  </si>
  <si>
    <t>Arbitrage sur chiffrage. Revue du backlog  MVP. Copil prévu le 25 Septembre.</t>
  </si>
  <si>
    <t>Reprise des sujets sous JIRA. Prestashop QuickRM à MEP.</t>
  </si>
  <si>
    <t>CDC en cours de rédaction côté ONP. Point toutes les 2 semaines pour revue HUCO/ONP.
Attente spec pour Vocalise sous quinzaine (Pierre), point avec le client le 14 octobre. Estimation à faire en suivant.
Retour sur offre SOPRA.</t>
  </si>
  <si>
    <t>Document marché innovant envoyé. 2 ateliers de cadrage / sem pendant 2 mois. Pour finalisation des spec prévue Novembre/Décembre
Retour sur offre SOPRA</t>
  </si>
  <si>
    <t xml:space="preserve">Fin de garantie semaine prochaine. PV de fin garantie envoyé. </t>
  </si>
  <si>
    <t>Planning pour l'immobilier. Estimation à faire. Réponse à faire au client (+ Wireframe Cindy)</t>
  </si>
  <si>
    <t>PV de fin de garantie envoyé. Contrat de maintenance prêt, aucun retour client pour demande de RDV</t>
  </si>
  <si>
    <t>Sont sur Odoo V15. Déployer un e-commerce plutôt sympa B2B. 
Début : Octobre / Novembre
Proposition commerciale à faire pour le 23 septembre ( déploiement d'un e-comerce sur Odoo V17 + Accompagnement Marketing)</t>
  </si>
  <si>
    <t>Sprint 7 à démarrer en octobre ! Correction réserve Sprint 6 en cours.</t>
  </si>
  <si>
    <t>Gros de travail de QA à venir suite à MAJ maquette - MAJ maquette client 3ème semaine de septembre- Développement du RAF à partir d'octobre</t>
  </si>
  <si>
    <t xml:space="preserve">Reste 3 jours sur le contrat. Reste 2 jours pour finaliser le projet. Point avec Lambert Lundi pour solution de cartographie. 
QA à réaliser la semaine prochaine </t>
  </si>
  <si>
    <t>Plus de sous, fin d'année il y aura plus de besoins. Les derniers tickets (2) peuvent être fait asap.</t>
  </si>
  <si>
    <t>Contacter Big Happy pour accès au site.
Prestation de maintenance (+ hébergement à récupérer).
Wordpress pour analyse/estimation internalisation du site.</t>
  </si>
  <si>
    <t>Resitution fin septembre. 
Démo à faire sur un Wordpress ou un adobe XD pour fin Septembre.
Techno : Wordpress (préparer une démo 2/3 jours)</t>
  </si>
  <si>
    <t>TéléSpazio</t>
  </si>
  <si>
    <t xml:space="preserve">En attente documents client. </t>
  </si>
  <si>
    <t>Orange - SuiteCRM</t>
  </si>
  <si>
    <t>Projet de migration vers SuiteCRM pour le groupe Orange</t>
  </si>
  <si>
    <t>Attente retour client</t>
  </si>
  <si>
    <t>RDV planifié avc le client le 08 octobre</t>
  </si>
  <si>
    <t xml:space="preserve">Tickets qui reste à estimer et à fix.
tickets 60 et 61 </t>
  </si>
  <si>
    <t>En cours</t>
  </si>
  <si>
    <t>Check Kevin sur ticket livraison</t>
  </si>
  <si>
    <t>cf. Kevin souci de traduction</t>
  </si>
  <si>
    <t>Pas de tickets.</t>
  </si>
  <si>
    <t>Attente retour maquette projet</t>
  </si>
  <si>
    <t xml:space="preserve"> Transfert des anciennes URL vers nouvelles URL. 
Documentation à mettre à jour.
Nouvelle démo prévue le 27 septembre. 
Attente validation des dernières estimations. 
Reste QA à faire.
Fin de projet potentielle fin du mois.
Point MCO / MCS le 27 septembre. Devis TMA à envoyer semaine prochaine. 
Lot 2, normalement T1 2025 en attente confirmation périmètre MCO / MCS</t>
  </si>
  <si>
    <t>Plus de sous, CA en baisse. Estimation à prévoir de la bascule de Front Commerce vers magnento 2 front. 
Point avec Elsa sur GA4.
Traitement en cours ticket (Back / Front). 
Le client pense à faire du PWA studio (etude de faisabilité, benchmark de cette solution VS magento Front). 
Retour à faire au client pour l'estimation du travail à réaliser.</t>
  </si>
  <si>
    <t>Montée de version de Front Commerce ou changement ERP. 
Tickets à taiter par Audrey.</t>
  </si>
  <si>
    <t>Big Happy (uniquement une maintenance en attendant le projet en 2025) : Réunion avec Tom de Big Happy.</t>
  </si>
  <si>
    <t>Recette comune avec la cliente.
Tickets à reprendre : EB56
Proposition 10 jours de dev</t>
  </si>
  <si>
    <t>En attente de Big Happy. 
Thomas préssentie sur le projet
Techno : React Nativ</t>
  </si>
  <si>
    <t>Restructuration du catalogue 
Finalisation recette client 
MEP : Semaine du 30 septembre</t>
  </si>
  <si>
    <t>Tickets à traiter par Alexandre. RAS</t>
  </si>
  <si>
    <t>Proposition envoyée et attente retour client.
Lot 1 : Enveloppe de 22k€. 
Connecteur à développer.
Connecteur bidirectionnel GLPI &lt;=&gt; CartoSI</t>
  </si>
  <si>
    <t>Faire une montée de version de Drupal au cours T4 =&gt; Esimation du travail à réaliser par un externe sur T4</t>
  </si>
  <si>
    <t>Point avec le client mercredi 25 septembre.</t>
  </si>
  <si>
    <t>Ouverture aux beta testeurs.
Retours d'utilisation attendus semaine du 07 octobre.</t>
  </si>
  <si>
    <t>Restitution cadrage prévue fin Septembre ! 
Chiffrage à prévoir semaine prochaine.
A priori : choix sur Odoo</t>
  </si>
  <si>
    <t xml:space="preserve">
Ghislain et Nicolas travaillent sur l'estimation de passage M1 vers M2 + Front M2. 
Attente retour pour Octobre.
RDV à planifier avec le client pour valider la prestation de cadrage + redaction CDC.</t>
  </si>
  <si>
    <t>CDC en cours de rédaction côté ONP. Point toutes les 2 semaines pour revue HUCO/ONP.
Attente spec pour Vocalise sous quinzaine (Pierre), point avec le client le 14 octobre. Estimation à faire en suivant.
Point SOPRA jeudi prochain</t>
  </si>
  <si>
    <t>Fin de garantie semaine prochaine. PV de fin garantie envoyé. RAS.</t>
  </si>
  <si>
    <t>Proposition envoyée, attente retour client.</t>
  </si>
  <si>
    <t>Attente maquette pour le 27 septembre + restitution cadrage (Début Octobre)
Techno : Prestashop</t>
  </si>
  <si>
    <t>Ateliers avec SERMA qui commence le 24 septembre + Dossier innovation envoyé</t>
  </si>
  <si>
    <t>Sont sur Odoo V15. Déployer un e-commerce plutôt sympa B2B. 
Début : Octobre / Novembre
Attente retour client.
Proposition commerciale à faire pour le 23 septembre (déploiement d'un site vitrine + Accompagnement Marketing)</t>
  </si>
  <si>
    <t>Sprint 7 à démarrer en octobre ! (en attente validation)</t>
  </si>
  <si>
    <t xml:space="preserve">Reste 3 jours sur le contrat. Reste 2 jours pour finaliser le projet. 
Attente contenu Kenza à intégrer au site.
A finaliser la solution de cartographie. 
QA à réaliser la semaine prochaine </t>
  </si>
  <si>
    <t>Plus de sous, fin d'année il y aura plus de besoins.
TR23 QA + PO review</t>
  </si>
  <si>
    <t>Nouveau bug arrivé cette semaien et à traiter semaine pro BATS-61 et BATS-62 -&gt; Module à acheter pour le premier et à estimer pour le second</t>
  </si>
  <si>
    <t>Point sur le dashboard avec le client MSK mi septembre. Relancer le client MSK pour avoir le dashboard</t>
  </si>
  <si>
    <t xml:space="preserve">maquette envoyée, en attente de retour client -&gt; relance à faire </t>
  </si>
  <si>
    <t>Nouvelle démo prévue le 27 septembre. 
Attente validation des dernières estimations. 
Reste QA à faire.
Fin de projet potentielle fin du mois.
Point MCO / MCS le 27 septembre. Devis TMA à envoyer semaine prochaine. 
Lot 2, normalement T1 2025 en attente confirmation périmètre MCO / MCS</t>
  </si>
  <si>
    <t>Estimation Mageznto et PWA OK -&gt; en attente de l'estimation avec StoreFront (PoC à réaliser par Matthieu semaine prochaine) Restitution client à planifier mi-octobre</t>
  </si>
  <si>
    <t>Montée de version de Front Commerce ou changement ERP. 
Tickets à taiter par Audrey.
Estimation d'une refonte Front à faire pour alternative FC</t>
  </si>
  <si>
    <t xml:space="preserve">Victor doit envoyer contact client - Contrat de maintenance envoyé </t>
  </si>
  <si>
    <t>Recette finale semaine prochaine, MEP le 07/10</t>
  </si>
  <si>
    <t>Portail de supervision. Repenser intégralement le front B2B / B2C. Observatoire des ondes site web à refaire. Prestation de cadrage à faire, suite à réception des documents de Lamine. Uniquement le Front à faire + API. - Prévu Mi octobre pour démarrage
Chiffrage ~ Safra</t>
  </si>
  <si>
    <t>En attente de Big Happy. 
Thomas préssenti sur le projet
Techno : React Nativ</t>
  </si>
  <si>
    <t>Restructuration du catalogue -&gt; OK
Finalisation moteur de recherche + scripts X 2 
MEP reportée à la semaine du 07/10</t>
  </si>
  <si>
    <t>Proposition envoyée et attente retour client.
Lot 1 : Enveloppe de 22k€. 
Connecteur à développer.
Connecteur bidirectionnel GLPI &lt;=&gt; CartoSI 
ATTENTE RETOUR CLIENT</t>
  </si>
  <si>
    <t>Travail réalisé. Attente validation client pour passage en production.</t>
  </si>
  <si>
    <t>Enveloppe à maitriser + Attente Go Midica
Techno : React Nativ (Yves Marie) - Socle back à confirmer</t>
  </si>
  <si>
    <t>accelerer les terms dates pour livraison 15/10
Rewards OK</t>
  </si>
  <si>
    <t>Ouverture aux beta testeurs sem du 30/09.
Retours d'utilisation attendus semaine du 07 octobre.
Livraison terms date mi-novembre</t>
  </si>
  <si>
    <t xml:space="preserve"> Période de garantie (1 mois)
Déploiement wordpress parent OK</t>
  </si>
  <si>
    <t>Audit de Lambert terminé - rapport envoyé à Pierre Fort le 26/09</t>
  </si>
  <si>
    <t>Confirmer lancement projet.</t>
  </si>
  <si>
    <t>En attente signature des PV + Contrat de maintenance à proposer.</t>
  </si>
  <si>
    <t>Estimation M1 vers M2 faite -&gt; attente retour client pour planifier rdv</t>
  </si>
  <si>
    <t>Copil réalisé cette semaine -&gt; Validation de la gouvernance interne projet à faire (montée de lambert + proposition à Droptica).
MVP démarré pour aterrissage Décembre 2024.</t>
  </si>
  <si>
    <t>Reprise des sujets sous JIRA. 
Site QuickCRM et NS-TEAM.</t>
  </si>
  <si>
    <t>Réunion à faire avec le client pour finaliser les derniers points.</t>
  </si>
  <si>
    <t>Retour client sem du 08/10</t>
  </si>
  <si>
    <t>Attente maquette pour le 27 septembre + restitution cadrage (7 Octobre)
Techno : Prestashop</t>
  </si>
  <si>
    <t>Présentation de la part Vuca - en attente de retour client</t>
  </si>
  <si>
    <t>Déplacement HuCo à Paris cette semaine - en bonne voie. Itérations sur la roadmap à prévoir -&gt; ATTENTION changement de techno potentiel qui va necessiter de tout redévelopper. Thomas en cours de formation sur les langages dans l'optique de former les autres devs</t>
  </si>
  <si>
    <t>Attente retour client.
Proposition commerciale envoyée le 23 septembre (déploiement d'un site vitrine + Accompagnement Marketing)</t>
  </si>
  <si>
    <t>Sprint 7 (correction de bugs) à démarrer en octobre ! -&gt; Relance cleint à faire semaine prochaine</t>
  </si>
  <si>
    <t xml:space="preserve">Infrastructure IT de la sorbonne, n'est pas encore prêt. Aucun test réalisé à ce jour car des ports n'ont pas été ouverts côté Sorbonne -&gt; ethersys en attente de retour </t>
  </si>
  <si>
    <t>Finalisation carto 
Attente des contenus par client pour intégration</t>
  </si>
  <si>
    <t>Plus de sous, fin d'année il y aura plus de besoins. Ticket TER-48 à traiter (Ghislain) 
TR23 QA + PO review</t>
  </si>
  <si>
    <t>Présentation des devis au client par BH sous quinzaine</t>
  </si>
  <si>
    <t>Techno : Wordpress (préparer une démo 2/3 jours) 
Déplacement à paris le 14/10 à Paris pour présentation au client -&gt; Il faut que l'instance de test + scenario démo soient prêts 
Définir qui sera l'équipe projet</t>
  </si>
  <si>
    <t>Plus de sous, CA en baisse. Estimation à prévoir de la bascule de Front Commerce vers magnento 2 front. 
Point avec Elsa sur GA4.
Traitement en cours ticket (Back / Front). 
Comparatifs techno à finaliser.
Le client pense à faire du PWA studio (etude de faisabilité, benchmark de cette solution VS magento Front). 
Retour à faire au client pour l'estimation du travail à réaliser.
RDV Romain le 17 Octobre (à replanifier)</t>
  </si>
  <si>
    <t>Recette comune avec la cliente.
 ticket EB56 MEP lundi
10 jours de dev démarré (sans validation client)</t>
  </si>
  <si>
    <t>21 octobre AM - Présentation client et Big Happy
Thomas préssentie sur le projet
Techno : React Nativ</t>
  </si>
  <si>
    <t>Restructuration du catalogue 
Finalisation recette client 
MEP : Semaine le 10 Octobre</t>
  </si>
  <si>
    <t>MEP report au 15 Octobre 2024</t>
  </si>
  <si>
    <t>Ouverture aux beta testeurs.
Retours d'utilisation attendus semaine du 21 octobre.</t>
  </si>
  <si>
    <t xml:space="preserve"> RAS</t>
  </si>
  <si>
    <t>Audit fini.
Attente réponse client.</t>
  </si>
  <si>
    <t>Restitution cadrage réalisée avec chiffrage estimé. 
Planifier dernier atelier de conception idéalement fin octobre c'est terminé. 
A priori : choix sur Odoo</t>
  </si>
  <si>
    <t>Contrat de maintenance à proposer.</t>
  </si>
  <si>
    <t>DRM choisi et validé par le client.
MVP démarré pour aterrissage Décembre 2024.</t>
  </si>
  <si>
    <t>Projet de passage comptabilité sur Odoo pour janvier 2025.</t>
  </si>
  <si>
    <t>Réunion avec la direction le mardi 08 octobre pour valider la suite des opérations.</t>
  </si>
  <si>
    <t>Restitution cadrage mardi 08 octobre.
Techno : Prestashop</t>
  </si>
  <si>
    <t>Tout est traité -&gt; Voir projet robertet IA.
Une nouvelle demande client (cf. Redmine)</t>
  </si>
  <si>
    <t>Présentation de la part Vuca - Mardi 08 octobre</t>
  </si>
  <si>
    <t>Ateliers qui se déroule sur le mois d'Octobre. 
Dossier innovation en attente de réponse/retour.</t>
  </si>
  <si>
    <t>Sont sur Odoo V15. Déployer un e-commerce plutôt sympa B2B. 
1er Atelier prévu en novembre (Vendu 2/3 ateliers)</t>
  </si>
  <si>
    <t>Sprint 7 à démarrer en octobre ! (en attente validation/recette client fin de semaine prochaine)</t>
  </si>
  <si>
    <t>Infrastructure IT de la sorbonne, n'est pas encore prêt. Objectif finalisé la semaine prochaine, à relancer.</t>
  </si>
  <si>
    <t>CMS - T3M</t>
  </si>
  <si>
    <t>Reste 3 jours sur le contrat. Reste 2 jours pour finaliser le projet. 
Attente contenu Kenza à intégrer au site.
A finaliser la solution de cartographie. 
QA à réaliser la semaine prochaine.</t>
  </si>
  <si>
    <t>Contacter Big Happy pour accès au site. Attente retour Victor.
Prestation de maintenance (+ hébergement à récupérer).
Devis Wordpress pour analyse/estimation internalisation du site.</t>
  </si>
  <si>
    <t>Resitution 15 Octobre. 
Démo à faire sur un Wordpress ou un adobe XD pour 15 Octobre.
Techno : Wordpress (préparer une démo 2/3 jours)
Qui pour le projet ? Ghislain Interoppérabilité ??</t>
  </si>
  <si>
    <t>Attente retour client pour expression de besoin Odoo</t>
  </si>
  <si>
    <t>Ateliers technique uses case 1 &amp; 2</t>
  </si>
  <si>
    <t>Ling</t>
  </si>
  <si>
    <t>Attente retour maquette projet. PRévoir relance client la semaine prochaine</t>
  </si>
  <si>
    <t>RAS. A voir ce qu'il y a à faire ?</t>
  </si>
  <si>
    <t xml:space="preserve"> Transfert des anciennes URL vers nouvelles URL. 
Documentation à mettre à jour.
Nouvelle démo prévue la semaine du 20 octobre. 
Reste QA à faire.
Fin de projet potentielle fin du mois.
Point MCO / MCS le 27 septembre. Devis TMA à envoyer le 11 Octobre. 
Lot 2, normalement T1 2025 </t>
  </si>
  <si>
    <t>Plus de sous, CA en baisse. Estimation à prévoir de la bascule de Front Commerce vers magnento 2 front. 
Point avec Elsa sur GA4.
Traitement en cours ticket (Back / Front). 
Comparatifs techno à finaliser.
Le client pense à faire du PWA studio (etude de faisabilité, benchmark de cette solution VS magento Front). 
Retour à faire au client pour l'estimation du travail à réaliser.
RDV Romain la semaine du 17 Octobre</t>
  </si>
  <si>
    <t xml:space="preserve"> ticket EB56  en recette client
10 jours de dev démarré (sans validation client)
RDV Client à planifier</t>
  </si>
  <si>
    <t>Exem - Portail Supervision</t>
  </si>
  <si>
    <t>Portail de supervision. Repenser intégralement le front B2B / B2C. Observatoire des ondes site web à refaire. Prestation de cadrage à faire, suite à réception des documents de Lamine. Uniquement le Front à faire + API. -
 RDV présentation client le mercredi 23 octobre PM 
Chiffrage ~ Safra</t>
  </si>
  <si>
    <t>MAJ de la présentation pour mise à dispo de Caroline.
Présentation client le mercredi 16 octobre</t>
  </si>
  <si>
    <t>21 octobre PM - Présentation client et Big Happy
Thomas préssentie sur le projet
Techno : React Nativ</t>
  </si>
  <si>
    <t>Go live lundi 14 octobre
Finalisation recette client 
MEP : Semaine le 10 Octobre</t>
  </si>
  <si>
    <t>Ouverture aux beta testeurs.
Retours d'utilisation attendus semaine du 21 octobre.
MEP du food et des rewards le 16 octobre</t>
  </si>
  <si>
    <t>2 tickets en cours</t>
  </si>
  <si>
    <t>Formation le lundi 14 octobre.
Projet de migration Odoo SaaS -&gt; On Premise</t>
  </si>
  <si>
    <t xml:space="preserve">
Ghislain et Nicolas travaillent sur l'estimation de passage M1 vers M2 + Front M2. 
Attente retour pour Octobre.
RDV semaine du 21 octobre pour présentation M1 vers M2 / Comparatifs technos.
RDV à planifier avec le client pour valider la prestation de cadrage + redaction CDC.</t>
  </si>
  <si>
    <t>Mise en place instance de DEV pour Guyd et Vitrium (avec données de démo).
MVP démarré pour aterrissage Décembre 2024.</t>
  </si>
  <si>
    <t>Projet de passage comptabilité sur Odoo pour janvier 2025.
Définir un plan d'action le lundi 21 octobre.
Montée de version Odoo V16 -&gt; V17</t>
  </si>
  <si>
    <t>CDC en cours de rédaction côté ONP. Point toutes les 2 semaines pour revue HUCO/ONP.
 Point SOPRA jeudi prochain</t>
  </si>
  <si>
    <t>RAF les tickets en Q (5 à valider).
MAil à faire pour présenter le RAF - test unitaire).
Résolution performance du Odoo.
Compta Zeendoc !</t>
  </si>
  <si>
    <t>Mi-temps de Firmin jusqu'à fin septembre voire fin décembre. 
Livraison de tickets à prévoir semaine prochaine(prévoir 1h de Audrey / semaine)</t>
  </si>
  <si>
    <t>Comptoir du monde - SuiteCRM - VUCA</t>
  </si>
  <si>
    <t>Attente CDC début novembre</t>
  </si>
  <si>
    <t>Démarrage projet semaine prochaine. Attente validation de la prestation de Sandra ?? 
Techno : Prestashop</t>
  </si>
  <si>
    <t>PV de fin de garantie envoyé. Contrat de maintenance prêt, aucun retour client.
Q1 2025 pour nouveau projet.</t>
  </si>
  <si>
    <t>Robertet Intranet</t>
  </si>
  <si>
    <t>Ateliers qui se déroule sur le mois d'Octobre. 
Dossier innovation à affiner avec précisions.</t>
  </si>
  <si>
    <t>Infrastructure IT de la sorbonne, n'est pas encore prêt. Installation preprod le 22 octobre par Cyprien (ethersys).</t>
  </si>
  <si>
    <t>Resitution 15 Octobre. 
Démo à faire sur un Wordpress ou un adobe XD pour 15 Octobre.
Techno : Wordpress (préparer une démo 2/3 jours)
Qui pour le projet ?
50 jours d'interopérabilité
50 jours d'intégration</t>
  </si>
  <si>
    <t>TéléSpazio - CNES</t>
  </si>
  <si>
    <t>Démonstration à faire pour le 28 octobre. Création d'instance de démo à faire avec Vincent et Bertrand.</t>
  </si>
  <si>
    <t>ONP / VOCALISE</t>
  </si>
  <si>
    <t>point avec le client le 14 octobre. Estimation à faire en suivant.
Réception des spec. et point avec le client programmé. Estimation à envoyer la semaine 42.</t>
  </si>
  <si>
    <t>Huco - Communication</t>
  </si>
  <si>
    <t>Finir les recettes sur NS Team /  QuicCRM 
Faire la repasse de tous les sites internes / revoir les liens</t>
  </si>
  <si>
    <t>A valider avec le client, le ticket de preprod.</t>
  </si>
  <si>
    <t>Front Commerce - Maintenir avec plus de réactivité. 
Proposition de migration à faire pour un nouveau e-commerce avant Noël.</t>
  </si>
  <si>
    <t>Ateliers technique uses case 1 &amp; 2 &amp; 3.</t>
  </si>
  <si>
    <t>CMS - Font de Mazeilles</t>
  </si>
  <si>
    <t>Problème module carte bancaire.
Tuto à faire pour modification de Front.</t>
  </si>
  <si>
    <t>RAS.
Favicon sur search google</t>
  </si>
  <si>
    <t xml:space="preserve"> Transfert des anciennes URL vers nouvelles URL. 
Documentation à mettre à jour.
Nouvelle démo prévue la semaine du 20 octobre. 
Reste QA à faire.
Fin de projet potentielle fin du mois.
Point MCO / MCS le 27 septembre. Devis TMA à envoyer semaine pro. 
Lot 2, normalement T1 2025 </t>
  </si>
  <si>
    <t>Plus de sous, CA en baisse. 
GA4 à finir par Audrey.
Attente retour client suite à présentation.
Traitement en cours ticket (Back / Front).</t>
  </si>
  <si>
    <t>Big Happy (uniquement une maintenance en attendant le projet en 2025). En attente côté client.</t>
  </si>
  <si>
    <t xml:space="preserve"> ticket EB56  en recette client
10 jours de dev démarré (sans validation client)
RDV Client semaine du 28 octobre. + Contractualisation à revoir avec JPF</t>
  </si>
  <si>
    <t>Attente retour client suite à présentation.</t>
  </si>
  <si>
    <t>Medule de menu à refaire
Détails esthétique à reprendre =&gt; Tout part chez Sandra</t>
  </si>
  <si>
    <t>Proposition envoyée et attente retour client.
Lot 1 : Enveloppe de 22k€. 
Connecteur à développer.
Connecteur bidirectionnel GLPI &lt;=&gt; CartoSI
Partie Infra prévue pour 2025</t>
  </si>
  <si>
    <t>RAS.</t>
  </si>
  <si>
    <t>Recette commune pendant les 15 prochains jours avec le client et Ling</t>
  </si>
  <si>
    <t>Planifier point interne avec l'équipe Odoo.
Planifier le point client.</t>
  </si>
  <si>
    <t xml:space="preserve">
Créaion du portail enfant + API Outlook
Ouverture aux beta testeurs à prévoir. =&gt; Retours d'utilisation attendus semaine du 21 octobre.</t>
  </si>
  <si>
    <t>Attenre validation client.</t>
  </si>
  <si>
    <t xml:space="preserve">Maquette à présenter plus tard au client. 
Retour CDC semaine prochaine. 
Point hebdo entre Huco, Vuca et Kriss Laure. </t>
  </si>
  <si>
    <t>Audit fini.
Devis accepté client.
Migration à faire (infra) 
Reprise du code et mise à jour (iso preprod/prod) Symfony =&gt; Vincent pressentie</t>
  </si>
  <si>
    <t>Proposer un planning et fixer un budget suite à la réunion du 22.</t>
  </si>
  <si>
    <t>Projet de migration Odoo SaaS -&gt; On Premise. Revenir vers client début novembre pour suite pojet.</t>
  </si>
  <si>
    <t xml:space="preserve">
Attente confirmation cadrage + valider le périmètre.</t>
  </si>
  <si>
    <t>Projet de passage comptabilité sur Odoo pour janvier 2025.
Définir un plan d'action le lundi 21 octobre.
Montée de version Odoo V16 -&gt; V17 ( Projet d'anonymisation)</t>
  </si>
  <si>
    <t xml:space="preserve">RDV avec VUCA le 28 octobre </t>
  </si>
  <si>
    <t>ProVille - Prestashop</t>
  </si>
  <si>
    <t xml:space="preserve">Démarrage projet le 21 octobre (Sandra) </t>
  </si>
  <si>
    <t>Une nouvelle demande client (cf. Redmine)</t>
  </si>
  <si>
    <t>Présentation de la part Vuca - Mardi 08 octobre
Retour de Vuca positif. Chiffrage à réaliser.</t>
  </si>
  <si>
    <t>Kick Off à prévoir avant fin Octobre
1er Atelier prévu en novembre (Vendu 2/3 ateliers)</t>
  </si>
  <si>
    <t>1er retour à chiffrer/traiter pour planification dans le sprint 7.</t>
  </si>
  <si>
    <t>Infrastructure IT de la sorbonne, n'est pas encore prêt. 
Installation preprod le 22 octobre par Cyprien (ethersys).
PV de recette envoyé et en attente retour client.
Devis de la maintenance envoyé. Attente retour.</t>
  </si>
  <si>
    <t>Attente rdv client 2025</t>
  </si>
  <si>
    <t>Contenu reçu de Kenza le 15 octobre. 
Tickets à créer dans Jira pour Michaël + Intégration contenu.
A finaliser la solution de cartographie + d'autres détails. 
Feedback attendus à envoyer à Big Happy</t>
  </si>
  <si>
    <t>Contacter Big Happy pour accès au site. Attente retour Victor.
Prestation de maintenance (+ hébergement à récupérer).
Devis Wordpress pour analyse/estimation internalisation du site à MAJ sans hébergement Data.</t>
  </si>
  <si>
    <t xml:space="preserve">Démonstration faite au client. 
Attente questions client. </t>
  </si>
  <si>
    <t>Démarrage des devs sur vocalise, à finaliser au fil de l'eau.
Réception des spec. et point avec le client programmé. Estimation à envoyer la semaine 42.</t>
  </si>
  <si>
    <t>Relance client pour s'assurer que tout est ok.</t>
  </si>
  <si>
    <t>Tickets qui reste à estimer et à fix.
7 tickets à traiter</t>
  </si>
  <si>
    <t>Ateliers technique semaine prochaine, outil de planification.</t>
  </si>
  <si>
    <t>SH Code faire. En attente retour PO review.</t>
  </si>
  <si>
    <t>7 jours de dev vendu à passer par Kevin. 
Pas spécialement de deadline.
Mega menu todo</t>
  </si>
  <si>
    <t>Problème module carte bancaire.
Tuto à faire pour modification de Front.
En attente retour client</t>
  </si>
  <si>
    <t>Attente retour maquette projet.
4 novembre (présentation en interne)
 PRévoir relance client la semaine prochaine</t>
  </si>
  <si>
    <t>Contenu reçu de Kenza le 15 octobre. 
Tickets à créer dans Jira pour Michaël + Intégration contenu.
A finaliser la solution de cartographie + d'autres détails. 
MEP Mi novembre à valider</t>
  </si>
  <si>
    <t xml:space="preserve">Démo finalisé. PV de livraison envoyé. 
Reste des tâches pour déployer en preprod.
Début de recette client le 7 novembre (pour 2 mois).
Attente retour proposition de maintenance le 7 novembre.
Lot 2, normalement T1 2025 </t>
  </si>
  <si>
    <t>Plus de sous, CA en baisse. 
GA4 à finir par Audrey.
Proposition non retenue. 
Traitement en pause (Back / Front).</t>
  </si>
  <si>
    <t>Front Commerce - 8 tickets en cours ( 4 à estimer)
Proposition de migration à faire pour un nouveau e-commerce avant Noël.</t>
  </si>
  <si>
    <t xml:space="preserve"> ticket EB56  en recette client
10 jours de dev démarré (sans validation client)
RDV Client 29 octobre
 + Contractualisation à revoir avec JPF</t>
  </si>
  <si>
    <t xml:space="preserve">Attente retour client pour démarrage phase cadrage. Retour client prévu début décembre. </t>
  </si>
  <si>
    <t>Paul revoit le client jeudi 31 octobre.
Thomas préssentie sur le projet
Techno : React Nativ (Thomas / Quentin)</t>
  </si>
  <si>
    <t>Le projet a démarré, mais plus besoin d'une aide externe.</t>
  </si>
  <si>
    <t>Détails esthétique à reprendre =&gt; En cours chez Clément</t>
  </si>
  <si>
    <t>Faire un mail sur charte MailDRop.</t>
  </si>
  <si>
    <t>Déployer NS Team + recette
QA de tous les sites</t>
  </si>
  <si>
    <t>Recette client en cours. 
Spécifications fonctionnelles Firefly
Test unitaire en cours de développement</t>
  </si>
  <si>
    <t>Tanya a finalisé le dev du connecteur. 
Planifier le point client.</t>
  </si>
  <si>
    <t>Portail enfant en finalisation côté front
Ouverture aux beta testeurs à prévoir.</t>
  </si>
  <si>
    <t>Maquette à présenter plus tard au client. 
OCR en cours de traitement.
Point hebdo entre Huco, Vuca et Kriss Laure pour finalisation CDC.</t>
  </si>
  <si>
    <t>Attente retour client. Penser à finir le cadrage, voir atelier avec la foire fouille.
Proposer un planning et fixer un budget suite à la réunion du 22.</t>
  </si>
  <si>
    <t>Contrat de maintenance à proposer.
Envoyer estimation sur la création d'articles en masse.</t>
  </si>
  <si>
    <t>Projet de migration Odoo SaaS -&gt; On Premise. Attente retour clinet pour formation Odoo Fabrication/compta.</t>
  </si>
  <si>
    <t xml:space="preserve">
Attente CDC.</t>
  </si>
  <si>
    <t>COPIL semaine prochaine.
MVP démarré pour aterrissage Décembre 2024.</t>
  </si>
  <si>
    <t>CDC en cours de rédaction côté ONP. 
Plus de nouvelles côté GDP ONP, attente validation RACI.</t>
  </si>
  <si>
    <t>Document marché innovant envoyé. 2 ateliers de cadrage / sem pendant 2 mois. Pour finalisation des spec prévue Novembre/Décembre.
Attente retour pour marché innovant
Prestation avec SOPRA finalisée fin du mois d'octobre.</t>
  </si>
  <si>
    <t>Démarrage des devs sur vocalise, à finaliser au fil de l'eau.
Livraison prévue pour le 31 octobre.
Nouvelles specs. à venir. 
Prestation d'accompagnement de lambert à proposer. 
OIDC mi décembre.
Mise en place d'un workflow multi-niveaux (voir Thierry pour le faire, attente retour client fin novembre)
Estimation à envoyer la semaine 42.</t>
  </si>
  <si>
    <t>RAF les tickets en Q (5 à valider).
Point avec ZeenDoc semaine prochaine.
Résolution performance du Odoo en cours. Compta Zeendoc !</t>
  </si>
  <si>
    <t>Mi-temps de Firmin jusqu'à fin septembre voire fin décembre. 
Livraison de tickets à prévoir semaine prochaine(prévoir 1h de Audrey / semaine).
MEP prévu mi-décembre (Audrey S)</t>
  </si>
  <si>
    <t>RAS.
V3 horizon 2025</t>
  </si>
  <si>
    <t>Proposition envoyée, attente retour client.
Visio avec le DSI le 05 novembre.</t>
  </si>
  <si>
    <t xml:space="preserve">Démarrage projet le 21 octobre (Sandra + Clément) </t>
  </si>
  <si>
    <t>4 tickets ouverts (attente retour client)</t>
  </si>
  <si>
    <t>Atelier qui se déroule le 19 novembre. 
Mise en place d'une VM avant l'atelier.
Dossier innovation à affiner avec précisions.</t>
  </si>
  <si>
    <t>Kick Off à prévoir avant début novembre
1er Atelier prévu en novembre (Vendu 2/3 ateliers)</t>
  </si>
  <si>
    <t>Attente du devis signé par le client pour le Sprint 7.</t>
  </si>
  <si>
    <t>Infrastructure IT de la sorbonne, n'est pas encore prêt. 
Installation preprod le 28 octobre par Cyprien (ethersys).
PV de recette envoyé et en attente retour client.
Devis de la maintenance envoyé. Attente retour.</t>
  </si>
  <si>
    <t>Affaire perdue.</t>
  </si>
  <si>
    <t>Ville&amp;Vélos</t>
  </si>
  <si>
    <t>Cadrage à planifier (4 ateliers). 
Prévision : Restitution cadrage début janvier</t>
  </si>
  <si>
    <t>Tickets qui reste à estimer et à fix.
1 tickets à traiter côté huco</t>
  </si>
  <si>
    <t>Ateliers technique le 14 novembre. 
Planifier la restitution finale (fin novembre / début décembre)</t>
  </si>
  <si>
    <t>Intégration contenu.
A finaliser la solution de cartographie + d'autres détails. 
MEP 6 novembre à valider</t>
  </si>
  <si>
    <t xml:space="preserve">Démo finalisé. PV de livraison envoyé. 
Reste des tâches pour déployer en preprod.
Début de recette client le 12 novembre (pour 2 mois). =&gt; retard
Attente retour proposition de maintenance le 7 novembre.
Lot 2, normalement T1 2025 </t>
  </si>
  <si>
    <t>CDC attendu semaine prochaine.</t>
  </si>
  <si>
    <t>Front Commerce - 1 ticket à estimer
Proposition de migration à faire pour un nouveau e-commerce avant Noël.</t>
  </si>
  <si>
    <t xml:space="preserve"> ticket EB56  en recette client - EB56 MEP semaine prochaine
10 jours de dev démarré (sans validation client)
 + Contractualisation en cours</t>
  </si>
  <si>
    <t>Relancer le client début novembre</t>
  </si>
  <si>
    <t>PV de recette envoyé et démarrage de garantie jusqu'au 17 novembre</t>
  </si>
  <si>
    <t>Proposition envoyée et attente retour client.
Lot 1 : Enveloppe de 22k€. 
Connecteur à développer.
Connecteur bidirectionnel GLPI &lt;=&gt; CartoSI (Projet abandonné pour CartoSI)
Partie Infra prévue pour 2025 (80K€ de budget au lieu 150K€)</t>
  </si>
  <si>
    <t>Recette NSTEAM TODO (Ling)
QA de tous les sites (Ling)</t>
  </si>
  <si>
    <t>Montée de version Drupal faite.
 Reprise du contact avec le client par Tiffany MyBoutique</t>
  </si>
  <si>
    <t>Recette client en cours sur report =&gt; modification fonctionnelle à valider côté client
Benchmark Firefly à présenter au client
Test unitaire en cours de développement</t>
  </si>
  <si>
    <t>Tanya a finalisé le dev du connecteur. 
Planifier le point client 7 novembre</t>
  </si>
  <si>
    <t>Maquette à présenter plus tard au client. 
POC de l'OCR réalisé par Thomas.
Point hebdo entre Huco, Vuca et Kriss Laure pour finalisation CDC.</t>
  </si>
  <si>
    <t>Audit fini.
Devis accepté client.
Migration à faire (infra) semaine prochaine. + Mise en place de CI/CD dans 2 semaines.
Reprise du code et mise à jour (iso preprod/prod) Symfony =&gt; Vincent pressentie</t>
  </si>
  <si>
    <t>Recette client prévu le 14 novembre. 
Prévoir instance de preprod + CI/CD.
MVP démarré pour aterrissage Décembre 2024.</t>
  </si>
  <si>
    <t>Projet de passage comptabilité sur Odoo pour janvier 2025.
Rapprochement bancaire à finaliser par Laza/Nicolas Petit.
Montée de version Odoo V16 -&gt; V17 ( Projet d'anonymisation)</t>
  </si>
  <si>
    <t>Document marché innovant envoyé. Poursuite des ateliers sur le mois de novembre. Pour finalisation des spec prévue Décembre.
Repasse à faire pour le marché innovant
Prestation avec SOPRA finalisée fin du mois d'octobre.</t>
  </si>
  <si>
    <t>Démonstration réalisée. En attente nouveau projet client.</t>
  </si>
  <si>
    <t>Equalog</t>
  </si>
  <si>
    <t>Benchmark des solutions SuiteCRM / Odoo pour le besoin client.</t>
  </si>
  <si>
    <t>SCOGAL</t>
  </si>
  <si>
    <t>Réception CDC par Olivier (SOMSI / DSI à temps partagé).</t>
  </si>
  <si>
    <t>RAF les tickets en Q (5 à valider).
Résolution performance du Odoo à valider avec le client. 
Compta Zeendoc !</t>
  </si>
  <si>
    <t>Mi-temps de Firmin jusqu'à fin septembre voire fin décembre. 
Livraison de tickets à prévoir semaine prochaine(prévoir 1h de Audrey / semaine).
MEP prévu fin novembre (Audrey S)</t>
  </si>
  <si>
    <t>Proposition envoyée, attente retour client.
Backlog à relire par Elsa
Visio avec le DSI à replanifier</t>
  </si>
  <si>
    <t xml:space="preserve">Démarrage projet le 04 novembre (Sandra + Clément) </t>
  </si>
  <si>
    <t>Présentation de la part Vuca - Mardi 08 octobre
Retour de Vuca positif. 
Chiffrage réalisé par Thomas (200 jours) - mi-novembre</t>
  </si>
  <si>
    <t>1 tickets ouvert, à traiter le 8 (attente retour client)</t>
  </si>
  <si>
    <t>Atelier qui se déroule le 19 novembre à Pessac. 
Mise en place d'une VM avant l'atelier.
Dossier innovation à affiner avec précisions.</t>
  </si>
  <si>
    <t>Refuse de payer le devis pour le Sprint 7.
Attente retour complet du client sur les tickets à traiter (Bug / Evolution) 
Contrat de maintenance à prévoir.</t>
  </si>
  <si>
    <t>Infrastructure IT de la sorbonne, n'est pas encore prêt. 
Installation preprod le 28 octobre par Cyprien (ethersys).
PV de recette envoyé et en attente retour client du service financier.
Devis de la maintenance envoyé. Attente retour.</t>
  </si>
  <si>
    <t>Gros de travail de QA à venir suite à MAJ maquette - MAJ maquette semaine prochaine - Développement du RAF à partir d'octobre</t>
  </si>
  <si>
    <t>Contacter Big Happy pour accès au site. Projet en standbye.
Prestation de maintenance (+ hébergement à récupérer).
Devis Wordpress pour analyse/estimation internalisation du site à MAJ sans hébergement Data.</t>
  </si>
  <si>
    <t>SH Code faire. En attente retour PO review.
Nicolas Pernot monte sur le sujet (prestashop)</t>
  </si>
  <si>
    <t>Relancer le client début novembre par Olivier</t>
  </si>
  <si>
    <t>Tickets à traiter par Alexandre. RAS
Point client sur les tickets le 15 novembre (18 tickets à valider côté client)</t>
  </si>
  <si>
    <t>Faire un mail sur charte MailDRop.
Nouvelle demande sur un wordpress (dépannage)</t>
  </si>
  <si>
    <t>Contrat de maintenance à proposer.
En attente validation création de masse.</t>
  </si>
  <si>
    <t>Benchmark des solutions SuiteCRM / Odoo pour le besoin client.
Estimation à faire pour la semaine prochaine</t>
  </si>
  <si>
    <t>ALLORA</t>
  </si>
  <si>
    <t>Récupération du projet d'hébergement du wordpress à prévoir (attente du devis).
Relancer pour le devis hébergement</t>
  </si>
  <si>
    <t>Kick Off à prévoir avant début novembre
1er Atelier prévu en novembre - Mi-Février 2025 (Vendu 2/3 ateliers)</t>
  </si>
  <si>
    <t>Affectation</t>
  </si>
  <si>
    <t>Campagne de mail à faire au client</t>
  </si>
  <si>
    <t>Mail à faire à Ourak pour suivi de la suite des opérations</t>
  </si>
  <si>
    <t>Attente réponse de Farinia pour fin de semaine 49</t>
  </si>
  <si>
    <t>Contrat de maintenance à proposer.
En attente validation création de masse.
Faire un point avec le client et vérifier que tout est ok</t>
  </si>
  <si>
    <t>Faire un mail pour valider le choix de suiteCRM et discussion avec Benoit</t>
  </si>
  <si>
    <t>Code Couleur à faire pour Equalog + Faire un retour à cesar avec un chiffrage et l'approche de huco + Prévoir une démonstration</t>
  </si>
  <si>
    <t xml:space="preserve">Identifier les fonctionnalités clés pour un backlog + Préparer des slides </t>
  </si>
  <si>
    <t>Récupération du projet d'hébergement du wordpress à prévoir (attente du devis).
Relancer pour le devis hébergement
Relancer Allora sur le besoin d'hébergement et ou le besoins de nouvelles fonctionnalités</t>
  </si>
  <si>
    <t>ZODREAM</t>
  </si>
  <si>
    <t>RDV client le Mercredi 18 décembre</t>
  </si>
  <si>
    <t>Voir JPF</t>
  </si>
  <si>
    <t>Point semaine prochaine</t>
  </si>
  <si>
    <t>RDV le lundi 09 décembre (interne) et le 18 décembre avec le client</t>
  </si>
  <si>
    <t>RAF les tickets en Q (5 à valider).
Résolution performance du Odoo à valider avec le client. 
Compta Zeendoc !</t>
  </si>
  <si>
    <r>
      <rPr>
        <sz val="10"/>
        <color rgb="FF000000"/>
        <rFont val="Arial"/>
      </rPr>
      <t xml:space="preserve">Point sur le dashboard avec le client MSK mi septembre. 
Relance du client sur les dashboard le </t>
    </r>
    <r>
      <rPr>
        <b/>
        <sz val="10"/>
        <color rgb="FF000000"/>
        <rFont val="Arial"/>
      </rPr>
      <t>02 Décembre</t>
    </r>
  </si>
  <si>
    <r>
      <rPr>
        <sz val="10"/>
        <color rgb="FF000000"/>
        <rFont val="Arial"/>
      </rPr>
      <t xml:space="preserve">Mail de relance fait à Lamine le </t>
    </r>
    <r>
      <rPr>
        <b/>
        <sz val="10"/>
        <color rgb="FF000000"/>
        <rFont val="Arial"/>
      </rPr>
      <t>02 Décembre</t>
    </r>
  </si>
  <si>
    <r>
      <rPr>
        <sz val="10"/>
        <color rgb="FF000000"/>
        <rFont val="Arial"/>
      </rPr>
      <t xml:space="preserve">Tickets à traiter par Alexandre. 
Point client sur les tickets le </t>
    </r>
    <r>
      <rPr>
        <b/>
        <sz val="10"/>
        <color rgb="FF000000"/>
        <rFont val="Arial"/>
      </rPr>
      <t xml:space="preserve">17 décembre </t>
    </r>
    <r>
      <rPr>
        <sz val="10"/>
        <color rgb="FF000000"/>
        <rFont val="Arial"/>
      </rPr>
      <t>(18 tickets à valider côté client)</t>
    </r>
  </si>
  <si>
    <r>
      <rPr>
        <sz val="10"/>
        <color rgb="FF000000"/>
        <rFont val="Arial"/>
      </rPr>
      <t xml:space="preserve">Contrat de maintenance à proposer.
En attente validation création de masse.
Point avec le client le </t>
    </r>
    <r>
      <rPr>
        <b/>
        <sz val="10"/>
        <color rgb="FF000000"/>
        <rFont val="Arial"/>
      </rPr>
      <t>20 Décembre</t>
    </r>
  </si>
  <si>
    <t>Projet de migration Odoo SaaS -&gt; On Premise. Attente retour client pour formation Odoo Fabrication/compta.</t>
  </si>
  <si>
    <r>
      <rPr>
        <sz val="10"/>
        <color rgb="FF000000"/>
        <rFont val="Arial"/>
      </rPr>
      <t>Projet de passage comptabilité sur Odoo pour janvier 2025.
Rapprochement bancaire à finaliser par Nicolas Petit.
Montée de version Odoo V16 -&gt; V17 ( Projet d'anonymisation) =&gt;</t>
    </r>
    <r>
      <rPr>
        <b/>
        <sz val="10"/>
        <color rgb="FF000000"/>
        <rFont val="Arial"/>
      </rPr>
      <t xml:space="preserve"> Done by Alexandre Merancienne</t>
    </r>
  </si>
  <si>
    <r>
      <rPr>
        <sz val="10"/>
        <color rgb="FF000000"/>
        <rFont val="Arial"/>
      </rPr>
      <t xml:space="preserve">Démosntration prévue pour le 10 janvier 25. 
</t>
    </r>
    <r>
      <rPr>
        <b/>
        <sz val="10"/>
        <color rgb="FF000000"/>
        <rFont val="Arial"/>
      </rPr>
      <t>Proposition envoyée !</t>
    </r>
  </si>
  <si>
    <t>Midi2i - SuiteCRM</t>
  </si>
  <si>
    <t>Attente chef projet : chez midi2i pour le 10 et 15 janvier 2025</t>
  </si>
  <si>
    <r>
      <rPr>
        <sz val="10"/>
        <color rgb="FF000000"/>
        <rFont val="Arial"/>
      </rPr>
      <t xml:space="preserve">Projet en attente côté client. Démarrage potentiel pour </t>
    </r>
    <r>
      <rPr>
        <b/>
        <sz val="10"/>
        <color rgb="FF000000"/>
        <rFont val="Arial"/>
      </rPr>
      <t>Septembre 2025</t>
    </r>
  </si>
  <si>
    <r>
      <rPr>
        <sz val="10"/>
        <color rgb="FF000000"/>
        <rFont val="Arial"/>
      </rPr>
      <t xml:space="preserve">RDV le lundi 09 décembre (interne) et le </t>
    </r>
    <r>
      <rPr>
        <b/>
        <sz val="10"/>
        <color rgb="FF000000"/>
        <rFont val="Arial"/>
      </rPr>
      <t>18 décembre</t>
    </r>
    <r>
      <rPr>
        <sz val="10"/>
        <color rgb="FF000000"/>
        <rFont val="Arial"/>
      </rPr>
      <t xml:space="preserve"> avec le client</t>
    </r>
  </si>
  <si>
    <r>
      <rPr>
        <sz val="10"/>
        <color rgb="FF000000"/>
        <rFont val="Arial"/>
      </rPr>
      <t xml:space="preserve">RAF les tickets en Q (5 à valider).
Résolution performance du Odoo à valider avec le client. 
Compta Zeendoc </t>
    </r>
    <r>
      <rPr>
        <b/>
        <sz val="10"/>
        <color rgb="FF000000"/>
        <rFont val="Arial"/>
      </rPr>
      <t xml:space="preserve">à MEP
</t>
    </r>
    <r>
      <rPr>
        <sz val="10"/>
        <color rgb="FF000000"/>
        <rFont val="Arial"/>
      </rPr>
      <t>Faire un retour sur les estimations de Mikael</t>
    </r>
  </si>
  <si>
    <t>Hebergement à voir pour début janvier</t>
  </si>
  <si>
    <t>régie engagement de moyen VS forfait
Régie =&gt; Pas de régie !</t>
  </si>
  <si>
    <t>Mise en concurrence il faut forcément être plus malin</t>
  </si>
  <si>
    <t>Projet en standby en attente retour client</t>
  </si>
  <si>
    <t>BU</t>
  </si>
  <si>
    <t>(Tous)</t>
  </si>
  <si>
    <t>Vision Client</t>
  </si>
  <si>
    <t>Date prochain échange client</t>
  </si>
  <si>
    <t>Actualité 
Projet</t>
  </si>
  <si>
    <t>Actualité 
Commerciale</t>
  </si>
  <si>
    <t>Actualité
Technique</t>
  </si>
  <si>
    <t>Airbus Robotics</t>
  </si>
  <si>
    <t>Préparer le "catalogue" des compétences à proposer</t>
  </si>
  <si>
    <t>(vide)</t>
  </si>
  <si>
    <t>BATS</t>
  </si>
  <si>
    <t>- 2 tickets en Po</t>
  </si>
  <si>
    <t>- Présentation refonte sur Hyva (~ 130 jours) Magento
La direction doit viser le document de refonte du fronte pour validation 
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t>
  </si>
  <si>
    <t>Be ys / quantum / HEKA / MSK</t>
  </si>
  <si>
    <t>- Point à suivre avec la cliente sur la partie Marketing.
- Instance de pilotage projet à définir côté client</t>
  </si>
  <si>
    <t>- Présentation partie marketing à la directrice marketing de quantumacy. Attente retour de sa part lors du prochain point.</t>
  </si>
  <si>
    <t>- Proposition de migration du Odoo (suite à augmentation des tarifs odoo, ~ 3 jours)</t>
  </si>
  <si>
    <t>CAELIS</t>
  </si>
  <si>
    <t>Build en cours / projet avance dans les temps / attente retour client sur partie CRM et Opérations de maintenance
- Préparer le COPIL</t>
  </si>
  <si>
    <t>CANOVAS INVERSIO</t>
  </si>
  <si>
    <t xml:space="preserve">- Accompagnement finalisation structuration catalogue.
- Démarrage prestation front ecommerce (5 jours) </t>
  </si>
  <si>
    <t>- Relance de facturation
- Finaliser le lancement Etapa , et proposer un accompagnement   pour le deploiement des multi depots et comptabilité lié</t>
  </si>
  <si>
    <t>CFC (dev)</t>
  </si>
  <si>
    <t xml:space="preserve">Voir avec DSI quand amorcer le transfert de compétence pour reprise dashboard + identification des devs à réaliser -&gt; ateliers à prévoir avec Guillaume
</t>
  </si>
  <si>
    <t xml:space="preserve"> - A priori plus de budget à consacrer au dashboard sur la fin de l'année =&gt; mais gros potentiel sur 2026
prestation de cadrage pour les fonctionnalités additonnelles dashboard? 
- intégration de la fonctionnalité de déclaratif de consultation d'articles au dashboard? 
- Changement possible de DG d'ici la fin de l'année =&gt; échange à prévoir avec le DSI pour prendre température</t>
  </si>
  <si>
    <t>- On pourrait proposer la sécurisation de certains sites (Migration ? ou WAF?)</t>
  </si>
  <si>
    <t>CFC (support)</t>
  </si>
  <si>
    <t xml:space="preserv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 Axes d'amélioration des process de traitement Hermès à faire suite à l'analyse technique </t>
  </si>
  <si>
    <t>- Envoyer analyse technique Hermès en fin de de semaine pro (Lambert et Nicolas travaillent dessus cette semaine) 
- Envoi de la doc support réalisée à date le 08/10</t>
  </si>
  <si>
    <t>- Réflexion autour des good practices pour une nomenclature de dépôt des fichiers (assouplir ces règles)</t>
  </si>
  <si>
    <t>CIVISTAR</t>
  </si>
  <si>
    <t>- Attent retour client pour un démrrage potentiel du projet. Périmètre à redéfinir au démarrage projet !</t>
  </si>
  <si>
    <t>Climax</t>
  </si>
  <si>
    <t>- Suivi par César directement</t>
  </si>
  <si>
    <t>- Relance client sur sujets commerciaux</t>
  </si>
  <si>
    <t>Climext</t>
  </si>
  <si>
    <t>- Suivi des imports client
changement de périmètre de projet par le client besoin de clarification 
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t>
  </si>
  <si>
    <t>- Attente retour Digital113 sur la validation de la formation</t>
  </si>
  <si>
    <t>- Traitement du PB Redis pour livraison du dernier correctif =&gt; prévoir échnage Lafabrique  
Correctifs en cours (dans cadre garantie)
Blocage des déploiements pour cause d'image docker Redis Obsolète
Ouverture de service prévue le 31/10 =&gt; tempête probable d'anomalies</t>
  </si>
  <si>
    <t xml:space="preserve">- Devis de 1 jour à faire partir (peu de chance d'être accepté)
- Prestation de 6 mois de maintenance (5jrs/mois) </t>
  </si>
  <si>
    <t xml:space="preserve">- Relance sur le projet de refonte du site web
- Attente retour client pour le CDC ERP 
- Proposer  un audit similaire  des solutions ERP du marché // avec % de redution sur la prestation </t>
  </si>
  <si>
    <t>Ecocert</t>
  </si>
  <si>
    <t>- QA de l'instance de DEV 
- 3 tickets de chiffrage à valider côté client (~ 20 jours)</t>
  </si>
  <si>
    <t>- Estimation migration envoyée à Everblue (~ 150 jours)
- Proposition hébergement à envoyé + Contrat type hébergement à prévoir</t>
  </si>
  <si>
    <t>- CI/CD en place sur les 3 serveurs côté HUCO</t>
  </si>
  <si>
    <t>Finadorm</t>
  </si>
  <si>
    <t>Attelier de cadrage en cours. Finalisation prévue Début Novembre.</t>
  </si>
  <si>
    <t>- Attente retour client suite CODIR le vendredi 26 Sept.</t>
  </si>
  <si>
    <t>Finzzle/immodeus</t>
  </si>
  <si>
    <t>- Problème d'indexation google sur tous les sites. Action à mener pour mettre en place d'un plan de redirection 
- UPGRADE Drupla en prod non vendu</t>
  </si>
  <si>
    <t>Fred auto sport</t>
  </si>
  <si>
    <t xml:space="preserve">finir chiffrage et création du devis. 
caler réunion d'eplication et echange. </t>
  </si>
  <si>
    <t>Go drill</t>
  </si>
  <si>
    <t xml:space="preserve">finaliser les branchements coté front + QA pour mise a dispo client  APK semaine du 20 oct
réunion en physique a organiser pour lever les ambiguitées budget/ scope </t>
  </si>
  <si>
    <t xml:space="preserve">plannifier réunion de réorganisation. Livrer l'APK pour test et visibilité client. 
Grosse reunion prevu semaine pro ou semaine d'apres. </t>
  </si>
  <si>
    <t xml:space="preserve">HEMAC </t>
  </si>
  <si>
    <t xml:space="preserve">- Prévoir dispositif pour MEP client Fin Octobre sur nouvelles instances
</t>
  </si>
  <si>
    <t>HyperVisoul</t>
  </si>
  <si>
    <t>Mail relance pour prochain échange envoyé le 12/10
Prochaine relance prévue le 17/10</t>
  </si>
  <si>
    <t>- Enveloppe de 5 jours consommée sur les 10 jours. 
- Essayer de cherche un accompagnement sur du DEV ou du lead TECH OU prestation de Cindy sur des maquettes
- Prestation Cindy pour création d'une interface user plus sexy
- Dispositif de dev pour reprise du projet 
- Dispositif Lead dev pour revues de code
 Relancer le client depuis le dernier echange ? Pas de nouvelles depuis.
Ce qui avait été convenu: Le client doit revenir vers nous pour discuter de l'infrastructure à appliquer à l'archi proposée</t>
  </si>
  <si>
    <t>ISB</t>
  </si>
  <si>
    <t xml:space="preserve">PLannifier 2 j de travail d'analyse de code  pour le projet carte electronique. Valdé client . pas d'urgence </t>
  </si>
  <si>
    <t xml:space="preserve">- Plus de budget côté client, mais à voir le projet technique avec Jean Christophe ( 2 jours analyse de code ?)
- offre de remise -15 % sur prochaine commande bien specifique ? </t>
  </si>
  <si>
    <t>- Audit du code de Jean Christophe (node red, JS, raspberry Pi)</t>
  </si>
  <si>
    <t xml:space="preserve">JEAN CHRISTOPHE LAPLACE </t>
  </si>
  <si>
    <t xml:space="preserve">- trouver expert Graphana </t>
  </si>
  <si>
    <t>Définir la strategie pour ces clients</t>
  </si>
  <si>
    <t>Kriss Laure</t>
  </si>
  <si>
    <t>- Sprint 1 a déDéveloppement en cours Sprint 1 -&gt; estimation complétion 90% hors retours de QA
Rédaction en cours tickets srpint 2 avec la validation de chaque ticket au fur et à mesure par KL
Point de vigilance concernant les estimations jugées trop ambitieuses par l'équipe dev compte tenu de la complexité des -&gt; risque de dépassement probable de l'enveloppe initiale
-&gt; Mise en recette sprint 1 le 20/10
Scénario de démo à préparer + enregistrement process global -&gt; Lingmarré</t>
  </si>
  <si>
    <t>Mairie de Blagnac</t>
  </si>
  <si>
    <t xml:space="preserve">Provoquer un rvd de présentation au nouveau DSI avant la fin de l'année
Identifier les les améliorations et fonctionnalités additionnelles à apporter au projet </t>
  </si>
  <si>
    <t>- Possibilité d'une V3, sur fin d'année ou début d'année prochaine 2026
- Mail de relance déjà envoyé</t>
  </si>
  <si>
    <t>Mecosun (via Majengo)</t>
  </si>
  <si>
    <t>MIDI2I - Extranet</t>
  </si>
  <si>
    <t>- Proposition commerciale à faire pour la partie maintenance/support (à voir ce que l'on y met) 
- Démo à faire pour du SuiteCRM,</t>
  </si>
  <si>
    <t>- A relancer pour la partie Extranet V2</t>
  </si>
  <si>
    <t>MKL</t>
  </si>
  <si>
    <t xml:space="preserve">COté infra : theirry est le DSI/ ils challenge notre propal avec une autre agence
COté WEB migration : en cours de reflxion de leur coté
Coté RUN :  quelques tickets en cours de specifications/ chiffrage </t>
  </si>
  <si>
    <t>- Refonte VS migration =&gt; Discussion avec le client le 30 sept.
- Accompagnement réalisation audit Infra à valider côté client -80k €)
Proposition : proposer de passer une  1/2 journée ensemble en atelier pour les accompagner sur la strategie d'internationalisation de leur produit (aprés début novembre)</t>
  </si>
  <si>
    <t>Mon fourgon shop</t>
  </si>
  <si>
    <t>- MEP de VAN Core côté client. Dispo de Laza demandé lors de la MEP
- Point client à programmer</t>
  </si>
  <si>
    <t xml:space="preserve">- Revoir la partie hébergement, demande d'être facturé au trimestre
- bench des optimisations Front a réaliser par rapport a l'existant // passer 2 jours sur un mini rapport d'audit d'optimisation ( si envisageable) </t>
  </si>
  <si>
    <t>MP SEC / TERRANG (accompagnement)</t>
  </si>
  <si>
    <t xml:space="preserve">finaliser un doc de travail pour reunion du 13. 
Valider le pool de dev a réaliser en avance de phase ( 1 j ) </t>
  </si>
  <si>
    <t>finaliser la proposition de dev, et presentation prevu a date du 27 octobre. Relance client pour confirmation de l'expression du besoin faite le 1610</t>
  </si>
  <si>
    <t>MP SEC / TERRANG (dev)</t>
  </si>
  <si>
    <t xml:space="preserve">continuer d'entretenir la relation. 
Porposer une pack regie de 2/3 jours par mois avec un % de reduction sur l'offre. Pour verouiller la MA au mois. </t>
  </si>
  <si>
    <t>- BUG sur la CI/CD (en cours de traitement par MAtthieu et Nicolas)</t>
  </si>
  <si>
    <t xml:space="preserve">- Suivi projet hebdo avec la cliente. Tous les jeudis. </t>
  </si>
  <si>
    <t>- Pool de 10 jours / mois.</t>
  </si>
  <si>
    <t>Opera Garnier (GTA)</t>
  </si>
  <si>
    <t>difficile de lutter par rapport à ce que veux le client et d'autres solutions moins chères</t>
  </si>
  <si>
    <t>Opera Garnier (OPUS)</t>
  </si>
  <si>
    <t>Aider à définir le RàF de projet (le client n'y arrive pas) 
-&gt; potentiellement négocier 50 jours en + des 180 restant à consiommer à date (même si peu de chances)
Focus sur amélioration des fonctionnalités liées à la Distribution</t>
  </si>
  <si>
    <t>- Prestation de poweBI possible (peu convaincue)</t>
  </si>
  <si>
    <t xml:space="preserve">Osport </t>
  </si>
  <si>
    <t>- Connecteur client Team Portal, en cours côté client (attente retour de leur part) Reste de 2/3 jours
- Suivre la validation du PIM (Po review côté client) 
 10 oct :Attente côté client (Arthur) d'accès informatique de l'allemagne pour pouvoir finaliser des configurations développées par Laza // 15oct dév faits mais imperfections sur certaines remontées d 'infos entre odoo et sage -) attente d'infos clients pour traiter les écarts</t>
  </si>
  <si>
    <t>- Faire un point sur la vision du projet/maintenance horizon 2026</t>
  </si>
  <si>
    <t>Proarchives</t>
  </si>
  <si>
    <t>Procolor</t>
  </si>
  <si>
    <t>- Possibilité de commencer le projet en avance de phase avec le client pour début Novembre. Mais sera probablement plutôt pour Janvier 2026 au vu des dispo de Labsoft et de Huco</t>
  </si>
  <si>
    <t>- Attente retour de Labsoft pour démarrage projet</t>
  </si>
  <si>
    <t>- Valider le process de MEP 
- Valider le RAF (~ 10 jours)
- Attente retour client pour la fin de cette semaine</t>
  </si>
  <si>
    <t xml:space="preserve">- proposer des journée d'acoompagnement specifique sur l'usage Odoo fonctionnel market digital </t>
  </si>
  <si>
    <t>- Se coordonner avec Sudokeys techniquement (plan de redirection ?)
- A voir pour duppliquer rapidement/facilement un site sous Odoo ?</t>
  </si>
  <si>
    <t>Seetech</t>
  </si>
  <si>
    <t>- Appel du client et laisser un vocal pour qu'il me rappel (24/09/2025). Prévoir un rappel client début octobre</t>
  </si>
  <si>
    <t>Service Managé (CMS)</t>
  </si>
  <si>
    <t>Difinir la strategie pour ces clients</t>
  </si>
  <si>
    <t>Station Blanche 
(Région Occitanie)</t>
  </si>
  <si>
    <t>SuiteCRM et Quick CRM</t>
  </si>
  <si>
    <t>- Prévisionnel d'activité 2026 à réaliser pour la direction</t>
  </si>
  <si>
    <t>- Rencontre avec Aerospace valley en OCtobre
- Infos. Commerciales transmises à Alexandre</t>
  </si>
  <si>
    <t>Vergers du Sud</t>
  </si>
  <si>
    <t xml:space="preserve">Proposition de formation sur mesure + petit dev sur un premier pool de 5 jours
Proposer une prestation d'accompagnement de quelques jours pour recréation d'un front avec odoo? </t>
  </si>
  <si>
    <t>Ville &amp; velo</t>
  </si>
  <si>
    <t>- Projet en standby côté client</t>
  </si>
  <si>
    <t xml:space="preserve">- Finalisation du PDV projet ETAPA, pour déployer Odoo sur les autres boutiques
- Poposer la réactivation/ mise en lien des  tocks magasins G8 avec le Odoo de andorre </t>
  </si>
  <si>
    <t>Total général</t>
  </si>
  <si>
    <t>S39</t>
  </si>
  <si>
    <t>NB Projet</t>
  </si>
  <si>
    <t>Actualités Projet</t>
  </si>
  <si>
    <t>Contexte Projet</t>
  </si>
  <si>
    <t>Direction projet</t>
  </si>
  <si>
    <t>Direction Commerciale (Q4)</t>
  </si>
  <si>
    <t>Potentiel commercial pour avenir</t>
  </si>
  <si>
    <t>i</t>
  </si>
  <si>
    <t>Etat</t>
  </si>
  <si>
    <t>Relation Client
Commer.</t>
  </si>
  <si>
    <t>Relation Client
Projet</t>
  </si>
  <si>
    <t>Date dernier échange client</t>
  </si>
  <si>
    <t>Code projet</t>
  </si>
  <si>
    <t>Description projet</t>
  </si>
  <si>
    <t>Resp. Technique</t>
  </si>
  <si>
    <t>Phase du projet</t>
  </si>
  <si>
    <t>Etat de contrat</t>
  </si>
  <si>
    <t>Nombre de jours vendus (à garder, ici ?)</t>
  </si>
  <si>
    <t>Remarques pour DATA</t>
  </si>
  <si>
    <t>Date prochain jalon</t>
  </si>
  <si>
    <t>Objet prochain jalon
(MEP / COPIL / PREZ)</t>
  </si>
  <si>
    <t>REMARQUES / OBJECTIFS 
A 3 mois ??</t>
  </si>
  <si>
    <t>REMARQUES / OBJECTIFS 
A 6 mois ??</t>
  </si>
  <si>
    <t>REMARQUES / OBJECTIFS
A 1 an ??</t>
  </si>
  <si>
    <t xml:space="preserve">Objectif de suivi commercial et production
Feuille de route </t>
  </si>
  <si>
    <t>NB jours
Dispositif mensuel</t>
  </si>
  <si>
    <t>Dispositif augmentable</t>
  </si>
  <si>
    <t>NB jours
Au forfait</t>
  </si>
  <si>
    <t>NB jours 
A signer</t>
  </si>
  <si>
    <t>Date 
Démarrage</t>
  </si>
  <si>
    <t>Maint.</t>
  </si>
  <si>
    <t>Herbeg.</t>
  </si>
  <si>
    <t>Infra</t>
  </si>
  <si>
    <t>Conseil</t>
  </si>
  <si>
    <t xml:space="preserve">- Changement d'hébergeur côté client, mise à dispo d'alexandre lorsque le client changera de serveur
</t>
  </si>
  <si>
    <t>Solution Odoo custon faites par nous, jours basés sur la maintenace de la solution</t>
  </si>
  <si>
    <t>Benjamin</t>
  </si>
  <si>
    <t>Alexandre</t>
  </si>
  <si>
    <t>s'assurer d'un suivi bimensuel + qu'il y a des objetifs de développement via des tickets au cours de ces réunions.</t>
  </si>
  <si>
    <t>oui</t>
  </si>
  <si>
    <t>X</t>
  </si>
  <si>
    <t>Logiciels à nous la ligne représentant un pool de jour sur plusieurs clients / licences</t>
  </si>
  <si>
    <t>Matthieu</t>
  </si>
  <si>
    <t>S'assurer que le support est bien fait sur les clients qui achètent les licences quick CRM
Rappeler les 10 plus gros clients pour faire des ventes additionnels
Redynamiser les partenariats avec les distributeurs 
Proposer des migrations de la solution ERP (suite CRM)</t>
  </si>
  <si>
    <t>non</t>
  </si>
  <si>
    <t>?</t>
  </si>
  <si>
    <t>Fait du photovoltaique nous avons récupéré la mainteannce de ODOO par une entreprise intermédiaire MAJENGO. Audit commence le 15 sept, et ensuite 1 jour par semaine</t>
  </si>
  <si>
    <t>Bertrand</t>
  </si>
  <si>
    <t>Nicolas</t>
  </si>
  <si>
    <t xml:space="preserve">Nouveau client donc déjà bien faire la restitution d'audit et s'assurer de la mission derrière a un jour par semaine 
</t>
  </si>
  <si>
    <t>- MEP de VAN Core côté client. Dispo de Laza demandé lors de la MEP</t>
  </si>
  <si>
    <t>- Pas d'opp. commerciale</t>
  </si>
  <si>
    <t>Vente d'équipements de Van ecommerce et ERP en maintenance sur demande</t>
  </si>
  <si>
    <t>Laza</t>
  </si>
  <si>
    <t>S'assurer d'une réunion bimensuelle de suivi (en présentiel au moins une fois par mois). prévoir la road map des futurs dev aussi bien sur la partie ERP que sur la partie Ecommerce.</t>
  </si>
  <si>
    <t>Enorme potentiel, cocooning à mettre en place pour développer ODOO sur l'ensemble des filiales</t>
  </si>
  <si>
    <t>S'assurer d'une réunion mensuelle notamment avec l'arivée de la nouvelle directrice marketing 
proposer un nouveau fonctionnement contractuel de maintenance au suivi temps réel et plus un pool de jours
Aujoursd'hui on a réussi a faire un travail avec le marketing on doit proposer des solutions au commerce et au suivi de projet et surtout proposer d'étendre ODOO a l'ensemble ODOO.</t>
  </si>
  <si>
    <t xml:space="preserve">- Connecteur client Team Portal, en cours côté client (attente retour de leur part) Reste de 2/3 jours
- Suivre la validation du PIM (Po review côté client) </t>
  </si>
  <si>
    <t>Suivi a mettre en place selon heure  convenu si on lui vend bien on pourra compter sur les heures A FAIRE</t>
  </si>
  <si>
    <t xml:space="preserve">S'assurer d'un suivi mensuel et changer le contrat pour le mettre au temps passé.
</t>
  </si>
  <si>
    <t>- Relance de facturation</t>
  </si>
  <si>
    <t xml:space="preserve">S'assurer d'un suivi mensuel et changer le contrat pour le mettre sur la abse du temps passé au mois plutot que des devis signé les uns après les autres </t>
  </si>
  <si>
    <t>- Gestion de la planification à gérer dans Odoo
- Préparer le COPIL</t>
  </si>
  <si>
    <t>Cellule frigorique spécialiée A CALER IMPERATIVEMENT EN PRIO Odoo de bout en bout</t>
  </si>
  <si>
    <t xml:space="preserve">Mission principale de Bertrand M de suivi client avec 2 réunions au moins par mois dont une en rpésentiel. S'assurer qu'on a au moins 20 jours de travail sont positionnés par mois. Possibilité de faire plus. </t>
  </si>
  <si>
    <t>- Valider le process de MEP 
- Valider le RAF (~ 10 jours)</t>
  </si>
  <si>
    <t>- Prévoir un appel client pour début Octobre, point de situation projet</t>
  </si>
  <si>
    <t xml:space="preserve">Vente de mattériel mécanique machine outil Fin de projet imminente, action  de maintenance a positionner </t>
  </si>
  <si>
    <t xml:space="preserve">Finir les 5 jours de travail et proposer une maintenance au temps passé par mois sur la base du temps consommé </t>
  </si>
  <si>
    <t>- Suivi des imports client</t>
  </si>
  <si>
    <t>Climatisation / energie ODOO</t>
  </si>
  <si>
    <t xml:space="preserve">S'assurer que le projet se passe bien avec démarrage en septembre et suivi au moins mensuel 
Proposer un contrat de maintenance dans la suite au temps passé par mois </t>
  </si>
  <si>
    <t>Literie : Proposition d'un POC ODOO</t>
  </si>
  <si>
    <t xml:space="preserve">projet a signer. Réunion démo faite mise en concurrence avec un autre intégrateur </t>
  </si>
  <si>
    <t>Equipement de sécurité pour zone de dechets</t>
  </si>
  <si>
    <t>projet a signer a priori en 2026. Proposition finalisé et vlaidation de principe du client par contre dépend aussi de la reprise de la société en cours et des futurs actionnaires</t>
  </si>
  <si>
    <t>Clim et énergie, attente retour du client sur temps plein</t>
  </si>
  <si>
    <t>Carole</t>
  </si>
  <si>
    <t xml:space="preserve">Mission en place depuis 1 an proposition de renouvellement sur la base d'un temps plein. La mission de consulting doit déboucher sur une proposition de mise en place d'un outil de BI. </t>
  </si>
  <si>
    <t>Sujet IA et B.I en cours de négo</t>
  </si>
  <si>
    <t>Thomas</t>
  </si>
  <si>
    <t xml:space="preserve">En accord avec Vuca stratégie (partenaire) mettre en place une mission de mise en place d'un outil + accompagnement mensuel </t>
  </si>
  <si>
    <t>- Projet en attente retour Labsoft</t>
  </si>
  <si>
    <t>Spécialiste laquage, mise en place de ODOO avec labsoft en cotraitance</t>
  </si>
  <si>
    <t xml:space="preserve">Sujet gagné par principe et porté par Labsoft attente que le client déclenche le projet a priori début 2026. Budget prévi de 2j par semaine minimum donc prévoir accomapgenemnt Bimensuel </t>
  </si>
  <si>
    <t>- RAS, le client n'a plus d'autres besoins</t>
  </si>
  <si>
    <t>- Plus de budget côté client, mais à voir le projet technique avec Jean Christophe ( 2 jours analyse de code ?)</t>
  </si>
  <si>
    <t>Ecole, intranet relation parent enfants
Suivi a mettre en place selon heure  convenu si on lui vend bien on pourra compter sur les heures</t>
  </si>
  <si>
    <t>Lambert</t>
  </si>
  <si>
    <t xml:space="preserve">Projet qui a diminué due au montant investi mais qui nécessite un suivi tant le projet est vaste. S'assurer d'une réunion mensuelle en visio. Anticiper les besoins clients et faire des propositions d'améliroation </t>
  </si>
  <si>
    <t>- Augmetation drastique des erreurs sur les ficihiers.</t>
  </si>
  <si>
    <t xml:space="preserve">- Proposition à faire côté Huco et à envoyer au client </t>
  </si>
  <si>
    <t xml:space="preserve">Point hebdomadaire avec le DSI sur les sujets supports, dev et infra + comité de pilotage mensuel pour faire un point du consommé et des sujets a voir dans la semaine.
A partir de octobre les autres intégrateurs sont sortis et de nouvelles missions s'offriront a Huco. etre proactif d'une réunion hebdo a l'autre avec des propositions de missions a faire valider </t>
  </si>
  <si>
    <t>- Mise en place de la réversibilité pour le dahboard avec AKAWAKA (sur octobre)</t>
  </si>
  <si>
    <t>Mathieu</t>
  </si>
  <si>
    <t>Oui+</t>
  </si>
  <si>
    <t>- Sprint 1 a démarré</t>
  </si>
  <si>
    <t>La V1 doit tenir sur la base d'un pool de 400 jours. Il faut que le client voit des avancements significatifs d'un mois sur l'autre. Point hebdomadaire et copil mensuel. Prévoir au moins 60 jours par mois démarrage septembre.</t>
  </si>
  <si>
    <t>- Développements avancent bien. 
A ce stade on a consomé la moitié du budget (on estime qu'on est à 50% du projet)</t>
  </si>
  <si>
    <t>Gaussard</t>
  </si>
  <si>
    <t xml:space="preserve">La V1 doit tenir sur la base d'un pool de 400 jours. Il faut que le client voit des avancements significatifs d'un mois sur l'autre. Point hebdomadaire et copil mensuel. Prévoir au moins 35 jours par mois démarrage septembre.
Premier projet d'une suite de logiciels visant a remplacer le SI existant et vieillissant </t>
  </si>
  <si>
    <t>petit projet sur des sites web CMS. Ling doit faire un point mensuel et proposer des améliorations. Le potentiel est la car ala société a beaucoup de besoins mais on on a raté un onboarding sur un projet par le passé.</t>
  </si>
  <si>
    <t xml:space="preserve">Projet qui a été très dur a accoucher. Maintenance lancé pour 1 an sur demande. Une réunion mensuel pour aller chercher des </t>
  </si>
  <si>
    <t>Leader mondial des essences et parfums naturels</t>
  </si>
  <si>
    <t xml:space="preserve">Tout passe par VUCA et on sera en direct a partir de octobre. 
Aujourdh'ui on est rang 2 sur des sujets. Un point mensuel est a prévoir avec l'arrivée de Carole a compter d'octobre + nouveau sujet autour du PIM
Prévoir une rencontre physique pour se prsésenter. Proposer de prendre des dev sur ecommerce et autres sujets applicaitons a travers les réunions mensuelles </t>
  </si>
  <si>
    <t>- Demande de roadmap au client pour aprés Octobre</t>
  </si>
  <si>
    <t>- Enveloppe de 5 jours consommée sur les 10 jours. 
- Essayer de cherche un accompagnement sur du DEV ou du lead TECH OU prestation de Cindy sur des maquettes</t>
  </si>
  <si>
    <t>En plus des 4 jours on peut proposer du Dev car ils risquent d'être en difficulté</t>
  </si>
  <si>
    <t>Actuellement point hebdomadaire d'accompagnement de la société sur 10 jours. Après quoi proposition a faire pour d'une part continuer l'accompagenemnt et proposer un dispositif de développement en plus du leur (2 alternants)</t>
  </si>
  <si>
    <t>- Potentiel dépassement à suivre/driver 
- QA en cours</t>
  </si>
  <si>
    <t>Logiciel de perfectionnement au GOLF, ambition de venir numero 1 mondial. GROS POTENTIEL LONG TERME. Performer sur le temps d''execution et vendre maintenant</t>
  </si>
  <si>
    <t>Un pool de 180 jours est validé il en reste 80 a faire incluant 20% de dépassement. Projet a terminer pour mi novembre max.
Projet sur lesquel on veut s'appuyer pour rayonner sur ce secteur des applications mobiles</t>
  </si>
  <si>
    <t>Attente retour fin septembre de validation de la région</t>
  </si>
  <si>
    <t>France 2030 nous accorde une enveloppe de subvention on aura le montant final fin septembre. A priori 200K€. (on préovit de reconnaitre 600K€ de TJM de temps passé)</t>
  </si>
  <si>
    <t>- Reprise contact avec Nasser début Octobre. Phase de benchmarck en cours</t>
  </si>
  <si>
    <t>Attente décision du client fin octobre</t>
  </si>
  <si>
    <t>Point hebdomadaire réalisé entre Tiff et le chef de projet + directeur de projet coté opéra. On a de sinfos en off et on est mis en concurrence par des éditeurs qui font un POC. réponse en octobre. On a la préférence du DSI</t>
  </si>
  <si>
    <t>Gros projets, voir pour faire de la régie</t>
  </si>
  <si>
    <t>Alisson</t>
  </si>
  <si>
    <t xml:space="preserve">En attente des docs d'audit réalisé pour le client par une société. Support de Pierre Fort (AMOA) qui pourra nous sponsoriser. </t>
  </si>
  <si>
    <t>Refaire proposition commerciale</t>
  </si>
  <si>
    <t xml:space="preserve">Proposition commerciale a feraire pour présentation fin d'année et a produire début 2026. On est en concurrence avec une société qui est 60% moins cher que nous. Le chifrage est a refaire. Le projet nous est fléché. </t>
  </si>
  <si>
    <t xml:space="preserve">Attente de la validation du client </t>
  </si>
  <si>
    <t>Attente du démarrage de la mission. Projet qu'ona  dévleoppé il y a un an, faire les évolutions qui sont identifiés. Proposer de la maintenance complémentaire</t>
  </si>
  <si>
    <t>- RDV chez Labsoft octobre. Ponts sur les sujets ou Huco peut aider (avec Alisson / Tiff)</t>
  </si>
  <si>
    <t>Attente de la validation du client (via partenaire labsoft)</t>
  </si>
  <si>
    <t>Attente du démarrage de la mission. Dossier donné par Labsoft (partenaire). Date de démarrage a prévoir dans les prcohains jours.</t>
  </si>
  <si>
    <t>- Prcohain MEP des dernières fonctionnalités prévues S49</t>
  </si>
  <si>
    <t>Site de e-commerce pour prestation de système de documentation technique pour industrie spécifique type nucléaire</t>
  </si>
  <si>
    <t>Très gros projet (200K€ d'invest) depuis 2 ans. Maintenance validé jusqu'a fin décembre a raison de 10-15 jours par mois. 
Réunion hebdomadaire dans laquelle le travail fait est checké et préparation des dev a venir
15jours par mois c'est le max que le client peut faire.</t>
  </si>
  <si>
    <t>- Suivi ticket en mode RUN (à transférer à Ling)</t>
  </si>
  <si>
    <t>- Refonte VS migration =&gt; Discussion avec le client le 30 sept.
- Accompagnement réalisation audit Infra à valider côté client -80k €)</t>
  </si>
  <si>
    <t>Double mission a ce stade 
Temps de consulting d'elsa s'assurer qu'elle face le point toutes les semaines 
Au cours du point sont décidés des améliroations du web et des jours de travail a prévoir 
La relation est excellente. Il faut juste s'assurer que le suivi est régulier.</t>
  </si>
  <si>
    <t>- Estimation migration envoyée à Everblue (~ 150 jours)
- Proposition hébergement à envoyer + Contrat type hébergement</t>
  </si>
  <si>
    <t>Produit de piscine, il faut leur vendre du temps mais demande des garanties sur les délais</t>
  </si>
  <si>
    <t>Client très exigeant sur lequel on met en place le fontionnement de la maintenance applicative évolutive + coorective
S'assurer d'une réunion bimensuel et si possible une rencontre physique tous les 2 mois. Le client a des moyens et souhaite que nous nous engagions sur les délais de développement.  
Il faut que le backlog soit remplie pendant les réunions et s'assurer que les estiamtions de temps soient faites rapidement. Potentiel de 10 jours par mois + projet.</t>
  </si>
  <si>
    <t>- Relance sur le projet de refonte du site web</t>
  </si>
  <si>
    <t>Client sur lequel on a raté des rdv de chiffrages projets et qui du coup travaille avec une société concurrente.
Besoin de montrer qu'on est en capacité de répondre rapidement et techniquement.
Si besoin faire un geste commercial.
Il faut absolument qu'on participe a l'appel d'offre de refonte web d'ici fin d'année. On a un passé de + 5 ans de collaboration.</t>
  </si>
  <si>
    <t>oui (a reconquérir)</t>
  </si>
  <si>
    <t>- Présentation refonte sur Hyva (~ 130 jours) Magento</t>
  </si>
  <si>
    <t xml:space="preserve">S'assurer d'une réunion bimensuelle de suivi (en présentiel au moins une fois tous les 2 mois). prévoir la road map des futurs dev aussi sur la partie  partie Ecommerce via des tickets dans JIRA
Une proposition de refonte du front est actuellement a l'étude pour remplacer Front commerce par Hiva (Magento).
Dans le laps de temps faire des tickets pour créer des nouveaux developpement </t>
  </si>
  <si>
    <t xml:space="preserve">S'assurer d'une réunion bimensuelle de suivi (en présentiel au moins une fois tous par mois). prévoir la road map des futurs dev aussi sur la partie  partie Ecommerce via des tickets dans JIRA
Une proposition de refontedu BtoB avec un impact sur tous lesautre sujets e-commerce BtoC et BtoG et aussi a l'étude. a priori ce serait sur Magento ou ODOO.
Un démo de ODOO est prévu sur mi septembre </t>
  </si>
  <si>
    <t>- 3ème rdv client pour proposition migration Odoo</t>
  </si>
  <si>
    <t>Elsa doit assurer un suivi hebdomdaire avec ce client qui a validé une intervention jusqu'a 1j par semaine. Un rdv doit etre pris pour s'assurer de son rôle au sien des équipes de terrrang pour les aider dans les décisions, leur faire des propositons de mise en place d'outils divers en lien avec l'ERP et le E commerce et les marketplace...</t>
  </si>
  <si>
    <t>Kevin</t>
  </si>
  <si>
    <t>Vaste sujet dans sles mains de Ling et de Alexandre (commerce)
Tous les sites du passé sous wordpress/prestashop soit 80 concernent l'hébergement, la maintenance évoutive et curative
Un tableau spécifique existe 
Un point doit etre organisé tous les mois ou Alexandre et Ling doivent faire un état des lieux du nouveau contrat de maintenance et appeler les clients proposer des maj et des évolutions en plus de faire signer le contrat
On essaye de faire en sorte que les dev représente 10 jours par mois mini en sachant qu'on a un potentiel de 20 jours</t>
  </si>
  <si>
    <t>- Finalisation du PDV projet ETAPA, pour déployer Odoo sur les autres boutiques</t>
  </si>
  <si>
    <t xml:space="preserve">Le cadrage est terminé et payé (même compte que Canova partie ERP)
Un site d'unn budget de 50K€ doit se lancer on attend la validation du client sur septembre </t>
  </si>
  <si>
    <t>- Présentaton prestation de cadrage ou attente retour client pour cahier des charges</t>
  </si>
  <si>
    <t>Projet de 30K€ environpour la refonte d'un site sous prestsahop.
Une réunion doit etre réorgansié avec le client pour réexprimer la dméarche qui n'a pas été bien comprise</t>
  </si>
  <si>
    <t>? Paul</t>
  </si>
  <si>
    <t>Gros projet qui avait été commencé et mis en stand bye. Il s'agit d'une workplace conséquente a déployer pour mettre en relation des entreprises, des académies et des institutionelles
Un point est prévu fin septembre pour savoir si le proojet reprend sur fin d'année</t>
  </si>
  <si>
    <t>S42</t>
  </si>
  <si>
    <t>??</t>
  </si>
  <si>
    <t>NPS Client</t>
  </si>
  <si>
    <t>NPS 
Interne</t>
  </si>
  <si>
    <t>Statut Projet</t>
  </si>
  <si>
    <t>Direction Projet</t>
  </si>
  <si>
    <t>Vision Interne</t>
  </si>
  <si>
    <t>Risque identifié</t>
  </si>
  <si>
    <t>Contrat pour Brice</t>
  </si>
  <si>
    <t>Relance Brice pour retour contrat car refus de régler la facture de septembre sinon -&gt; Appel à passer par Paul pour prendre température
Envoi des CG maintenance -&gt; Tif
Alerte à formuler sur difficultés techniques à venir car process trop alambiqués =&gt; lors du prochain weekly + lors du copil</t>
  </si>
  <si>
    <t>Identfier le temps passé</t>
  </si>
  <si>
    <t>* 12 jours cadrage
* 25 jours MVP</t>
  </si>
  <si>
    <t>Abs. Visibilité client</t>
  </si>
  <si>
    <t>Dépassement projet</t>
  </si>
  <si>
    <t>Viser la présentation</t>
  </si>
  <si>
    <t>S43</t>
  </si>
  <si>
    <t xml:space="preserve">Relance Brice pour retour contrat car refus de régler la facture de septembre sinon -&gt; Appel à passer par Paul pour prendre température
Envoi des CG maintenance -&gt; Tif
Alerte à formuler sur difficultés techniques à venir car process trop alambiqués =&gt; lors du prochain weekly + lors du copil
- BL spirnt 1 à envoyer au client le 24/10 </t>
  </si>
  <si>
    <t>- Point interne à prévoir sur intégration des transporteurs et PSP -&gt; planifié semaine pro 
- Le client a beaucop de difficultés à transmettre les infos en temps et en heures et trancher sur les suejts</t>
  </si>
  <si>
    <t>- Image docker plus maintenue, déploiement bloqué ! =&gt; (date de plus de 3 semaines). RDV client à prévoir avec le client.
- Prévoir un dispositif lorsque le client passera en production.</t>
  </si>
  <si>
    <t>Build en cours / projet avance dans les temps / attente retour client sur partie CRM et Opérations de maintenance
- Préparer le COPIL (7 Novembre) -&gt; Support de présentation ()</t>
  </si>
  <si>
    <t>Soucis Fibre + Documentation en retard</t>
  </si>
  <si>
    <t xml:space="preserve">- Envoyer analyse technique Hermès en fin de de semaine pro (Lambert et Nicolas travaillent dessus cette semaine)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-&gt; travail toujours en cours
- Axes d'amélioration des process de traitement Hermès à faire suite à l'analyse technique </t>
  </si>
  <si>
    <t>- Réflexion autour des good practices pour une nomenclature de dépôt des fichiers (assouplir ces règles)
- Souci rencontré cette semaine à cause de la bascule fibre qui engendré un petite rupture de service -&gt; Attention à bien prévenir le CdP de ces opérations pour pouvoir faire une com au client en amont et définir le meilleur créneau pour faire ces opérations! 
Globalement, grosses défficultés à livrer en temps et en heure
- Documentation en retard de livraison. =&gt; Nicolas fin Oct.</t>
  </si>
  <si>
    <t xml:space="preserve"> - A priori plus de budget à consacrer au dashboard sur la fin de l'année =&gt; mais gros potentiel sur 2026
prestation de cadrage pour les fonctionnalités additonnelles dashboard? 
- intégration de la fonctionnalité de déclaratif de consultation d'articles au dashboard? 
- Changement possible de DG d'ici la fin de l'année =&gt; échange à prévoir avec le DSI pour prendre température,</t>
  </si>
  <si>
    <t>Attelier de cadrage en cours. Finalisation prévue Début Novembre.
=&gt; Restitution de cadrage à planifier</t>
  </si>
  <si>
    <t>- BPA pas encore reçu ??</t>
  </si>
  <si>
    <t>- Gestion valeurs d'achats ?</t>
  </si>
  <si>
    <t xml:space="preserve">Attente du CDC client pour établir le programme de formation.
Proposition de formation sur mesure + petit dev sur un premier pool de 5 jours
Proposer une prestation d'accompagnement de quelques jours pour recréation d'un front avec odoo? </t>
  </si>
  <si>
    <t>Bloqué car rdv décalé</t>
  </si>
  <si>
    <t>- RDV chez Labsoft à programmer</t>
  </si>
  <si>
    <t>- Possibilité de commencer le projet en avance de phase avec le client pour début Novembre. Mais sera probablement plutôt pour Janvier 2026 au vu des dispo de Labsoft et de Huco. Point de reprise du sujet (1h) avec le client mi novembre</t>
  </si>
  <si>
    <t>L'analyse du réalisé met en avant un RàF de 195 jours environ -&gt; soit 30 jours de plus que l'enveloppe initiale envisagé (estimation vague car éléments insuffisants côté client pour être plus précis)
ONP tente de faire les arbitrages nécessaires pour définir les prios des fonctionnalités à implémenter
Point avec Cdp le 24/10 pour préparer le copil du 20/10</t>
  </si>
  <si>
    <t>- Prestation de poweBI possible (peu convaincue)
- Négocier une ralonge de 50 jours sup pour traiter l'intégralité du scope + améliorations (même si refus probable par DAF ONP)</t>
  </si>
  <si>
    <t>Cadrer le projet lors d'un COPIL</t>
  </si>
  <si>
    <t>- Suivi des imports client
changement de périmètre de projet par le client besoin de clarification 
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
=&gt; COPIL prévu pour la semaine du 12 novembre. Préparer rappel licence et hébergement.</t>
  </si>
  <si>
    <t>Allora</t>
  </si>
  <si>
    <t>Vend des logements en fin de défiscalisation via un réseau de CGP.</t>
  </si>
  <si>
    <t>Abel Crabos Ets</t>
  </si>
  <si>
    <t>Société qui vend de la plume traitée. Vend à des clients comme Rossignol</t>
  </si>
  <si>
    <t>- Tout un ERP à mettre en place.
- Attente retour Alexandre Gruas. 
- Présentation à pévoir en Novembre (2h)</t>
  </si>
  <si>
    <t>Ledger Legend (IA Interne)</t>
  </si>
  <si>
    <t>Projet interne en développement dans une optique de commercialisation</t>
  </si>
  <si>
    <t>Paul Emile</t>
  </si>
  <si>
    <t>Fournir tous les docs constitués à ce jour à Tif pour analyse -&gt; PE</t>
  </si>
  <si>
    <t>Point prévu le 28/10 pour présentation projet et strcuturation</t>
  </si>
  <si>
    <t xml:space="preserve">Travail PE/Tif pour structurer le projet </t>
  </si>
  <si>
    <t>PR2I</t>
  </si>
  <si>
    <t xml:space="preserve">Logiciel de gestion des temps et des affectations d'une trentaine de DSI à temps partagé d'une boite sur Paris </t>
  </si>
  <si>
    <t xml:space="preserve">Relance à prévoir mi-novembre pour avancement CdC </t>
  </si>
  <si>
    <t xml:space="preserve">analyse de l'existant à faire une fois que le client aura fourni une instance ou compte de test + analyse de la première version du CDC dès sa réception </t>
  </si>
  <si>
    <t>Environs 200 jours estimés au doigt mouillé -&gt; analyse plus précise à faire à la réception du CDC 
Projet qui devrait débuter début 2026</t>
  </si>
  <si>
    <t>- CI/CD en place sur les 3 serveurs côté HUCO
- Montée de version magento à réaliser
- Faille de sécurité majeure Magento =&gt; Il devient urgent de faire la montée de version</t>
  </si>
  <si>
    <t>Progammer un point avec le client</t>
  </si>
  <si>
    <t>- Audit UI/UX en cours par Cindy avecc proposition d'évolutions =&gt; levier commercial</t>
  </si>
  <si>
    <t>BM02/10: Attente retour Majengo depuis l'intervention mi septembre</t>
  </si>
  <si>
    <t>- MEP de VAN Core côté client. Dispo de Laza demandé lors de la MEP
- BM 02/10: Prod lancée nous restons en veille</t>
  </si>
  <si>
    <t>- Connecteur client Team Portal, en cours côté client (attente retour de leur part) Reste de 2/3 jours
- Suivre la validation du PIM (Po review côté client) 
BM02/10: Développement finaux très prochainement en QA</t>
  </si>
  <si>
    <t>- Accompagnement finalisation structuration catalogue.
- Démarrage prestation front ecommerce (5 jours) 
- BM02/10: On attends la régularisation de la situation comptable avant de reprendre potentiellement les devs</t>
  </si>
  <si>
    <t>- Gestion de la planification à gérer dans Odoo
- Préparer le COPIL
-BM02/10: Le client adopte JIRA , accélaration contrôlée du projet qui devrait se situer sur 10 - 15 j / minimum</t>
  </si>
  <si>
    <t>- Suivi des imports client
BM02/10 : Client formule des demandes hors cadre initial, chiffrage en cours, et point à faire sur la redéfinition du périmètre afin d'éviter les erreurs d'alignement</t>
  </si>
  <si>
    <t>BM02/10: Projet gagné, Kick off semaine prochaine (semaine du 6 octobre)
5s de cadrages (5ateliers) puis 25j de dév configuration dès début novembre
DEADLINE 26 Décembre 2025</t>
  </si>
  <si>
    <t>- RAS, le client n'a plus d'autres besoins
3 j de vendu ce moi octobre / besoin clients sur du bug</t>
  </si>
  <si>
    <t xml:space="preserve">- Pic de problèmes de fichiers passé, même si des erreurs persistent quotidiennement
) </t>
  </si>
  <si>
    <t>- Réflexion autour des good practices pour une nomenclature de dépôt des fichiers (assouplir ces règles)
- Intervention de Xavier sur un ticket</t>
  </si>
  <si>
    <t>- Montée Lambert pour soucis perf
- Echanger Pierre pour Lambert si client refuse une ressource supplémentaire sur la durée du sujet concerné (perf)</t>
  </si>
  <si>
    <t>- Architecture validée et expliquée à la cliente
- Prochaine étape, intégrer Bertrand pour conseil sur la partie infra</t>
  </si>
  <si>
    <t>- Cindy temps à valider (estim 5 jours) pour maquettes</t>
  </si>
  <si>
    <t>30-sept.-25</t>
  </si>
  <si>
    <t>2-oct.-2025</t>
  </si>
  <si>
    <t>- Suivi ticket en mode RUN (à transférer à Ling)
- Quick win a mettre en place sur octobre</t>
  </si>
  <si>
    <t>Moi d'octobre -&gt; Décision client sur réseau et infra (haute enveloppe budgétaire que le client va challenger) =&gt; cherry picking à prévoir
Prévoir une relance courant octobre + relance migration ou refonte du site</t>
  </si>
  <si>
    <t>- CI/CD en place sur les 3 serveurs côté HUCO
- Mise en production prévue pour le 06/10/2025 à 18h (très attendue par la cliente)</t>
  </si>
  <si>
    <t xml:space="preserve">Déploiement réalise le lundi 29/09 en prod ainsi que tous les tickets retardataires </t>
  </si>
  <si>
    <t>St Genes</t>
  </si>
  <si>
    <t>- Possibilité de mettre Kevin en régie</t>
  </si>
  <si>
    <t>Relancer le client avec propale</t>
  </si>
  <si>
    <t xml:space="preserve">- Pic de problèmes de fichiers passé, même si des erreurs persistent quotidiennement
- Documentation Hermès en cours de réalisation pour envoi à la mi-octobre
 - 1 ou 2 jours de Xavier à prévoir di'ici la fin de l'année pour aider sur les sujets non élucidés à date + ceux à venir
Relance CFC pour définir les prios des améliorations à prévoir </t>
  </si>
  <si>
    <t>- Plusieurs pistes d'améliorations identifiées à court terme (représente environ 30j)
Proposition à faire côté Huco et à envoyer au client 
-&gt; environ 30 jours prévus d'ici fin de l'année</t>
  </si>
  <si>
    <t xml:space="preserve">Soft permettant le traitement de journeaux papier du dépôt des éditeurs jusqu'à la livraison des abonnés (et traitement par prestataire pour vente des artiocles à l'unité)
Prestation de support N2 et N3 sur la partie métier </t>
  </si>
  <si>
    <t xml:space="preserve">En attente retour CFC pour amorce passation 
Sécurtisation/migration sites en stand by pour le moment
En attente schéma directeur </t>
  </si>
  <si>
    <t>Analyse de l'existant à prévoir pour dashboard
Purge des FTP à prévoir
Nécéssité de refondre l'API -&gt; environ 20 jours prévus</t>
  </si>
  <si>
    <t xml:space="preserve">Django/Python pour la partie Hermès Core et 'Sylius (PHP) pour la partie dashboard </t>
  </si>
  <si>
    <t>- Sprint 1 en cours -&gt; pour le moment avancement satisfaisant
Toujours en attente retour KL concernant BDD Odoo
Grosse phase de QA à amorcer cette semaine (Onboarding Ling à prévoir cette semaine) 
Quelques difficultés à appréhender le projet côté Odoo (équivaut à mener 2 projets en parallèle)
En attente envoi KL des jeux de test</t>
  </si>
  <si>
    <t xml:space="preserve">Quelques difficultés de couplage Odoo/React mais qui tendent à ralentir les devs </t>
  </si>
  <si>
    <t>ERP Odoo couplé à une Webapp en React permettant à KL de gérer l'activité de son réseau (MLM vente de produits alimentaires)
Odoo/React</t>
  </si>
  <si>
    <t>- Développements avancent bien. 
A ce stade on a consomé la moitié du budget (on estime qu'on est à 50% du projet)
Evaluation plus précise du RàF à réaliser avec ONP pour définir les features à dev par Huco/ONP
Besoin que Pierre travaille sur des features et pas uniquement sur des corectifs/amélirations</t>
  </si>
  <si>
    <t xml:space="preserve">- Prestation de poweBI possible (peu convaincue)
Potentiellement d'autres projets à prévoir </t>
  </si>
  <si>
    <t>- Montée Lambert pour soucis perf -&gt; va potentiellement impliquer de revoir l'architecture =&gt; onboarding de Lambert sur projet pour permettre à Gaussard de continuer à avancer sur les autres features? 
- Echanger Pierre pour Lambert si client refuse une ressource supplémentaire sur la durée du sujet concerné (perf)</t>
  </si>
  <si>
    <t>Logiciel custom de gestion des temps et des activités de l'orchestre de l'ONP (PHP/KendoJQuery)</t>
  </si>
  <si>
    <t>Proposition montée version Drupal + presta redirections envoyé le 03/10 -&gt; en attente retour pour réalisation devis et planifier intervention</t>
  </si>
  <si>
    <t xml:space="preserve">Traitement bug en cours + màj chart helms à faire dans cadre de la garantie 
Fin de garantie (5mois) prévue fin janvier) 
Probablement pas de V2 du projet </t>
  </si>
  <si>
    <t xml:space="preserve">- Devis de 1,5 jour envoyé semaine dernière (indiquer origine mail) -&gt; en attente retour
</t>
  </si>
  <si>
    <t>màj des chart helms à faire (garantie)</t>
  </si>
  <si>
    <t>Création d'un organigramme innovant pour les personnels sur CNES (Python/React)</t>
  </si>
  <si>
    <t xml:space="preserve">- Architecture validée et expliquée à la cliente
- Prochaine étape, intégrer Bertrand pour conseil sur la partie infra
</t>
  </si>
  <si>
    <t>- Enveloppe de 5 jours consommée sur les 10 jours. 
- Essayer de cherche un accompagnement sur du DEV ou du lead TECH ET/OU prestation de Cindy sur des maquettes
En plus des 4 jours on peut proposer du Dev car ils risquent d'être en difficulté</t>
  </si>
  <si>
    <t xml:space="preserve">Socle technique en cours de figeage </t>
  </si>
  <si>
    <t>Logiciel permettant de donner des instructions de vitesse à adopter par des automobilistes pour éviter les congestions sur les axes routiers</t>
  </si>
  <si>
    <t>- Reprise contact avec Nasser prévue cette semaine
Attente décision du client fin octobre pour faisabilité projet</t>
  </si>
  <si>
    <t>Outil de GTA des personnels de l'accueil spectataur et caisses (PHP/Kendo JQuery ou React)</t>
  </si>
  <si>
    <t>AR mails pour demaneds précisios fonctionnement
RDV à prendre pour présentation HuCo. à nouvelle équipe</t>
  </si>
  <si>
    <t>PWA Django/React permettant de gérer les participants à des évènements</t>
  </si>
  <si>
    <t>- RDV chez Labsoft octobre. Ponts sur les sujets ou Huco peut aider (avec Alisson / Tiff)
Airbus n'accepter pas la sous-traitance pour le moment</t>
  </si>
  <si>
    <t xml:space="preserve">1. Gagnac  - en attente de finalisation côté client pour la MEP 
2. Solly Azar - en attente de finalisation côté client pour la MEP  </t>
  </si>
  <si>
    <t>LCV : potentiement 7,5j à valider par le client 
1. 1,5j - devis pour le dépassement 
2. 6j - devis pour l'ensemble des nouveaux besoins
Stellium - refonte d'une page web (dev+design) en course de chiffrage (~3j)</t>
  </si>
  <si>
    <t>S44</t>
  </si>
  <si>
    <t xml:space="preserve">Action ? </t>
  </si>
  <si>
    <t>Acteur</t>
  </si>
  <si>
    <t>Retards client
Besoin de recadrer le client</t>
  </si>
  <si>
    <t>- Sprint 1 livré le 24/10 -&gt; dysfonctionnements remontés par le client mais aucun ticket créé à ce sujet car client n'a pas le temps de faire les tests -&gt; sont conscients que les retards du projet seront de leur fait
- Sprint 2 en cours, livraison prévue le 21 Novembre
Envoi des CG maintenance -&gt; Tif
Alerte à formuler sur difficultés techniques à venir car process trop alambiqués -&gt; évoqué lors du copil
- PV de recette intermédiaire à envoyer
- Client ne parvient pas à rassembler les éléments dans les temps ni à trancher quelque soit le sujet, ce qui nous impose de devoir repasser sur des développements 
- Mise en place de binomes back/front pour faciliter les communications et orga -&gt; positif pour le moment</t>
  </si>
  <si>
    <t>- Déblocage de la facture de septembre
- 85 jours passés sur octobre contre 75 (compensé par le fait que 65j ont été passés sur le mois précédent)</t>
  </si>
  <si>
    <t>- Voir pour acheter les modules Odoo FedEx et Colissimo 
- Le client a beaucop de difficultés à transmettre les infos en temps et en heures et trancher sur les sujets</t>
  </si>
  <si>
    <t>Vague potentiel de ticket à traiter
Garantie jusqu'en Février (~ 8 jours YM + 2 jours)</t>
  </si>
  <si>
    <t xml:space="preserve">Ouverture de service </t>
  </si>
  <si>
    <t>CLIENT</t>
  </si>
  <si>
    <t>- Arrivée d'un nouveau cdp côté CNES pour reprendre le projet
-Traitement du PB Redis pour livraison du dernier correctif =&gt; Livrtaison redis lundi prochain.
- Ouverture de service prévue le 31/10 =&gt; tempête probable d'anomalies</t>
  </si>
  <si>
    <t xml:space="preserve">- Pas de retours sur devis réversibilité et màj template mail raport d'import
- Prestation de 6 mois de maintenance (5jrs/mois)à partir de février 2026 </t>
  </si>
  <si>
    <t>- Prévoir un dispositif lorsque le client passera en production.</t>
  </si>
  <si>
    <t>Documentation en retard</t>
  </si>
  <si>
    <t>MAJ Plan de charge</t>
  </si>
  <si>
    <t>DÉPART DU DG DE TRANSITION À LA FIN DE L'ANNÉE 
Difficultés de l'équipe à traiter tous les sujets (nombreux), mais amélioration constatée sur le nombre de tickets traités</t>
  </si>
  <si>
    <t xml:space="preserve">Potentiel de plus de 70 jours en tout à produire entre dev et infra sur fin de l'année et 1er semestre 2026
- V2 sur formats de livraison à livrer pour la fin de semaine prochaine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-&gt; travail toujours en cours
- Axes d'amélioration des process de traitement Hermès à faire suite à l'analyse technique 
- Retour budget alloué le 9 Décembre
</t>
  </si>
  <si>
    <t>- Réflexion autour des good practices pour une nomenclature de dépôt des fichiers (assouplir ces règles)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 Axes d'amélioration des process de traitement Hermès à faire suite à l'analyse technique 
- Documentation en retard de livraison. =&gt; Nicolas fin Oct.</t>
  </si>
  <si>
    <t xml:space="preserve">Projet dépriorisé, mais potentiellement une ou 2 demandes de Guillaume pour des données eronnées constatées
</t>
  </si>
  <si>
    <t>Possible récurrence quand reprise amorcée -&gt; entre 5et 10 jours potentiellement</t>
  </si>
  <si>
    <t>- Toujours aucun retour de l'interlocuteur -&gt; relance faite par Alisson le 20/10
- Préparer le "catalogue" des compétences à proposer</t>
  </si>
  <si>
    <t>Finzzle/Immodeus</t>
  </si>
  <si>
    <t>Relance chiffrage 2j</t>
  </si>
  <si>
    <t>Peu de sujets pour le moment -&gt; a priori plus de budget sur la fin de l'année</t>
  </si>
  <si>
    <t xml:space="preserve"> - Refonte potentielle du site Imodeus sur 2026 -&gt; en attendant plus de budget consacré à ce projet
- Pas de retour sur le chiffrage de 2j pour refonte page malgré plusieurs relances de Ling
- Paiement du renouvellement hébergement (serveur dédié)? -&gt; si non relance à prévoir</t>
  </si>
  <si>
    <t xml:space="preserve">- Problème d'indexation google sur tous les sites. Action à mener pour mettre en place d'un plan de redirection </t>
  </si>
  <si>
    <t>Mail à faire pour Maria sur propal contrat de maintenance
+ devis 2 jours cartes électronique</t>
  </si>
  <si>
    <t xml:space="preserve"> - Plannifier 2 j de travail d'analyse de code  pour le projet carte electronique. Validé client (Mai 2026) -&gt; devis à faire pour 2 jours 
- 
</t>
  </si>
  <si>
    <t>finaliser les branchements coté front + QA pour mise a dispo client  APK semaine du 20 oct
réunion en physique a organiser pour lever les ambiguitées budget/ scope 
A voir affectation que sur quentin à partir de novembre</t>
  </si>
  <si>
    <t xml:space="preserve">plannifier réunion de réorganisation. Livrer l'APK pour test et visibilité client. 
- Grosse reunion prevu semaine pro ou semaine d'apres. 
- Deadline projet, fin d'année (échéancier de facturation s'arrête fin novembre)
</t>
  </si>
  <si>
    <t>L'analyse du réalisé met en avant un RàF de 195 jours environ -&gt; soit 30 jours de plus que l'enveloppe initiale envisagé (estimation vague car éléments insuffisants côté client pour être plus précis)
ONP tente de faire les arbitrages nécessaires pour définir les prios des fonctionnalités à implémenter
Copil prévu le 30/10 reporté à la semaine prochaine =&gt; 5 novembre</t>
  </si>
  <si>
    <t>- Possibilité d'utiliser enveloppe PAP si budget global insifisant</t>
  </si>
  <si>
    <t>Faire une proposition d'hébergement cloud</t>
  </si>
  <si>
    <t>Bertrand Cebador</t>
  </si>
  <si>
    <t>Retour client qui attend une proposition de Bertrand sur hébergement du projet en cloud -&gt; bloque la suite des actions (ticket créé sur GLPI)</t>
  </si>
  <si>
    <t>En attente précos infra pour poursuite de la mission</t>
  </si>
  <si>
    <t>Relancer le client pour le projet GTA</t>
  </si>
  <si>
    <t>- A relancer pour la partie Extranet V2
- Devis maintenance à envoyer ?</t>
  </si>
  <si>
    <t>Affectation de YM sur le projet ?</t>
  </si>
  <si>
    <t>Point Hebdo</t>
  </si>
  <si>
    <t>Un premier point fait le 27/10
- Schéma d'archi + Spec fonctionnel à réaliser côté + Schéma de Flux 
- Affectation possible de Yves Marie sur ce sujet ?</t>
  </si>
  <si>
    <t>Définir la gestion des droits
Prioriser les cas d'usage -&gt; potentiellement Jira dans un prmier temps
Confidentialité des données à éprouver</t>
  </si>
  <si>
    <t>Relance Client</t>
  </si>
  <si>
    <t>Appel 
Client</t>
  </si>
  <si>
    <t xml:space="preserve">- Provoquer un rdv de présentation au nouveau DSI avant la fin de l'année
- Identifier les les améliorations et fonctionnalités additionnelles à apporter au projet </t>
  </si>
  <si>
    <t>- Possibilité d'une V3, sur fin d'année ou début d'année prochaine 2026
- Mail de relance déjà envoyé</t>
  </si>
  <si>
    <t>Build en cours / projet avance dans les temps / attente retour client sur partie Opérations de maintenance
- Fin d'année passage en production souhaitée (Périmètre à définir lors du COPIL)</t>
  </si>
  <si>
    <t xml:space="preserve"> - Fin d'année passage en production souhaitée (Périmètre à définir lors du COPIL)</t>
  </si>
  <si>
    <t>Faire devis hébergement pour un Odoo de preprod et prod</t>
  </si>
  <si>
    <t>Alexandre ?</t>
  </si>
  <si>
    <t>- Réception des éléments clients 
- Réponse à apporter pour chiffrage de la formation</t>
  </si>
  <si>
    <t>- Connecteur client Team Portal, en cours côté client (attente retour de leur part) Reste de 2/3 jours
- Tickets à finalisr de notre côté suite au point client</t>
  </si>
  <si>
    <t>- Accompagnement finalisation structuration catalogue.
- Démarrage prestation front ecommerce (5 jours) 
- Politique de livraison à arbitrer avec le client + prestataire de paiement</t>
  </si>
  <si>
    <t>- Facturation de l'hébergement à prévoir pour Novembre
- Mise en relation avec Odoo pour les licences</t>
  </si>
  <si>
    <t>Point avec Laza + Suivi des tickets en cours de notre côté</t>
  </si>
  <si>
    <t>- MEP de VAN Core côté client. (2 novembre).
- Demande client à mettre dans un ticket =&gt; Bertrand
- Ticket retournée de la QA (excel pour Arthur)
- Point client à programmer !!</t>
  </si>
  <si>
    <t>Travailler sur le planning de novembre</t>
  </si>
  <si>
    <t xml:space="preserve">- 3 jours de facturation, coince côté client. voir avec Paul E.
</t>
  </si>
  <si>
    <t>- Mail à préparer de Elsa pour justifier les 3 jours (expertise)</t>
  </si>
  <si>
    <t xml:space="preserve">COté infra : theirry est le DSI/ ils challenge notre propal avec une autre agence
COté WEB migration : en cours de reflxion de leur coté =&gt; Retour possible d'ici décembre du client
Coté RUN :  quelques tickets en cours de specifications/ chiffrage </t>
  </si>
  <si>
    <t>* Relancer pour les dernières estimations</t>
  </si>
  <si>
    <t>- QA de l'instance de DEV 
- 3 tickets de chiffrage à valider côté client (~ 20 jours déjà réalisé)</t>
  </si>
  <si>
    <t>- Estimation migration envoyée à Everblue (~ 150 jours)
- Proposition hébergement envoyé  + Contrat type hébergement à prévoir</t>
  </si>
  <si>
    <t>Progammer un point avec le client
+
Fin de non recevoir côté Client</t>
  </si>
  <si>
    <t>Attente retour client pour validation du 31 octobre</t>
  </si>
  <si>
    <t>Viser la présentation
+ 
Contact client difficile</t>
  </si>
  <si>
    <t>- 2 tickets à valider en passage en prod (côté clients)</t>
  </si>
  <si>
    <t xml:space="preserve">- Présentation refonte sur Hyva (~ 130 jours) Magento
La direction doit viser le document de refonte du fronte pour validation 
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 Difficile à solliciter le client </t>
  </si>
  <si>
    <t>finaliser la proposition de dev, et presentation prevu a date du 27 octobre. Relance client pour confirmation de l'expression du besoin faite le 1610
- - Proposition de placer Elsa pour aider le client sur la mise en place du distributeur Européen
-- Projet CRM (besoin de MVP CRM) + Très rapidement e-Commerce et Ventes (B2B -&gt; V1 2026)</t>
  </si>
  <si>
    <t>- LCV : 0,5 jours vendu pour suppression de site</t>
  </si>
  <si>
    <t>S45</t>
  </si>
  <si>
    <t>DLIC</t>
  </si>
  <si>
    <t>COPIL pour le 7 novembre</t>
  </si>
  <si>
    <t>Bertrand et Benjamin</t>
  </si>
  <si>
    <t>Récupérer le besoin client</t>
  </si>
  <si>
    <t>Chiffrage de temps pour V1 à sortir avant début d'année (beta test)</t>
  </si>
  <si>
    <t>Thomas / Yves Marie</t>
  </si>
  <si>
    <t>- Produit à sortir pour fin d'année/ début d'année 
- Définir une marque !</t>
  </si>
  <si>
    <t>Devis de maintenance à envoyer</t>
  </si>
  <si>
    <t xml:space="preserve">Alexandre </t>
  </si>
  <si>
    <t>Préprer le ontrat de maintenane</t>
  </si>
  <si>
    <t>Démo suiteCRM pour Midi2i</t>
  </si>
  <si>
    <t>PRéparer la démo pour la partie MArketing</t>
  </si>
  <si>
    <t>Relancer Majengo</t>
  </si>
  <si>
    <t>Alexandre / Benjamin ?</t>
  </si>
  <si>
    <t>Finaliser des ateliers en cours. Finalisation prévue Début Novembre.
=&gt; Restitution de cadrage à planifier</t>
  </si>
  <si>
    <t>Appel du client pour relancer</t>
  </si>
  <si>
    <t xml:space="preserve">Benjamin / Paul via la BPI </t>
  </si>
  <si>
    <t xml:space="preserve">Bertrand / Benjamin </t>
  </si>
  <si>
    <t>PRéparer le contrat de maintenance</t>
  </si>
  <si>
    <t xml:space="preserve">Benjamin </t>
  </si>
  <si>
    <t>Point interne à organiser pour plan d'action à proposer à la direction / Client</t>
  </si>
  <si>
    <t>finaliser les branchements coté front + QA pour mise a dispo client  APK semaine du 20 oct
réunion en physique a organiser pour lever les ambiguitées budget/ scope 
A voir affectation que sur quentin à partir de novembre</t>
  </si>
  <si>
    <t>Point client fait par Elsa avec en sortie =&gt; Doit etre livré pour tests mi-janvier et beta test mi février.
Prévision de 55 Jours RAF début 2026.
Impact conséquent sur préplanification ! 
Soit on respecte les délai et on plombe les objectifs, soit communication client pour delay.</t>
  </si>
  <si>
    <t>Discuter du contrat de support + hébergement</t>
  </si>
  <si>
    <t>Temporiser avant de relancer Alexandre Gruas</t>
  </si>
  <si>
    <t xml:space="preserve">- PH2M : FrontCommerce + Magento 
- Front wiki géré par Occitech
</t>
  </si>
  <si>
    <t>- Chercher du business chez le client (Carole / JEan Paul / Paul)
- Projet ERP ? CRM ?</t>
  </si>
  <si>
    <t>DÉPART DU DG DE TRANSITION À LA FIN DE L'ANNÉE -&gt; arrivée nouvelle DG mi-novembre
Copil réalisé le Retour attendu sur les budget 2026 et les lignes directrices à partir du 09/12
CFC fermé le 10/11 -&gt; vigilance particulière à avoir sur cette journée au niveau du support 
Difficultés de l'équipe à traiter tous les sujets (nombreux), mais amélioration constatée sur le nombre de tickets traités
Intégration de nouveaux titres -&gt; point à organiser avec Guillaume semaine prochaine pour clarifications (mathieu/lambert)
Objectif de traitement des tickets non atteint cette semaine encore pour cause d'incendies côté Nico</t>
  </si>
  <si>
    <t>Suivi des développements à réaliser (Nicolas / Lambert)</t>
  </si>
  <si>
    <t>Matthieu / Lambert</t>
  </si>
  <si>
    <t xml:space="preserve">Quelques demandes faites par Guillaume ces dernieres jours -&gt; peut être traité si bande passante côté devs et qu'il reste du budget sur le mois
</t>
  </si>
  <si>
    <t xml:space="preserve">-sécurisation de certains sites (Migration ? ou WAF?) -&gt; stand by </t>
  </si>
  <si>
    <t>Mail à faire pour Maria sur propal contrat de maintenance + Présentation Carole</t>
  </si>
  <si>
    <t>Elsa + Lambert</t>
  </si>
  <si>
    <t xml:space="preserve">- Plus de budget côté client
- offre de remise -15 % sur prochaine commande bien specifique ? </t>
  </si>
  <si>
    <t xml:space="preserve">Attente devis signé côté client + Informations sur projet LESCAR </t>
  </si>
  <si>
    <t>Client</t>
  </si>
  <si>
    <t xml:space="preserve">- Plus besoin de Grafana
 - Plannifier 2 j de travail d'analyse de code  pour le projet carte electronique. 
- Validé client (Mai 2026) -&gt; devis à faire pour 2 jours 
- Audit Node/Red : 2 jours (devis envoyé au client)
- Escar : rafraichissement/modernisation d'un site wordpress =&gt; le client nous tient au courant
</t>
  </si>
  <si>
    <t>- Définir la strategie pour ces clients
- Attention Escar peut avoir un petit budget, attention de ne pas passer trop de temps dessus</t>
  </si>
  <si>
    <t>Organiser point avec JCH pour autres projets</t>
  </si>
  <si>
    <t>Paul</t>
  </si>
  <si>
    <t>L'analyse du réalisé met en avant un RàF de 195 jours environ -&gt; soit 30 jours de plus que l'enveloppe initiale envisagé (estimation vague car éléments insuffisants côté client pour être plus précis)
Copil fait le 05/11
ONP tente de faire les arbitrages nécessaires pour définir les prios des fonctionnalités à implémenter -&gt; prévu le 06/11</t>
  </si>
  <si>
    <t xml:space="preserve">- Refus ONP d'utiliser enveloppe PAP si budget global insifisant
- Propo huco d'offrir quelques jour de cindy pour faire une passe sur UX écran distri -&gt; refusé ONP </t>
  </si>
  <si>
    <t>Envoyer proposition hbt cloud</t>
  </si>
  <si>
    <t xml:space="preserve">Mathieu </t>
  </si>
  <si>
    <t xml:space="preserve">Bertrand a créé la doc demandée par le client -&gt; repasse à faire avec Mathieu pour s'assurer que tous les points sont couverts
=&gt; à envoyer à la cliente semaine prochaine (Mathieu) </t>
  </si>
  <si>
    <t xml:space="preserve">Préco infra à envoyer à la cliente + puis attente retour pour définition des prochaines étapes </t>
  </si>
  <si>
    <t>- Mail à faire au client pour strategie d'internationalisation de leur produit (17 novembre)
+ 
Rédaction schéma de flux par Lambert</t>
  </si>
  <si>
    <t>Coté infra : theirry est le DSI/ ils challenge notre propal avec une autre agence
Coté WEB migration : en cours de reflxion de leur coté =&gt; Retour possible d'ici décembre du client
Coté RUN :  RAS</t>
  </si>
  <si>
    <t>- Refonte VS migration =&gt; Discussion avec le client le 30 sept.
- Accompagnement réalisation audit Infra à valider côté client -80k €)
Proposition : proposer de passer une  1/2 journée ensemble en atelier pour les accompagner sur la strategie d'internationalisation de leur produit (aprés début novembre)</t>
  </si>
  <si>
    <t>- Attente retour hébergement 
- Attente validation tickets chiffrés (20j)</t>
  </si>
  <si>
    <t>Bertrand C. 
+
Client</t>
  </si>
  <si>
    <t>- QA de l'instance de DEV 
- Contact hebdo avec la cliente (Tél/ Mail)
- Migration prévue 6 janvier 
- 3 tickets de chiffrage à valider côté client (~ 20 jours déjà réalisé)</t>
  </si>
  <si>
    <t>- Estimation migration envoyée à Everblue (~ 150 jours)
- Proposition hébergement envoyé  + Contrat type hébergement à prévoir
- Proposition de maintenance en attente de signature côté client</t>
  </si>
  <si>
    <t>Un premier point fait le 27/10
- Schéma d'archi + Spec fonctionnel à réaliser côté + Schéma de Flux -&gt; PE
- Affectation possible de Yves Marie sur ce sujet ? =&gt; Dépend du backlog et du chiffrage</t>
  </si>
  <si>
    <t>Attente retour client sur le choix de la techno pour l'aprés Front Commerce</t>
  </si>
  <si>
    <t>- Mail analyse backlog + contrat à envoyer.
- Licence 08 2026 pour front commerce =&gt; le client se déciderait pour un nouveau choix techno en décembre. 
Prestashop à confirmer par le client et à réaliser avant Août 2026.</t>
  </si>
  <si>
    <t>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 Licence 08 2026 pour front commerce =&gt; le client se déciderait pour un nouveau choix techno en décembre. 
Prestashop à confirmer par le client et à réaliser avant Août 2026.
- Contrat de maintenance envoyé, et à suivre</t>
  </si>
  <si>
    <t>Contrat à envoyer</t>
  </si>
  <si>
    <t xml:space="preserve">Elsa </t>
  </si>
  <si>
    <t>- Contrat de maintenance à envoyer au client
- Transfert avec Carole (opérationnel) terminé</t>
  </si>
  <si>
    <t>- BUG sur la CI/CD (en cours de traitement par MAtthieu et Nicolas)
- MEP d'un lot pour le 18/11</t>
  </si>
  <si>
    <t>Caler un point en interne pour préparer le plan d'action</t>
  </si>
  <si>
    <t xml:space="preserve">Finaliser un doc de travail pour reunion du 13. 
Valider le pool de dev a réaliser en avance de phase ( 1 j ) </t>
  </si>
  <si>
    <t>Ville &amp; Velo</t>
  </si>
  <si>
    <t xml:space="preserve">Attente retour devis signé </t>
  </si>
  <si>
    <t>Hubn Up</t>
  </si>
  <si>
    <t>Société avec</t>
  </si>
  <si>
    <t xml:space="preserve">Devis à envoyer au client (à valider avec Paul) </t>
  </si>
  <si>
    <t>Devis à envoyer pour prestation d'audit (description du devis à réaliser côté Matthieu)</t>
  </si>
  <si>
    <t>- LCV : 0,5 jours vendu pour suppression de site
- SollyAzar : Déplacement de Kevin le 19 et 20 novembre.
- Cabinet Fraysse: MCO/MCS mise à jour de thème
- Difficulté pour le projet Gagnac =&gt; Mise en ligne bloquée par la cliente (intégration contenu)
- Maquette cindy pour campagne 2026</t>
  </si>
  <si>
    <t>Propo d'accompagnement à la recette par Carole</t>
  </si>
  <si>
    <t xml:space="preserve">- Sprint 2 en cours, livraison prévue le 21 Novembre
Equipe pas super confiante dans capacité à couvrir le scope à temps
Point prévu avec le client le 17/11 au sujet des transporteurs -&gt; analyse préliminaire à faire par Nicolas Petit pour les modules + Thomas
- Retours fait par le client cette semaine sur le sprint 1 =&gt; a énormément de mal à se projeter dans le projet
Envoi des CG maintenance -&gt; Tif
Alerte à formuler sur difficultés techniques à venir car process trop alambiqués -&gt; évoqué lors du copil
- PV de recette intermédiaire à envoyer le 07/11 -&gt; Tif
Attente retour sur contrat par Brice le 17/11
- Déjà plusieurs demandes de modifications réalisées sur élements déjà dev 
Client ne parvient pas à rassembler les éléments dans les temps ni à trancher quelque soit le sujet, ce qui nous impose de devoir repasser sur des développements 
Onboarding Quentin pour traiter les retours
Onboradin Quentin à prévoir 
</t>
  </si>
  <si>
    <t xml:space="preserve">104 jours passés sur octobre -&gt; dépassement principalement au niveau GDP/QA
Estimation de 90 jours passés sur novembre =&gt; justifié par traitement des demandes de changements
- Proposition d'accompagnement à la recette fait à Mathieu =&gt; Accepté 'estim. 2 j/mois min </t>
  </si>
  <si>
    <t>- Ancien CDP CNES a officiellement quitté le projet 
-Livraison ce jour (06/11) sur préprod CNES -&gt; erreurs constatées sur déploiement-&gt; à priori à corriger côté CNES (mais intervention probable de Thomas nécessaire
-&gt; Voir avec Thomas si rebuild de tous les environnements faisable pour le 06/11
- Ouverture de service prévue le Mi-novembre =&gt; tempête probable d'anomalies</t>
  </si>
  <si>
    <t xml:space="preserve">- Pas de retours sur devis réversibilité et màj template mail raport d'import =&gt; relance à faire Tiffany
- Devis maintenance à renvoyer =&gt; Tiffany
- Prestation de 6 mois de maintenance (5jrs/mois)à partir du 28/01/26 </t>
  </si>
  <si>
    <t>COPIL le 13 novembre + Décallé</t>
  </si>
  <si>
    <t>Point avec Laza + Suivi des tickets en cours de notre côté
Préparer le contrat de maintenance</t>
  </si>
  <si>
    <t>Benjamin / Bertrand ?</t>
  </si>
  <si>
    <t>Update à faire pour transmission à Carole</t>
  </si>
  <si>
    <t>Direction</t>
  </si>
  <si>
    <t>Aucune information</t>
  </si>
  <si>
    <t>Prévenir le client de 0,5 jours à passer</t>
  </si>
  <si>
    <t>- Finalisation en cours de la refonte page stellium (dépassement sur l'estimation initiale) 
- Investigation à mener côté Search Console Finzzle pour page non indexées</t>
  </si>
  <si>
    <t xml:space="preserve"> - Refonte potentielle du site Imodeus sur 2026 -&gt; en attendant plus de budget consacré à ce projet
- Paiement du renouvellement hébergement (serveur dédié)? -&gt; si non relance à prévoir</t>
  </si>
  <si>
    <t>- Finaliser le site et MEP</t>
  </si>
  <si>
    <t>- Accompagnement finalisation structuration catalogue.
- Politique de livraison à arbitrer avec le client 
- Prestataire de paiement (à priori ok pour Payzen)</t>
  </si>
  <si>
    <t>Appel pour relance sur paiement de la facturation</t>
  </si>
  <si>
    <t>- Valider le process de MEP 
- Valider le RAF (~ 10 jours) =&gt; Offert 5 jours</t>
  </si>
  <si>
    <t>- Se coordonner avec Sudokeys techniquement (plan de redirection ?)
- A voir pour duppliquer rapidement/facilement un site sous Odoo ?</t>
  </si>
  <si>
    <t>Mail à envoyer pour avoir le CDC ERP</t>
  </si>
  <si>
    <t>Retour client à faire sur CDC</t>
  </si>
  <si>
    <t xml:space="preserve">Tiffany </t>
  </si>
  <si>
    <t>CDC et accès SSH prod et préprod reçus cette semaine -&gt; première lecture faite tiffany -&gt; prévoirun mail client avec les premiers retours -&gt; semaine du 17/11
Premier avis: globalement assez fouilli, à voir avec la mise en parallèle avec l'instance de recette
Chiffrage grosse maille à amorcer 
2 jours affecté à Lambert pour audit du code existant</t>
  </si>
  <si>
    <t>Analyse à faire -&gt; refonte ou migration vers dernière version Symfo =&gt; à estimer (Lambert/Mathieu)  
Faire une première incursion dans l'instance de recette pour essayer de faire en sorte que je puisse accéder à l'instance à mon retour de congés</t>
  </si>
  <si>
    <t xml:space="preserve">Relance client </t>
  </si>
  <si>
    <t>Alexandre S
/ Tiffany</t>
  </si>
  <si>
    <t xml:space="preserve">Tentative d'appel client le 06/11 -&gt; pas de réponse
Envoi d'un mail de relance dans la foulée -&gt; pas de retour non plus
- Identifier les les améliorations et fonctionnalités additionnelles à apporter au projet </t>
  </si>
  <si>
    <t>S46</t>
  </si>
  <si>
    <t>Alexandre S</t>
  </si>
  <si>
    <t>- Prévoir Facturation élecytronique dans le cadre de l'ERP de Hemac</t>
  </si>
  <si>
    <t>Benoit</t>
  </si>
  <si>
    <t>- Prévisionnel d'activité 2026 à réaliser pour la direction =&gt; planifier avec Benoit le 27 novembre 2025</t>
  </si>
  <si>
    <t>Info à récupérer auprés de Loïc</t>
  </si>
  <si>
    <t>Point avec Laza + Suivi des tickets en cours de notre côté
Reprendre contact avec le client pour suivi opérationnel
+
Préparer le contrat de maintenance</t>
  </si>
  <si>
    <t>- Valider le process de MEP 
- Valider le RAF (~ 10 jours) =&gt; Offert 5 jours ( Elsa)</t>
  </si>
  <si>
    <t>Devis pour la partie formation à faire suite au mail de Arnaud</t>
  </si>
  <si>
    <t>Préparer le contrat de maintenance</t>
  </si>
  <si>
    <t>Relancer le client pour la proposition d'hébergement 
+ 
Valider une restitution de cadrage</t>
  </si>
  <si>
    <t>Benjamin / Bertrand</t>
  </si>
  <si>
    <t>Rdv chez le client pour valider le périmètre du projet</t>
  </si>
  <si>
    <t>Relance faite au client par mail + Attente retour client</t>
  </si>
  <si>
    <t>Exem - Odoo</t>
  </si>
  <si>
    <t>Connexion entre Odoo et Pipedrive</t>
  </si>
  <si>
    <t>Attente retour client sur devis envoyé</t>
  </si>
  <si>
    <t>MAJ connexion entre Odoo et pipedrive avec la MAJ vers une api pipdrive en V2 (V1 actuellement) + nouveau dev à réaliser</t>
  </si>
  <si>
    <t>Pr2I - ODOO</t>
  </si>
  <si>
    <t>Formation à prévoir et migration d'un Odoo à réaliser</t>
  </si>
  <si>
    <t>Retour client pour validation temps de formation</t>
  </si>
  <si>
    <t>Attente retour client pour validation du temps formation</t>
  </si>
  <si>
    <t>Mail à envoyer pour avoir le CDC ERP =&gt; Relance client à faire pour le contrat de maintenance ? CDC ERP ? 0 réponses client</t>
  </si>
  <si>
    <t>Nom du produit à définir ? 
+
Devons nous appuyer sur des modules OpenSource (aujourd',hui on est sur e l'open source)</t>
  </si>
  <si>
    <t xml:space="preserve">- Produit à sortir pour fin d'année/ début d'année 
- Définir une marque !
- 55 jours pour une V1 (max) à planifier. Deadline début janvier. </t>
  </si>
  <si>
    <t>Suite à donner au projet</t>
  </si>
  <si>
    <t>- Accompagnement finalisation structuration catalogue</t>
  </si>
  <si>
    <t xml:space="preserve">- Attente retour Payzen + Colissimo </t>
  </si>
  <si>
    <t>Caler un point en interne pour préparer le plan d'action
- Valider / viser la propal à envoyer (stratégie à mettre en place en interne)</t>
  </si>
  <si>
    <t>Elsa / Direction</t>
  </si>
  <si>
    <t xml:space="preserve">Finaliser un doc de travail pour reunion du 13. 
Valider le pool de dev a réaliser en avance de phase ( 1 j ) </t>
  </si>
  <si>
    <t>finaliser la proposition de dev, et presentation prevu a date du 27 octobre. Relance client pour confirmation de l'expression du besoin faite le 1610
- Proposition de placer Elsa pour aider le client sur la mise en place du distributeur Européen
-- Projet CRM (besoin de MVP CRM) + Très rapidement e-Commerce et Ventes (B2B -&gt; V1 2026)
- Cadrage =&gt; 27 jours (CRM =&gt; 7 ateliers - eCommerce - 4 ateliers) + 6 jours de rédaction =&gt; ATTENTION 27 jours uniquement côté Elsa !</t>
  </si>
  <si>
    <t>Réalisation de la prestation</t>
  </si>
  <si>
    <t>Suite à la prestataion, proposition d'accompagnement (à voir si KEvin a de la bande passate)</t>
  </si>
  <si>
    <t>S47</t>
  </si>
  <si>
    <t>DLI
Date Limite  Interne</t>
  </si>
  <si>
    <t>Suite projet Marketing
+ retour à faire sur la partie migration</t>
  </si>
  <si>
    <t>Suivi du projet pour MEP fin d'année</t>
  </si>
  <si>
    <t>- Suivi projet hebdo avec la cliente. Tous les jeudis. 
- MEP le 15-12</t>
  </si>
  <si>
    <t>Plan activité 2026</t>
  </si>
  <si>
    <t>Benjamin + Benoit</t>
  </si>
  <si>
    <t>Build en cours / projet avance dans les temps / attente retour client sur partie Opérations de maintenance
- 5 janvier MEP Caelis
- Fin d'année passage en production souhaitée (Périmètre à définir lors du COPIL)</t>
  </si>
  <si>
    <t>Nom du produit à définir ? 
+
Devons nous appuyer sur des modules OpenSource (aujourd',hui on est sur e l'open source)
+ Gestion du délai par Carole</t>
  </si>
  <si>
    <t>Direction / Carole</t>
  </si>
  <si>
    <t>Contrat à envoyer
+ 
Déploiement à revoir</t>
  </si>
  <si>
    <t>Elsa / Matthieu</t>
  </si>
  <si>
    <t>Mail à envoyer à la DSI Robertet</t>
  </si>
  <si>
    <t>Bertrand / Elsa</t>
  </si>
  <si>
    <t>- Plan de migration claire
- Contrat pour l'hébergement</t>
  </si>
  <si>
    <t>Bertrand C. +
Matthieu 
/ Marlène</t>
  </si>
  <si>
    <t>Design homepge à finaliser côté Cindy
+ 
MAil à préparer pour visite à Paris</t>
  </si>
  <si>
    <t>Cindy / Elsa</t>
  </si>
  <si>
    <t>Attente retour client pour validation du 31 octobre
- PRésentation proposition UI/UX idéalement le 11 ou 12 Décembre</t>
  </si>
  <si>
    <t>Valider date de consulting Elsa</t>
  </si>
  <si>
    <t>Attente communication Paul et DG MKL</t>
  </si>
  <si>
    <t>Relancer client sur devis</t>
  </si>
  <si>
    <t>- Accompagnement finalisation structuration catalogue
- MEP semaine prochaine
- Position fiscale à revoir pour le site enligne (portée par une société FR)</t>
  </si>
  <si>
    <t>finaliser la proposition de dev, et presentation prevu a date du 27 octobre. Relance client pour confirmation de l'expression du besoin faite le 1610
- Proposition de placer Elsa pour aider le client sur la mise en place du distributeur Européen
- Projet CRM (besoin de MVP CRM) + Très rapidement e-Commerce et Ventes (B2B -&gt; V1 2026)
- Cadrage =&gt; 28 jours (CRM =&gt; 7 ateliers - eCommerce - 4 ateliers) + 6 jours de rédaction =&gt; ATTENTION 20 jours uniquement côté Elsa ! + Temps d'un dev (spec détaillé des flux à avoir)</t>
  </si>
  <si>
    <t>Arbitrage à avoir avec Paul ! 
+ FonrtCommerce a eu le client</t>
  </si>
  <si>
    <t>Ville &amp; Velo - FR</t>
  </si>
  <si>
    <t>Estimation Matthieu ADSEA
+ 
Finzle validation technique à avoir sur la carte de voeux</t>
  </si>
  <si>
    <t>- ADSEA : Estimation de MAtthieu à avoir
- IRDI : Demande de mise en conformité RGPD (Cookie) =&gt; Attente retour client
- SollyAzar : Déplacement de Kevin le 19 et 20 novembre. =&gt; Janvier 2026 à relancer (Ling)
- Difficulté pour le projet Gagnac =&gt; Mise en ligne bloquée par la cliente (intégration contenu) =&gt; Benjamin / mail à envoyé
- Maquette cindy pour campagne 2026 =&gt; update
- Finzzle : MAP interractive avant 24 décembre =&gt; Besoin de validation technique par l'équipe</t>
  </si>
  <si>
    <t xml:space="preserve">- Ancien CDP CNES a officiellement quitté le projet 
-&gt; Voir avec Thomas si rebuild de tous les environnements faisable pour le 06/11 (à voir avec MATTHIEU)
- Ouverture de service prévue le Mi-novembre =&gt; tempête probable d'anomalies
</t>
  </si>
  <si>
    <t>Réfléchir à un dispositif d'accompagnement</t>
  </si>
  <si>
    <t>Retour de mail à réaliser par Matthieu</t>
  </si>
  <si>
    <t>- Client en mode startup, proposer une version light pour montrer au client notre capacité à l'accompagner dans ses projets (infra, dev, régie)
- Enveloppe de 5 jours consommée sur les 10 jours. 
- Essayer de cherche un accompagnement sur du DEV ou du lead TECH OU prestation de Cindy sur des maquettes
- Prestation Cindy pour création d'une interface user plus sexy
- Dispositif de dev pour reprise du projet 
- Dispositif Lead dev pour revues de code
 Relancer le client depuis le dernier echange ? Pas de nouvelles depuis.
Ce qui avait été convenu: Le client doit revenir vers nous pour discuter de l'infrastructure à appliquer à l'archi proposée</t>
  </si>
  <si>
    <t>~ Régie 7 jours / mois</t>
  </si>
  <si>
    <t>Quelques demandes faites par Guillaume ces dernieres jours -&gt; peut être traité si bande passante côté devs et qu'il reste du budget sur le mois
- Mécanique de purge des fichiers (traités pour fin du moi de novembre)
- Contrat CFC en cours de rédaction à faire signer avant la fin du mois</t>
  </si>
  <si>
    <t xml:space="preserve">Possible récurrence quand reprise amorcée -&gt; entre 5 et 10 jours potentiellement
</t>
  </si>
  <si>
    <t xml:space="preserve">Copil le 2-12
- Traitement des retours qui sont priorisés par rapport au reste à faire. </t>
  </si>
  <si>
    <t xml:space="preserve">- Refus ONP d'utiliser enveloppe PAP si budget global insifisant
- Propo huco d'offrir quelques jour de cindy pour faire une passe sur UX écran distri -&gt; refusé ONP </t>
  </si>
  <si>
    <t>Réaliser les specs fonctionnels</t>
  </si>
  <si>
    <t xml:space="preserve">Un premier point fait le 27/10
- Schéma d'archi + Spec fonctionnel à réaliser côté + Schéma de Flux -&gt; PE
- Affectation possible de Yves Marie sur ce sujet ? =&gt; Dépend du backlog et du chiffrage </t>
  </si>
  <si>
    <t xml:space="preserve">~ Support N1-N3 : 12 jours en forfait </t>
  </si>
  <si>
    <t>DÉPART DU DG DE TRANSITION À LA FIN DE L'ANNÉE -&gt; arrivée nouvelle DG mi-novembre
Copil réalisé le Retour attendu sur les budget 2026 et les lignes directrices à partir du 09/12
Difficultés de l'équipe à traiter tous les sujets (nombreux), mais amélioration constatée sur le nombre de tickets traités
Intégration de nouveaux titres -&gt; Besoin de Xavier</t>
  </si>
  <si>
    <t xml:space="preserve">- Sprint 2 en cours, livraison prévue le 21 Novembre
- Valider les sprints 3 et 4 (sprint 4 se terminerait fin janvier)
Equipe pas super confiante dans capacité à couvrir le scope à temps
Point prévu avec le client le 17/11 au sujet des transporteurs -&gt; analyse préliminaire à faire par Nicolas Petit pour les modules + Thomas
- Accompagnement de la recette par Carole (~ 1 jr/ sem)
Envoi des CG maintenance -&gt; Tif
Alerte à formuler sur difficultés techniques à venir car process trop alambiqués -&gt; évoqué lors du copil
- PV de recette intermédiaire à envoyer le 07/11 -&gt; Tiff
Attente retour sur contrat par Brice le 17/11
- Déjà plusieurs demandes de modifications réalisées sur élements déjà dev 
Client ne parvient pas à rassembler les éléments dans les temps ni à trancher quelque soit le sujet, ce qui nous impose de devoir repasser sur des développements 
Onboarding Quentin pour traiter les retours
</t>
  </si>
  <si>
    <t>Demande d'accès à l'instance de recette</t>
  </si>
  <si>
    <t>CDC et accès SSH prod et préprod reçus cette semaine -&gt; première lecture faite tiffany -&gt; prévoirun mail client avec les premiers retours -&gt; semaine du 17/11
Premier avis: globalement assez fouilli, à voir avec la mise en parallèle avec l'instance de recette
Chiffrage grosse maille à amorcer - 2 scénario (refonte totale OU montée de version PHP)
2 jours affecté à Lambert pour audit du code existant =&gt; Chiffrage à valider/confirmer avec Lambert/Matthieu</t>
  </si>
  <si>
    <t xml:space="preserve"> - Attente validation client sur Plan de déploiement
- Contrat à voir avec MArlène</t>
  </si>
  <si>
    <t>finaliser les branchements coté front + QA pour mise a dispo client  APK semaine du 20 oct
réunion en physique a organiser pour lever les ambiguitées budget/ scope 
A voir affectation que sur quentin à partir de novembre
- 17 jours affecté sur Décembre</t>
  </si>
  <si>
    <t>Estimation Matthieu ADSEA</t>
  </si>
  <si>
    <t xml:space="preserve">
- RDV chez Labsoft à programmer
- Projet annulé car pas de budget sur cette partie avec Airbus</t>
  </si>
  <si>
    <t>Vigilence pour suivi MEP</t>
  </si>
  <si>
    <t xml:space="preserve">- Ancien CDP CNES a officiellement quitté le projet 
-&gt; Thomas doit faire un point avec la fabrique semaine du 1er décembre ( avant ouverture de service)
- Ouverture de service prévue le 8 décembre =&gt; tempête probable d'anomalies
</t>
  </si>
  <si>
    <t>PRéciser au client que c'est 10 à 15 jours et attente go / nogo de la cliente</t>
  </si>
  <si>
    <t>Relance client à réaliser pour validation de la suite des opérations</t>
  </si>
  <si>
    <t>Proposition d'améliorations à réaliser</t>
  </si>
  <si>
    <t>Réalisation COPIL</t>
  </si>
  <si>
    <t>LXBoard - Ledger Legend (IA Interne)</t>
  </si>
  <si>
    <t>70 jours hors QA et GDP</t>
  </si>
  <si>
    <t>Projet à suivre de amnière hebdo</t>
  </si>
  <si>
    <t>Un premier point fait le 27/10
- Schéma d'archi + Spec fonctionnel à réaliser côté + Schéma de Flux -&gt; PE
- Affectation possible de Yves Marie sur ce sujet ? =&gt; Dépend du backlog et du chiffrage 
- Mathieu Lead Dev sur le projet
- 3 premiers lots à finaliser pour Avril (Phase 1 : 15 jours Olivier + 5 jours MAtthieu
Phase 2: 5-10 jours MAtthieu + 30 jours devs olivier
Phase 3: 20 jours de nicolas petit - 5 jours de PE et 5 jours de Matthieu)</t>
  </si>
  <si>
    <t>Suivre le temps passé par Kevin sur documentation (le reste à faire ?)
+ 
Réalisation du contrat CFC</t>
  </si>
  <si>
    <t>Matthieu / Tiffany</t>
  </si>
  <si>
    <t>DÉPART DU DG DE TRANSITION À LA FIN DE L'ANNÉE -&gt; arrivée nouvelle DG mi-novembre
Copil réalisé le Retour attendu sur les budget 2026 et les lignes directrices à partir du 09/12
Difficultés de l'équipe à traiter tous les sujets (nombreux), mais amélioration constatée sur le nombre de tickets traités
Intégration de nouveaux titres -&gt; Besoin de Xavier
- Support documentation à finaliser côté Kevin (?? temps)</t>
  </si>
  <si>
    <t xml:space="preserve">- Sprint 2 en cours, livraison prévue le 21 Novembre
- Valider les sprints 3 et 4 (sprint 4 se terminerait fin janvier)
Equipe pas super confiante dans capacité à couvrir le scope à temps
Point prévu avec le client le 17/11 au sujet des transporteurs -&gt; analyse préliminaire à faire par Nicolas Petit pour les modules + Thomas
- Accompagnement de la recette par Carole (~ 1 jr/ sem)
Envoi des CG maintenance -&gt; Tif
Alerte à formuler sur difficultés techniques à venir car process trop alambiqués -&gt; évoqué lors du copil
- PV de recette intermédiaire à envoyer le 07/11 -&gt; Tiff
Attente retour sur contrat par Brice le 17/11 =&gt; Contrat renvoyé au client
- Déjà plusieurs demandes de modifications réalisées sur élements déjà dev 
Rappel du job de l'AMOA pour avancer sur le projet.X52
Onboarding Quentin pour traiter les retours
</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</si>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</sst>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C]d\-mmm\-yy;@"/>
    <numFmt numFmtId="166" formatCode="_-* #,##0.0_-;\-* #,##0.0_-;_-* &quot;-&quot;??_-;_-@_-"/>
  </numFmts>
  <fonts count="26">
    <font>
      <sz val="10"/>
      <color rgb="FF000000"/>
      <name val="Arial"/>
      <charset val="1"/>
    </font>
    <font>
      <b/>
      <sz val="10"/>
      <color rgb="FF000000"/>
      <name val="Arial"/>
      <charset val="1"/>
    </font>
    <font>
      <b/>
      <sz val="11"/>
      <color rgb="FFFA7D00"/>
      <name val="Calibri"/>
      <charset val="1"/>
    </font>
    <font>
      <b/>
      <sz val="11"/>
      <color rgb="FFFFFFFF"/>
      <name val="Calibri"/>
      <charset val="1"/>
    </font>
    <font>
      <sz val="8"/>
      <color rgb="FF000000"/>
      <name val="Arial"/>
      <charset val="1"/>
    </font>
    <font>
      <b/>
      <sz val="8"/>
      <color theme="0"/>
      <name val="Arial"/>
      <charset val="1"/>
    </font>
    <font>
      <sz val="12"/>
      <color rgb="FF000000"/>
      <name val="Aptos"/>
      <family val="2"/>
      <charset val="1"/>
    </font>
    <font>
      <sz val="10"/>
      <color theme="0"/>
      <name val="Arial"/>
      <charset val="1"/>
    </font>
    <font>
      <b/>
      <sz val="48"/>
      <color theme="0" tint="-4.9989318521683403E-2"/>
      <name val="Calibri"/>
      <charset val="1"/>
    </font>
    <font>
      <sz val="10"/>
      <color rgb="FF000000"/>
      <name val="Arial"/>
    </font>
    <font>
      <b/>
      <sz val="10"/>
      <color rgb="FF000000"/>
      <name val="Arial"/>
    </font>
    <font>
      <sz val="11"/>
      <color rgb="FF242424"/>
      <name val="Aptos Narrow"/>
      <charset val="1"/>
    </font>
    <font>
      <sz val="11"/>
      <color theme="1"/>
      <name val="Calibri"/>
      <charset val="1"/>
    </font>
    <font>
      <b/>
      <sz val="10"/>
      <color rgb="FFFFFFFF"/>
      <name val="Arial"/>
      <charset val="1"/>
    </font>
    <font>
      <b/>
      <sz val="12"/>
      <color theme="1"/>
      <name val="Calibri"/>
      <charset val="1"/>
    </font>
    <font>
      <sz val="12"/>
      <color theme="1"/>
      <name val="Arial"/>
      <charset val="1"/>
    </font>
    <font>
      <b/>
      <sz val="12"/>
      <color rgb="FF000000"/>
      <name val="Arial"/>
    </font>
    <font>
      <sz val="12"/>
      <color rgb="FF000000"/>
      <name val="Arial"/>
      <charset val="1"/>
    </font>
    <font>
      <b/>
      <sz val="12"/>
      <color theme="1"/>
      <name val="Arial"/>
      <charset val="1"/>
    </font>
    <font>
      <b/>
      <sz val="12"/>
      <color rgb="FF000000"/>
      <name val="Arial"/>
      <charset val="1"/>
    </font>
    <font>
      <b/>
      <sz val="14"/>
      <color rgb="FF000000"/>
      <name val="Arial"/>
      <charset val="1"/>
    </font>
    <font>
      <b/>
      <sz val="8"/>
      <color theme="1"/>
      <name val="Arial"/>
      <charset val="1"/>
    </font>
    <font>
      <sz val="11"/>
      <color rgb="FF000000"/>
      <name val="Calibri"/>
      <charset val="1"/>
    </font>
    <font>
      <b/>
      <sz val="12"/>
      <color rgb="FFFFFFFF"/>
      <name val="Arial"/>
      <charset val="1"/>
    </font>
    <font>
      <sz val="12"/>
      <color rgb="FF2A2B2C"/>
      <name val="TWK Lausanne"/>
      <charset val="1"/>
    </font>
    <font>
      <b/>
      <sz val="8"/>
      <color rgb="FFFFFFFF"/>
      <name val="Arial"/>
      <charset val="1"/>
    </font>
  </fonts>
  <fills count="19">
    <fill>
      <patternFill patternType="none"/>
    </fill>
    <fill>
      <patternFill patternType="gray125"/>
    </fill>
    <fill>
      <patternFill patternType="solid">
        <fgColor rgb="FFF2F2F2"/>
        <bgColor rgb="FFFFFFFF"/>
      </patternFill>
    </fill>
    <fill>
      <patternFill patternType="solid">
        <fgColor rgb="FFA5A5A5"/>
        <bgColor rgb="FFC0C0C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1"/>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0039FF"/>
        <bgColor rgb="FF0000FF"/>
      </patternFill>
    </fill>
    <fill>
      <patternFill patternType="solid">
        <fgColor rgb="FFFA7D00"/>
        <bgColor indexed="64"/>
      </patternFill>
    </fill>
    <fill>
      <patternFill patternType="solid">
        <fgColor rgb="FFF3F3F3"/>
        <bgColor indexed="64"/>
      </patternFill>
    </fill>
    <fill>
      <patternFill patternType="solid">
        <fgColor rgb="FFFF0000"/>
        <bgColor indexed="64"/>
      </patternFill>
    </fill>
  </fills>
  <borders count="3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auto="1"/>
      </left>
      <right/>
      <top/>
      <bottom style="thin">
        <color auto="1"/>
      </bottom>
      <diagonal/>
    </border>
    <border>
      <left style="thin">
        <color auto="1"/>
      </left>
      <right/>
      <top style="thin">
        <color auto="1"/>
      </top>
      <bottom/>
      <diagonal/>
    </border>
    <border>
      <left style="thin">
        <color auto="1"/>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auto="1"/>
      </left>
      <right style="thin">
        <color rgb="FF000000"/>
      </right>
      <top style="thin">
        <color auto="1"/>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indexed="64"/>
      </right>
      <top style="thin">
        <color indexed="64"/>
      </top>
      <bottom style="thin">
        <color indexed="64"/>
      </bottom>
      <diagonal/>
    </border>
    <border>
      <left/>
      <right/>
      <top/>
      <bottom style="thin">
        <color auto="1"/>
      </bottom>
      <diagonal/>
    </border>
    <border>
      <left style="thin">
        <color rgb="FF000000"/>
      </left>
      <right/>
      <top/>
      <bottom/>
      <diagonal/>
    </border>
    <border>
      <left style="thin">
        <color auto="1"/>
      </left>
      <right/>
      <top/>
      <bottom style="thin">
        <color rgb="FF000000"/>
      </bottom>
      <diagonal/>
    </border>
    <border>
      <left style="thin">
        <color rgb="FFF3F3F3"/>
      </left>
      <right style="thin">
        <color rgb="FFF3F3F3"/>
      </right>
      <top style="thin">
        <color rgb="FFF3F3F3"/>
      </top>
      <bottom/>
      <diagonal/>
    </border>
    <border>
      <left/>
      <right style="thin">
        <color rgb="FFF3F3F3"/>
      </right>
      <top style="thin">
        <color rgb="FFF3F3F3"/>
      </top>
      <bottom/>
      <diagonal/>
    </border>
    <border>
      <left style="thin">
        <color rgb="FFF3F3F3"/>
      </left>
      <right style="thin">
        <color rgb="FFF3F3F3"/>
      </right>
      <top style="thin">
        <color rgb="FFF3F3F3"/>
      </top>
      <bottom style="thin">
        <color rgb="FFF3F3F3"/>
      </bottom>
      <diagonal/>
    </border>
    <border>
      <left/>
      <right style="thin">
        <color rgb="FFF3F3F3"/>
      </right>
      <top style="thin">
        <color rgb="FFF3F3F3"/>
      </top>
      <bottom style="thin">
        <color rgb="FFF3F3F3"/>
      </bottom>
      <diagonal/>
    </border>
  </borders>
  <cellStyleXfs count="3">
    <xf numFmtId="0" fontId="0" fillId="0" borderId="0"/>
    <xf numFmtId="0" fontId="2" fillId="2" borderId="1"/>
    <xf numFmtId="0" fontId="3" fillId="3" borderId="2"/>
  </cellStyleXfs>
  <cellXfs count="215">
    <xf numFmtId="0" fontId="0" fillId="0" borderId="0" xfId="0"/>
    <xf numFmtId="0" fontId="0" fillId="0" borderId="0" xfId="0" applyAlignment="1">
      <alignment wrapText="1"/>
    </xf>
    <xf numFmtId="0" fontId="2" fillId="2" borderId="3" xfId="1" applyBorder="1" applyAlignment="1">
      <alignment horizontal="center" vertical="center" wrapText="1"/>
    </xf>
    <xf numFmtId="0" fontId="2" fillId="2" borderId="1" xfId="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0" fillId="0" borderId="0" xfId="0" applyAlignment="1">
      <alignment vertical="center"/>
    </xf>
    <xf numFmtId="0" fontId="0" fillId="0" borderId="0" xfId="0" applyAlignment="1"/>
    <xf numFmtId="0" fontId="2" fillId="4" borderId="1" xfId="1" applyFill="1" applyAlignment="1">
      <alignment horizontal="center" vertical="center" wrapText="1"/>
    </xf>
    <xf numFmtId="0" fontId="2" fillId="5" borderId="1" xfId="1" applyFill="1" applyAlignment="1">
      <alignment horizontal="center" vertical="center" wrapText="1"/>
    </xf>
    <xf numFmtId="0" fontId="2" fillId="6" borderId="1" xfId="1" applyFill="1" applyAlignment="1">
      <alignment horizontal="center" vertical="center" wrapText="1"/>
    </xf>
    <xf numFmtId="0" fontId="2" fillId="7" borderId="1" xfId="1" applyFill="1" applyAlignment="1">
      <alignment horizontal="center" vertical="center" wrapText="1"/>
    </xf>
    <xf numFmtId="0" fontId="0" fillId="0" borderId="0" xfId="0" applyAlignment="1">
      <alignment horizontal="center" vertical="center"/>
    </xf>
    <xf numFmtId="0" fontId="2" fillId="2" borderId="11" xfId="1" applyBorder="1" applyAlignment="1">
      <alignment vertical="center" wrapText="1"/>
    </xf>
    <xf numFmtId="0" fontId="0" fillId="9" borderId="11" xfId="0" applyFill="1" applyBorder="1" applyAlignment="1">
      <alignment wrapText="1"/>
    </xf>
    <xf numFmtId="0" fontId="0" fillId="0" borderId="11" xfId="0" applyBorder="1"/>
    <xf numFmtId="49" fontId="0" fillId="0" borderId="11" xfId="0" applyNumberFormat="1" applyBorder="1"/>
    <xf numFmtId="0" fontId="7" fillId="10" borderId="13" xfId="0" applyFont="1" applyFill="1" applyBorder="1" applyAlignment="1">
      <alignment wrapText="1"/>
    </xf>
    <xf numFmtId="0" fontId="0" fillId="0" borderId="12" xfId="0" applyBorder="1" applyAlignment="1">
      <alignment vertical="center" wrapText="1"/>
    </xf>
    <xf numFmtId="164" fontId="5" fillId="8" borderId="22" xfId="0" applyNumberFormat="1" applyFont="1" applyFill="1" applyBorder="1" applyAlignment="1">
      <alignment horizontal="center" vertical="center" wrapText="1"/>
    </xf>
    <xf numFmtId="0" fontId="1" fillId="0" borderId="11" xfId="0" applyFont="1" applyBorder="1" applyAlignment="1">
      <alignment vertical="center" wrapText="1"/>
    </xf>
    <xf numFmtId="0" fontId="5" fillId="8" borderId="11" xfId="0" applyFont="1" applyFill="1" applyBorder="1" applyAlignment="1">
      <alignment vertical="center" wrapText="1"/>
    </xf>
    <xf numFmtId="164" fontId="5" fillId="8" borderId="11" xfId="0" applyNumberFormat="1" applyFont="1" applyFill="1" applyBorder="1" applyAlignment="1">
      <alignment vertical="center" wrapText="1"/>
    </xf>
    <xf numFmtId="0" fontId="0" fillId="0" borderId="11" xfId="0" applyBorder="1" applyAlignment="1">
      <alignment vertical="center" wrapText="1"/>
    </xf>
    <xf numFmtId="0" fontId="1" fillId="0" borderId="12" xfId="0" applyFont="1" applyBorder="1" applyAlignment="1">
      <alignmen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2" fillId="2" borderId="23" xfId="1" applyBorder="1" applyAlignment="1">
      <alignment horizontal="center" vertical="center" wrapText="1"/>
    </xf>
    <xf numFmtId="0" fontId="5" fillId="8" borderId="8" xfId="0" applyFont="1" applyFill="1" applyBorder="1" applyAlignment="1">
      <alignment horizontal="center" vertical="center" wrapText="1"/>
    </xf>
    <xf numFmtId="0" fontId="5" fillId="8" borderId="24"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24" xfId="0" applyFont="1" applyFill="1" applyBorder="1" applyAlignment="1">
      <alignment vertical="center" wrapText="1"/>
    </xf>
    <xf numFmtId="0" fontId="0" fillId="0" borderId="13" xfId="0" applyBorder="1"/>
    <xf numFmtId="0" fontId="0" fillId="0" borderId="24" xfId="0" applyBorder="1"/>
    <xf numFmtId="0" fontId="1" fillId="0" borderId="13" xfId="0" applyFont="1" applyBorder="1" applyAlignment="1">
      <alignment horizontal="center" vertical="center" wrapText="1"/>
    </xf>
    <xf numFmtId="0" fontId="5" fillId="8" borderId="25" xfId="0" applyFont="1" applyFill="1" applyBorder="1" applyAlignment="1">
      <alignment vertical="center" wrapText="1"/>
    </xf>
    <xf numFmtId="0" fontId="5" fillId="8" borderId="12" xfId="0" applyFont="1" applyFill="1" applyBorder="1" applyAlignment="1">
      <alignment vertical="center" wrapText="1"/>
    </xf>
    <xf numFmtId="164" fontId="5" fillId="8" borderId="12" xfId="0" applyNumberFormat="1" applyFont="1" applyFill="1" applyBorder="1" applyAlignment="1">
      <alignment vertical="center" wrapText="1"/>
    </xf>
    <xf numFmtId="0" fontId="8" fillId="2" borderId="11" xfId="1" applyFont="1" applyBorder="1" applyAlignment="1">
      <alignment horizontal="center" vertical="center" wrapText="1"/>
    </xf>
    <xf numFmtId="0" fontId="2" fillId="9" borderId="20" xfId="1" applyFill="1" applyBorder="1" applyAlignment="1">
      <alignment horizontal="center" vertical="center" wrapText="1"/>
    </xf>
    <xf numFmtId="0" fontId="2" fillId="10" borderId="20" xfId="1" applyFill="1" applyBorder="1" applyAlignment="1">
      <alignment horizontal="center" vertical="center" wrapText="1"/>
    </xf>
    <xf numFmtId="0" fontId="1" fillId="0" borderId="20"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0" xfId="0" applyFont="1" applyBorder="1" applyAlignment="1">
      <alignment vertical="center" wrapText="1"/>
    </xf>
    <xf numFmtId="14" fontId="1" fillId="0" borderId="11" xfId="0" applyNumberFormat="1" applyFont="1" applyBorder="1" applyAlignment="1">
      <alignment horizontal="center" vertical="center" wrapText="1"/>
    </xf>
    <xf numFmtId="0" fontId="0" fillId="0" borderId="13" xfId="0" applyBorder="1" applyAlignment="1">
      <alignment vertical="center" wrapText="1"/>
    </xf>
    <xf numFmtId="0" fontId="2" fillId="9" borderId="23" xfId="1" applyFill="1" applyBorder="1" applyAlignment="1">
      <alignment horizontal="center" vertical="center" wrapText="1"/>
    </xf>
    <xf numFmtId="0" fontId="5" fillId="8" borderId="8" xfId="0" applyFont="1" applyFill="1" applyBorder="1" applyAlignment="1">
      <alignment vertical="center" wrapText="1"/>
    </xf>
    <xf numFmtId="0" fontId="5" fillId="8" borderId="9" xfId="0" applyFont="1" applyFill="1" applyBorder="1" applyAlignment="1">
      <alignment vertical="center" wrapText="1"/>
    </xf>
    <xf numFmtId="0" fontId="5" fillId="8" borderId="12" xfId="0" applyFont="1" applyFill="1" applyBorder="1" applyAlignment="1">
      <alignment horizontal="center" vertical="center" wrapText="1"/>
    </xf>
    <xf numFmtId="0" fontId="5" fillId="8" borderId="5" xfId="0" applyFont="1" applyFill="1" applyBorder="1" applyAlignment="1">
      <alignment vertical="center" wrapText="1"/>
    </xf>
    <xf numFmtId="0" fontId="5" fillId="8" borderId="6" xfId="0" applyFont="1" applyFill="1" applyBorder="1" applyAlignment="1">
      <alignment vertical="center" wrapText="1"/>
    </xf>
    <xf numFmtId="0" fontId="1" fillId="0" borderId="11" xfId="0" applyFont="1" applyBorder="1" applyAlignment="1">
      <alignment wrapText="1"/>
    </xf>
    <xf numFmtId="0" fontId="5" fillId="8" borderId="18" xfId="0" applyFont="1" applyFill="1" applyBorder="1" applyAlignment="1">
      <alignment horizontal="center" vertical="center" wrapText="1"/>
    </xf>
    <xf numFmtId="0" fontId="2" fillId="9" borderId="11" xfId="1" applyFill="1" applyBorder="1" applyAlignment="1">
      <alignment horizontal="center" vertical="center" wrapText="1"/>
    </xf>
    <xf numFmtId="164" fontId="5" fillId="8" borderId="9" xfId="0" applyNumberFormat="1" applyFont="1" applyFill="1" applyBorder="1" applyAlignment="1">
      <alignment horizontal="center" vertical="center" wrapText="1"/>
    </xf>
    <xf numFmtId="0" fontId="0" fillId="0" borderId="6" xfId="0" applyBorder="1" applyAlignment="1">
      <alignment horizontal="center" vertical="center" wrapText="1"/>
    </xf>
    <xf numFmtId="0" fontId="2" fillId="8" borderId="11" xfId="1" applyFill="1" applyBorder="1" applyAlignment="1">
      <alignment horizontal="center" vertical="center" wrapText="1"/>
    </xf>
    <xf numFmtId="164" fontId="5" fillId="8" borderId="0" xfId="0" applyNumberFormat="1" applyFont="1" applyFill="1" applyBorder="1" applyAlignment="1">
      <alignment horizontal="center" vertical="center" wrapText="1"/>
    </xf>
    <xf numFmtId="164" fontId="5" fillId="8" borderId="26" xfId="0" applyNumberFormat="1"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13" xfId="0" applyFont="1" applyBorder="1" applyAlignment="1">
      <alignment vertical="center" wrapText="1"/>
    </xf>
    <xf numFmtId="0" fontId="9" fillId="0" borderId="14" xfId="0" applyFont="1" applyBorder="1" applyAlignment="1">
      <alignment horizontal="center" vertical="center" wrapText="1"/>
    </xf>
    <xf numFmtId="0" fontId="2" fillId="11" borderId="20" xfId="1" applyFill="1" applyBorder="1" applyAlignment="1">
      <alignment horizontal="center" vertical="center" wrapText="1"/>
    </xf>
    <xf numFmtId="0" fontId="1" fillId="0" borderId="13" xfId="0" applyFont="1" applyBorder="1" applyAlignment="1">
      <alignment vertical="center" wrapText="1"/>
    </xf>
    <xf numFmtId="0" fontId="0" fillId="0" borderId="28" xfId="0" applyBorder="1"/>
    <xf numFmtId="0" fontId="1" fillId="8" borderId="11" xfId="0" applyFont="1" applyFill="1" applyBorder="1" applyAlignment="1">
      <alignment horizontal="center" vertical="center" wrapText="1"/>
    </xf>
    <xf numFmtId="0" fontId="11" fillId="0" borderId="11" xfId="0" applyFont="1" applyBorder="1"/>
    <xf numFmtId="0" fontId="12" fillId="2" borderId="20" xfId="1" applyFont="1" applyBorder="1" applyAlignment="1">
      <alignment horizontal="center" vertical="center" wrapText="1"/>
    </xf>
    <xf numFmtId="0" fontId="8" fillId="2" borderId="24" xfId="1" applyFont="1" applyBorder="1" applyAlignment="1">
      <alignment horizontal="center" vertical="center" wrapText="1"/>
    </xf>
    <xf numFmtId="0" fontId="0" fillId="10" borderId="11" xfId="0" applyFill="1" applyBorder="1" applyAlignment="1">
      <alignment vertical="center" wrapText="1"/>
    </xf>
    <xf numFmtId="0" fontId="13" fillId="15" borderId="30" xfId="0" applyFont="1" applyFill="1" applyBorder="1" applyAlignment="1">
      <alignment horizontal="center" vertical="center" wrapText="1"/>
    </xf>
    <xf numFmtId="0" fontId="13" fillId="15" borderId="10" xfId="0" applyFont="1" applyFill="1" applyBorder="1" applyAlignment="1">
      <alignment horizontal="center" vertical="center" wrapText="1"/>
    </xf>
    <xf numFmtId="0" fontId="0" fillId="0" borderId="0" xfId="0" applyFont="1" applyAlignment="1">
      <alignment horizontal="center" vertical="center"/>
    </xf>
    <xf numFmtId="0" fontId="15" fillId="12" borderId="0" xfId="0" applyFont="1" applyFill="1" applyAlignment="1">
      <alignment horizontal="center" vertical="center"/>
    </xf>
    <xf numFmtId="0" fontId="14" fillId="12" borderId="1" xfId="1" applyFont="1" applyFill="1" applyAlignment="1">
      <alignment horizontal="center" vertical="center" wrapText="1"/>
    </xf>
    <xf numFmtId="0" fontId="16" fillId="13" borderId="0" xfId="0" applyFont="1" applyFill="1" applyAlignment="1">
      <alignment horizontal="center" vertical="center"/>
    </xf>
    <xf numFmtId="0" fontId="17" fillId="0" borderId="0" xfId="0" applyFont="1" applyAlignment="1">
      <alignment horizontal="center" vertical="center"/>
    </xf>
    <xf numFmtId="0" fontId="16" fillId="13" borderId="23" xfId="0" applyFont="1" applyFill="1" applyBorder="1" applyAlignment="1">
      <alignment horizontal="center" vertical="center"/>
    </xf>
    <xf numFmtId="0" fontId="17" fillId="13" borderId="27" xfId="0" applyFont="1" applyFill="1" applyBorder="1" applyAlignment="1">
      <alignment horizontal="center" vertical="center"/>
    </xf>
    <xf numFmtId="0" fontId="17" fillId="13" borderId="0" xfId="0" applyFont="1" applyFill="1" applyAlignment="1">
      <alignment horizontal="center" vertical="center"/>
    </xf>
    <xf numFmtId="0" fontId="17" fillId="0" borderId="0" xfId="0" applyFont="1" applyAlignment="1">
      <alignment horizontal="center" vertical="center" wrapText="1"/>
    </xf>
    <xf numFmtId="0" fontId="17" fillId="13" borderId="21" xfId="0" applyFont="1" applyFill="1" applyBorder="1" applyAlignment="1">
      <alignment horizontal="center" vertical="center"/>
    </xf>
    <xf numFmtId="0" fontId="16" fillId="13" borderId="29" xfId="0" applyFont="1" applyFill="1" applyBorder="1" applyAlignment="1">
      <alignment horizontal="center" vertical="center"/>
    </xf>
    <xf numFmtId="0" fontId="17" fillId="12" borderId="0" xfId="0" applyFont="1" applyFill="1" applyAlignment="1">
      <alignment horizontal="center" vertical="center" wrapText="1"/>
    </xf>
    <xf numFmtId="17" fontId="1" fillId="0" borderId="11" xfId="0" applyNumberFormat="1" applyFont="1" applyBorder="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xf>
    <xf numFmtId="0" fontId="14" fillId="12" borderId="12" xfId="1" applyFont="1" applyFill="1" applyBorder="1" applyAlignment="1">
      <alignment horizontal="center" vertical="center" wrapText="1"/>
    </xf>
    <xf numFmtId="165" fontId="1" fillId="0" borderId="11" xfId="0" applyNumberFormat="1" applyFont="1" applyBorder="1" applyAlignment="1">
      <alignment horizontal="center" vertical="center" wrapText="1"/>
    </xf>
    <xf numFmtId="165" fontId="1" fillId="0" borderId="24" xfId="0" applyNumberFormat="1" applyFont="1" applyBorder="1" applyAlignment="1">
      <alignment horizontal="center" vertical="center" wrapText="1"/>
    </xf>
    <xf numFmtId="165" fontId="1" fillId="0" borderId="13" xfId="0" applyNumberFormat="1" applyFont="1" applyBorder="1" applyAlignment="1">
      <alignment horizontal="center" vertical="center" wrapText="1"/>
    </xf>
    <xf numFmtId="49" fontId="0" fillId="0" borderId="11" xfId="0" applyNumberFormat="1" applyBorder="1" applyAlignment="1">
      <alignment vertical="center" wrapText="1"/>
    </xf>
    <xf numFmtId="49" fontId="0" fillId="0" borderId="21" xfId="0" applyNumberFormat="1" applyBorder="1" applyAlignment="1">
      <alignment vertical="center" wrapText="1"/>
    </xf>
    <xf numFmtId="49" fontId="0" fillId="0" borderId="23" xfId="0" applyNumberFormat="1" applyBorder="1" applyAlignment="1">
      <alignment vertical="center" wrapText="1"/>
    </xf>
    <xf numFmtId="49" fontId="0" fillId="0" borderId="20" xfId="0" applyNumberFormat="1" applyBorder="1" applyAlignment="1">
      <alignment vertical="center" wrapText="1"/>
    </xf>
    <xf numFmtId="49" fontId="13" fillId="15" borderId="30" xfId="0" applyNumberFormat="1" applyFont="1" applyFill="1" applyBorder="1" applyAlignment="1">
      <alignment horizontal="center" vertical="center" wrapText="1"/>
    </xf>
    <xf numFmtId="49" fontId="0" fillId="0" borderId="0" xfId="0" applyNumberFormat="1" applyAlignment="1">
      <alignment horizontal="center" vertical="center"/>
    </xf>
    <xf numFmtId="14" fontId="19" fillId="0" borderId="0" xfId="0" applyNumberFormat="1" applyFont="1" applyAlignment="1">
      <alignment horizontal="center" vertical="center"/>
    </xf>
    <xf numFmtId="166" fontId="13" fillId="15" borderId="10" xfId="0" applyNumberFormat="1" applyFont="1" applyFill="1" applyBorder="1" applyAlignment="1">
      <alignment horizontal="center" vertical="center" wrapText="1"/>
    </xf>
    <xf numFmtId="166" fontId="13" fillId="15" borderId="10" xfId="0" applyNumberFormat="1" applyFont="1" applyFill="1" applyBorder="1" applyAlignment="1">
      <alignment horizontal="left" vertical="center" wrapText="1" indent="2"/>
    </xf>
    <xf numFmtId="0" fontId="13" fillId="15" borderId="10" xfId="0" applyFont="1" applyFill="1" applyBorder="1" applyAlignment="1">
      <alignment horizontal="left" vertical="center" wrapText="1"/>
    </xf>
    <xf numFmtId="0" fontId="13" fillId="15" borderId="30" xfId="0" applyFont="1" applyFill="1" applyBorder="1" applyAlignment="1">
      <alignment horizontal="left" vertical="center" wrapText="1"/>
    </xf>
    <xf numFmtId="166" fontId="13" fillId="15" borderId="0" xfId="0" applyNumberFormat="1" applyFont="1" applyFill="1" applyBorder="1" applyAlignment="1">
      <alignment horizontal="left" vertical="center" wrapText="1" indent="2"/>
    </xf>
    <xf numFmtId="164" fontId="21" fillId="0" borderId="0" xfId="0" applyNumberFormat="1" applyFont="1" applyFill="1" applyBorder="1" applyAlignment="1">
      <alignment horizontal="center" vertical="center" wrapText="1"/>
    </xf>
    <xf numFmtId="164" fontId="21" fillId="0" borderId="26" xfId="0" applyNumberFormat="1" applyFont="1" applyFill="1" applyBorder="1" applyAlignment="1">
      <alignment horizontal="center" vertical="center" wrapText="1"/>
    </xf>
    <xf numFmtId="0" fontId="13" fillId="15" borderId="11" xfId="0" applyFont="1" applyFill="1" applyBorder="1" applyAlignment="1">
      <alignment horizontal="center" vertical="center" wrapText="1"/>
    </xf>
    <xf numFmtId="0" fontId="13" fillId="15" borderId="31" xfId="0" applyFont="1" applyFill="1" applyBorder="1" applyAlignment="1">
      <alignment horizontal="center" vertical="center" wrapText="1"/>
    </xf>
    <xf numFmtId="166" fontId="13" fillId="15" borderId="9" xfId="0" applyNumberFormat="1" applyFont="1" applyFill="1" applyBorder="1" applyAlignment="1">
      <alignment horizontal="left" vertical="center" wrapText="1" indent="2"/>
    </xf>
    <xf numFmtId="0" fontId="22" fillId="0" borderId="0" xfId="0" applyFont="1" applyBorder="1" applyAlignment="1">
      <alignment wrapText="1"/>
    </xf>
    <xf numFmtId="166" fontId="23" fillId="15" borderId="33" xfId="0" applyNumberFormat="1" applyFont="1" applyFill="1" applyBorder="1" applyAlignment="1">
      <alignment vertical="center" wrapText="1" indent="2"/>
    </xf>
    <xf numFmtId="166" fontId="23" fillId="15" borderId="0" xfId="0" applyNumberFormat="1" applyFont="1" applyFill="1" applyBorder="1" applyAlignment="1">
      <alignment horizontal="center" vertical="center" wrapText="1" indent="2"/>
    </xf>
    <xf numFmtId="0" fontId="24" fillId="17" borderId="34" xfId="0" applyFont="1" applyFill="1" applyBorder="1" applyAlignment="1">
      <alignment wrapText="1"/>
    </xf>
    <xf numFmtId="0" fontId="24" fillId="17" borderId="35" xfId="0" applyFont="1" applyFill="1" applyBorder="1" applyAlignment="1">
      <alignment wrapText="1"/>
    </xf>
    <xf numFmtId="0" fontId="24" fillId="0" borderId="34" xfId="0" applyFont="1" applyBorder="1" applyAlignment="1">
      <alignment wrapText="1"/>
    </xf>
    <xf numFmtId="0" fontId="24" fillId="0" borderId="34" xfId="0" quotePrefix="1" applyFont="1" applyBorder="1" applyAlignment="1">
      <alignment wrapText="1"/>
    </xf>
    <xf numFmtId="0" fontId="24" fillId="0" borderId="35" xfId="0" applyFont="1" applyBorder="1" applyAlignment="1">
      <alignment wrapText="1"/>
    </xf>
    <xf numFmtId="0" fontId="24" fillId="0" borderId="36" xfId="0" applyFont="1" applyBorder="1" applyAlignment="1">
      <alignment wrapText="1"/>
    </xf>
    <xf numFmtId="0" fontId="24" fillId="0" borderId="37" xfId="0" applyFont="1" applyBorder="1" applyAlignment="1">
      <alignment wrapText="1"/>
    </xf>
    <xf numFmtId="0" fontId="0" fillId="0" borderId="0" xfId="0" pivotButton="1"/>
    <xf numFmtId="49" fontId="1" fillId="18" borderId="20" xfId="0" applyNumberFormat="1" applyFont="1" applyFill="1" applyBorder="1" applyAlignment="1">
      <alignment vertical="center" wrapText="1"/>
    </xf>
    <xf numFmtId="49" fontId="1" fillId="0" borderId="20" xfId="0" applyNumberFormat="1" applyFont="1" applyBorder="1" applyAlignment="1">
      <alignment vertical="center" wrapText="1"/>
    </xf>
    <xf numFmtId="166" fontId="25" fillId="15" borderId="33" xfId="0" applyNumberFormat="1" applyFont="1" applyFill="1" applyBorder="1" applyAlignment="1">
      <alignment vertical="center" wrapText="1" indent="2"/>
    </xf>
    <xf numFmtId="0" fontId="13" fillId="15" borderId="0" xfId="0" applyFont="1" applyFill="1" applyBorder="1" applyAlignment="1">
      <alignment horizontal="center" vertical="center" wrapText="1"/>
    </xf>
    <xf numFmtId="0" fontId="22" fillId="0" borderId="20" xfId="0" applyFont="1" applyBorder="1" applyAlignment="1">
      <alignment wrapText="1"/>
    </xf>
    <xf numFmtId="49" fontId="0" fillId="0" borderId="0" xfId="0" applyNumberFormat="1" applyBorder="1" applyAlignment="1">
      <alignment vertical="center" wrapText="1"/>
    </xf>
    <xf numFmtId="49" fontId="1" fillId="18" borderId="23" xfId="0" applyNumberFormat="1" applyFont="1" applyFill="1" applyBorder="1" applyAlignment="1">
      <alignment vertical="center" wrapText="1"/>
    </xf>
    <xf numFmtId="166" fontId="13" fillId="15" borderId="33" xfId="0" applyNumberFormat="1" applyFont="1" applyFill="1" applyBorder="1" applyAlignment="1">
      <alignment vertical="center" wrapText="1" indent="2"/>
    </xf>
    <xf numFmtId="49" fontId="9" fillId="0" borderId="11" xfId="0" applyNumberFormat="1" applyFont="1" applyBorder="1" applyAlignment="1">
      <alignment vertical="center" wrapText="1"/>
    </xf>
    <xf numFmtId="165" fontId="1" fillId="0" borderId="12" xfId="0" applyNumberFormat="1" applyFont="1" applyBorder="1" applyAlignment="1">
      <alignment horizontal="center" vertical="center" wrapText="1"/>
    </xf>
    <xf numFmtId="0" fontId="13" fillId="9" borderId="11" xfId="0" applyFont="1" applyFill="1" applyBorder="1" applyAlignment="1">
      <alignment horizontal="center" vertical="center" wrapText="1"/>
    </xf>
    <xf numFmtId="0" fontId="13" fillId="9" borderId="30" xfId="0" applyFont="1" applyFill="1" applyBorder="1" applyAlignment="1">
      <alignment horizontal="center" vertical="center" wrapText="1"/>
    </xf>
    <xf numFmtId="0" fontId="13" fillId="12" borderId="10" xfId="0" applyFont="1" applyFill="1" applyBorder="1" applyAlignment="1">
      <alignment horizontal="center" vertical="center" wrapText="1"/>
    </xf>
    <xf numFmtId="49" fontId="0" fillId="11" borderId="20" xfId="0" applyNumberFormat="1" applyFill="1" applyBorder="1" applyAlignment="1">
      <alignment vertical="center" wrapText="1"/>
    </xf>
    <xf numFmtId="0" fontId="22" fillId="0" borderId="21" xfId="0" applyFont="1" applyBorder="1" applyAlignment="1">
      <alignment wrapText="1"/>
    </xf>
    <xf numFmtId="0" fontId="13" fillId="9" borderId="10" xfId="0" applyFont="1" applyFill="1" applyBorder="1" applyAlignment="1">
      <alignment horizontal="center" vertical="center" wrapText="1"/>
    </xf>
    <xf numFmtId="0" fontId="0" fillId="0" borderId="0" xfId="0" applyAlignment="1">
      <alignment horizontal="center" wrapText="1"/>
    </xf>
    <xf numFmtId="0" fontId="0" fillId="0" borderId="11" xfId="0" applyBorder="1" applyAlignment="1">
      <alignment horizontal="center" vertical="center" wrapText="1"/>
    </xf>
    <xf numFmtId="0" fontId="5" fillId="8" borderId="11" xfId="0" applyFont="1" applyFill="1" applyBorder="1" applyAlignment="1">
      <alignment horizontal="center" vertical="center" wrapText="1"/>
    </xf>
    <xf numFmtId="0" fontId="2" fillId="2" borderId="11" xfId="1" applyBorder="1" applyAlignment="1">
      <alignment horizontal="center" vertical="center" wrapText="1"/>
    </xf>
    <xf numFmtId="0" fontId="1" fillId="0" borderId="11" xfId="0" applyFont="1" applyBorder="1" applyAlignment="1">
      <alignment horizontal="center" vertical="center" wrapText="1"/>
    </xf>
    <xf numFmtId="164" fontId="5" fillId="8" borderId="18"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0" fillId="0" borderId="12" xfId="0"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2" borderId="21" xfId="1" applyBorder="1" applyAlignment="1">
      <alignment horizontal="center" vertical="center" wrapText="1"/>
    </xf>
    <xf numFmtId="0" fontId="2" fillId="2" borderId="20" xfId="1" applyBorder="1" applyAlignment="1">
      <alignment horizontal="center" vertical="center" wrapText="1"/>
    </xf>
    <xf numFmtId="0" fontId="1"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9" fillId="13" borderId="11" xfId="0" applyFont="1" applyFill="1" applyBorder="1" applyAlignment="1">
      <alignment horizontal="center" vertical="center"/>
    </xf>
    <xf numFmtId="0" fontId="0" fillId="0" borderId="13" xfId="0" applyBorder="1" applyAlignment="1">
      <alignment horizontal="center"/>
    </xf>
    <xf numFmtId="0" fontId="0" fillId="0" borderId="0" xfId="0" applyAlignment="1">
      <alignment horizont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0" xfId="0" applyBorder="1" applyAlignment="1">
      <alignment horizontal="center"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164" fontId="5" fillId="8" borderId="11"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5" fillId="8" borderId="11" xfId="0" applyFont="1" applyFill="1" applyBorder="1" applyAlignment="1">
      <alignment horizontal="center" vertical="center" wrapText="1"/>
    </xf>
    <xf numFmtId="0" fontId="2" fillId="2" borderId="11" xfId="1" applyBorder="1" applyAlignment="1">
      <alignment horizontal="center" vertical="center" wrapText="1"/>
    </xf>
    <xf numFmtId="0" fontId="1" fillId="0" borderId="11" xfId="0" applyFont="1" applyBorder="1" applyAlignment="1">
      <alignment horizontal="center" vertical="center" wrapText="1"/>
    </xf>
    <xf numFmtId="164" fontId="5" fillId="8" borderId="18" xfId="0" applyNumberFormat="1" applyFont="1" applyFill="1" applyBorder="1" applyAlignment="1">
      <alignment horizontal="center" vertical="center" wrapText="1"/>
    </xf>
    <xf numFmtId="164" fontId="5" fillId="8" borderId="19"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164" fontId="5" fillId="8" borderId="17" xfId="0" applyNumberFormat="1" applyFont="1" applyFill="1" applyBorder="1" applyAlignment="1">
      <alignment horizontal="center" vertical="center" wrapText="1"/>
    </xf>
    <xf numFmtId="0" fontId="0" fillId="0" borderId="12" xfId="0" applyBorder="1" applyAlignment="1">
      <alignment horizontal="center" vertical="center" wrapText="1"/>
    </xf>
    <xf numFmtId="0" fontId="2" fillId="2" borderId="13" xfId="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7" xfId="0" applyFont="1" applyBorder="1" applyAlignment="1">
      <alignment horizontal="center" vertical="center" wrapText="1"/>
    </xf>
    <xf numFmtId="0" fontId="2" fillId="2" borderId="21" xfId="1" applyBorder="1" applyAlignment="1">
      <alignment horizontal="center" vertical="center" wrapText="1"/>
    </xf>
    <xf numFmtId="0" fontId="2" fillId="2" borderId="20" xfId="1" applyBorder="1" applyAlignment="1">
      <alignment horizontal="center" vertical="center" wrapText="1"/>
    </xf>
    <xf numFmtId="0" fontId="1" fillId="0" borderId="12" xfId="0" applyFont="1" applyBorder="1" applyAlignment="1">
      <alignment horizontal="center" vertical="center" wrapText="1"/>
    </xf>
    <xf numFmtId="0" fontId="2" fillId="2" borderId="14" xfId="1" applyBorder="1" applyAlignment="1">
      <alignment horizontal="center" vertical="center" wrapText="1"/>
    </xf>
    <xf numFmtId="0" fontId="2" fillId="2" borderId="12" xfId="1" applyBorder="1" applyAlignment="1">
      <alignment horizontal="center" vertical="center" wrapText="1"/>
    </xf>
    <xf numFmtId="0" fontId="2" fillId="6" borderId="4" xfId="1" applyFill="1" applyBorder="1" applyAlignment="1">
      <alignment horizontal="center" vertical="center" wrapText="1"/>
    </xf>
    <xf numFmtId="0" fontId="2" fillId="6" borderId="16" xfId="1" applyFill="1" applyBorder="1" applyAlignment="1">
      <alignment horizontal="center" vertical="center" wrapText="1"/>
    </xf>
    <xf numFmtId="0" fontId="2" fillId="6" borderId="15" xfId="1" applyFill="1" applyBorder="1" applyAlignment="1">
      <alignment horizontal="center" vertical="center" wrapText="1"/>
    </xf>
    <xf numFmtId="0" fontId="2" fillId="5" borderId="4" xfId="1" applyFill="1" applyBorder="1" applyAlignment="1">
      <alignment horizontal="center" vertical="center" wrapText="1"/>
    </xf>
    <xf numFmtId="0" fontId="2" fillId="5" borderId="15" xfId="1" applyFill="1" applyBorder="1" applyAlignment="1">
      <alignment horizontal="center" vertical="center" wrapText="1"/>
    </xf>
    <xf numFmtId="0" fontId="6" fillId="0" borderId="13" xfId="0" applyFont="1" applyBorder="1" applyAlignment="1">
      <alignment horizontal="center" vertical="center" wrapText="1"/>
    </xf>
    <xf numFmtId="0" fontId="19" fillId="14" borderId="11" xfId="0" applyFont="1" applyFill="1" applyBorder="1" applyAlignment="1">
      <alignment horizontal="left" vertical="center" wrapText="1"/>
    </xf>
    <xf numFmtId="0" fontId="19" fillId="14" borderId="20" xfId="0" applyFont="1" applyFill="1" applyBorder="1" applyAlignment="1">
      <alignment horizontal="left" vertical="center" wrapText="1"/>
    </xf>
    <xf numFmtId="0" fontId="18" fillId="16" borderId="11" xfId="0" applyFont="1" applyFill="1" applyBorder="1" applyAlignment="1">
      <alignment horizontal="center" vertical="center"/>
    </xf>
    <xf numFmtId="0" fontId="18" fillId="16" borderId="20" xfId="0" applyFont="1" applyFill="1" applyBorder="1" applyAlignment="1">
      <alignment horizontal="center" vertical="center"/>
    </xf>
    <xf numFmtId="0" fontId="14" fillId="12" borderId="11" xfId="1" applyFont="1" applyFill="1" applyBorder="1" applyAlignment="1">
      <alignment horizontal="center" vertical="center" wrapText="1"/>
    </xf>
    <xf numFmtId="0" fontId="19" fillId="12" borderId="0" xfId="0" applyFont="1" applyFill="1" applyAlignment="1">
      <alignment horizontal="left" vertical="center"/>
    </xf>
    <xf numFmtId="0" fontId="19" fillId="12" borderId="0" xfId="0" applyFont="1" applyFill="1" applyBorder="1" applyAlignment="1">
      <alignment horizontal="left" vertical="center"/>
    </xf>
    <xf numFmtId="0" fontId="19" fillId="13" borderId="11" xfId="0" applyFont="1" applyFill="1" applyBorder="1" applyAlignment="1">
      <alignment horizontal="center" vertical="center"/>
    </xf>
    <xf numFmtId="0" fontId="19" fillId="14" borderId="23" xfId="0" applyFont="1" applyFill="1" applyBorder="1" applyAlignment="1">
      <alignment horizontal="left" vertical="center" wrapText="1"/>
    </xf>
    <xf numFmtId="0" fontId="19" fillId="14" borderId="27" xfId="0" applyFont="1" applyFill="1" applyBorder="1" applyAlignment="1">
      <alignment horizontal="left" vertical="center" wrapText="1"/>
    </xf>
    <xf numFmtId="0" fontId="19" fillId="14" borderId="21" xfId="0" applyFont="1" applyFill="1" applyBorder="1" applyAlignment="1">
      <alignment horizontal="left" vertical="center" wrapText="1"/>
    </xf>
    <xf numFmtId="0" fontId="19" fillId="14" borderId="29" xfId="0" applyFont="1" applyFill="1" applyBorder="1" applyAlignment="1">
      <alignment horizontal="left" vertical="center" wrapText="1"/>
    </xf>
    <xf numFmtId="0" fontId="18" fillId="16" borderId="13" xfId="0" applyFont="1" applyFill="1" applyBorder="1" applyAlignment="1">
      <alignment horizontal="center" vertical="center"/>
    </xf>
  </cellXfs>
  <cellStyles count="3">
    <cellStyle name="Excel Built-in Calculation" xfId="1" xr:uid="{00000000-0005-0000-0000-000006000000}"/>
    <cellStyle name="Excel Built-in Check Cell" xfId="2" xr:uid="{00000000-0005-0000-0000-000007000000}"/>
    <cellStyle name="Normal" xfId="0" builtinId="0"/>
  </cellStyles>
  <dxfs count="7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ill>
        <patternFill patternType="solid">
          <fgColor rgb="FFF2F2F2"/>
          <bgColor rgb="FFFFFFFF"/>
        </patternFill>
      </fill>
    </dxf>
    <dxf>
      <fill>
        <patternFill patternType="solid">
          <fgColor rgb="FFF2F2F2"/>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A7D00"/>
      <rgbColor rgb="FF666699"/>
      <rgbColor rgb="FFA5A5A5"/>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mruColors>
      <color rgb="FFFA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Benjamin DAMOUR" id="{D843755C-68F2-46C7-AC39-16AB89F622F2}" userId="" providerI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2.842972916667" createdVersion="8" refreshedVersion="8" minRefreshableVersion="3" recordCount="61" xr:uid="{880BE118-2D89-4657-AD4B-70635BF9000C}">
  <cacheSource type="worksheet">
    <worksheetSource ref="B3:W64" sheet="S42"/>
  </cacheSource>
  <cacheFields count="22">
    <cacheField name="Statut Projet" numFmtId="0">
      <sharedItems/>
    </cacheField>
    <cacheField name="BU" numFmtId="0">
      <sharedItems containsBlank="1" count="4">
        <s v="BU ERP / CRM / BI"/>
        <s v="BU DEV SPE"/>
        <s v="BU WEB / E-COM"/>
        <m/>
      </sharedItems>
    </cacheField>
    <cacheField name="Projet" numFmtId="0">
      <sharedItems containsBlank="1" count="45">
        <s v="HEMAC "/>
        <s v="SuiteCRM et Quick CRM"/>
        <s v="Mecosun (via Majengo)"/>
        <s v="Kriss Laure"/>
        <s v="Be ys / quantum / HEKA / MSK"/>
        <s v="Osport "/>
        <s v="CANOVAS INVERSIO"/>
        <s v="CAELIS"/>
        <s v="CNES"/>
        <s v="Climext"/>
        <s v="Finadorm"/>
        <s v="Seetech"/>
        <s v="Vergers du Sud"/>
        <s v="Climax"/>
        <s v="Ecocert"/>
        <s v="Procolor"/>
        <s v="ISB"/>
        <s v="CFC (support)"/>
        <s v="CFC (dev)"/>
        <s v="Airbus Robotics"/>
        <s v="Opera Garnier (OPUS)"/>
        <s v="Finzzle/immodeus"/>
        <s v="Mon fourgon shop"/>
        <s v="Robertet"/>
        <s v="HyperVisoul"/>
        <s v="Go drill"/>
        <s v="Station Blanche _x000a_(Région Occitanie)"/>
        <s v="Opera Garnier (GTA)"/>
        <s v="Proarchives"/>
        <s v="MIDI2I - Extranet"/>
        <s v="Mairie de Blagnac"/>
        <s v="SCOMO"/>
        <s v="Normadoc"/>
        <s v="MKL"/>
        <s v="Everblue"/>
        <s v="CTS"/>
        <s v="BATS"/>
        <s v="MP SEC / TERRANG (dev)"/>
        <s v="MP SEC / TERRANG (accompagnement)"/>
        <s v="Service Managé (CMS)"/>
        <s v="Ville &amp; velo"/>
        <s v="Fred auto sport"/>
        <s v="CIVISTAR"/>
        <s v="JEAN CHRISTOPHE LAPLACE "/>
        <m/>
      </sharedItems>
    </cacheField>
    <cacheField name="Description projet" numFmtId="0">
      <sharedItems containsBlank="1"/>
    </cacheField>
    <cacheField name="Priorité Entreprise" numFmtId="0">
      <sharedItems containsSemiMixedTypes="0" containsString="0" containsNumber="1" containsInteger="1" minValue="0" maxValue="3"/>
    </cacheField>
    <cacheField name="Chef de projet" numFmtId="0">
      <sharedItems containsBlank="1" count="8">
        <s v="Benjamin"/>
        <s v="Bertrand"/>
        <s v="Tiffany"/>
        <s v="Elsa"/>
        <s v="Carole"/>
        <s v="Ling"/>
        <s v="Alisson"/>
        <m/>
      </sharedItems>
    </cacheField>
    <cacheField name="Resp. Technique" numFmtId="0">
      <sharedItems containsBlank="1"/>
    </cacheField>
    <cacheField name="Direction Projet" numFmtId="0">
      <sharedItems containsNonDate="0" containsString="0" containsBlank="1"/>
    </cacheField>
    <cacheField name="Phase du projet" numFmtId="0">
      <sharedItems containsBlank="1"/>
    </cacheField>
    <cacheField name="Type de contrat" numFmtId="0">
      <sharedItems containsBlank="1"/>
    </cacheField>
    <cacheField name="Code projet" numFmtId="0">
      <sharedItems containsNonDate="0" containsString="0" containsBlank="1"/>
    </cacheField>
    <cacheField name="Nombre de jours vendus (à garder, ici ?)" numFmtId="0">
      <sharedItems containsBlank="1" containsMixedTypes="1" containsNumber="1" containsInteger="1" minValue="300" maxValue="300"/>
    </cacheField>
    <cacheField name="Relation Client_x000a_Commer." numFmtId="164">
      <sharedItems containsString="0" containsBlank="1" containsNumber="1" minValue="0" maxValue="5"/>
    </cacheField>
    <cacheField name="Relation Client_x000a_Projet" numFmtId="164">
      <sharedItems containsString="0" containsBlank="1" containsNumber="1" minValue="0" maxValue="5"/>
    </cacheField>
    <cacheField name="Vision Client" numFmtId="164">
      <sharedItems containsBlank="1" count="6">
        <s v="BON"/>
        <s v="NON DÉFINI"/>
        <s v="WARNING !"/>
        <s v="A AMÉLIORER"/>
        <m/>
        <s v="EXCELLENT"/>
      </sharedItems>
    </cacheField>
    <cacheField name="Vision Interne" numFmtId="164">
      <sharedItems containsBlank="1"/>
    </cacheField>
    <cacheField name="Risque identifié" numFmtId="164">
      <sharedItems containsBlank="1"/>
    </cacheField>
    <cacheField name="Date dernier échange client" numFmtId="165">
      <sharedItems containsNonDate="0" containsDate="1" containsString="0" containsBlank="1" minDate="2025-05-01T00:00:00" maxDate="2025-10-30T00:00:00"/>
    </cacheField>
    <cacheField name="Date prochain échange client" numFmtId="165">
      <sharedItems containsNonDate="0" containsDate="1" containsBlank="1" containsMixedTypes="1" minDate="2025-09-25T00:00:00" maxDate="2025-12-02T00:00:00" count="23">
        <d v="2025-10-29T00:00:00"/>
        <d v="2025-10-23T00:00:00"/>
        <m/>
        <d v="2025-10-17T00:00:00"/>
        <d v="2025-11-04T00:00:00"/>
        <d v="2025-10-24T00:00:00"/>
        <d v="2025-10-21T00:00:00"/>
        <d v="2025-10-16T00:00:00"/>
        <d v="2025-10-22T00:00:00"/>
        <d v="2025-10-28T00:00:00"/>
        <d v="2025-10-20T00:00:00"/>
        <d v="2025-12-01T00:00:00"/>
        <d v="2025-10-06T00:00:00"/>
        <d v="2025-10-13T00:00:00"/>
        <d v="2025-11-01T00:00:00"/>
        <d v="2025-10-30T00:00:00"/>
        <d v="2025-10-10T00:00:00"/>
        <d v="2025-10-31T00:00:00"/>
        <d v="2025-10-27T00:00:00"/>
        <d v="2025-09-25T00:00:00"/>
        <s v="31/10/2025 ?" u="1"/>
        <s v="?" u="1"/>
        <s v="? Paul" u="1"/>
      </sharedItems>
    </cacheField>
    <cacheField name="Actualité _x000a_Projet" numFmtId="49">
      <sharedItems containsBlank="1" count="33" longText="1">
        <s v="- Prévoir dispositif pour MEP client Fin Octobre sur nouvelles instances_x000a_"/>
        <s v="- Prévisionnel d'activité 2026 à réaliser pour la direction"/>
        <m/>
        <s v="- Sprint 1 a déDéveloppement en cours Sprint 1 -&gt; estimation complétion 90% hors retours de QA_x000a_Rédaction en cours tickets srpint 2 avec la validation de chaque ticket au fur et à mesure par KL_x000a_Point de vigilance concernant les estimations jugées trop ambitieuses par l'équipe dev compte tenu de la complexité des -&gt; risque de dépassement probable de l'enveloppe initiale_x000a_-&gt; Mise en recette sprint 1 le 20/10_x000a_Scénario de démo à préparer + enregistrement process global -&gt; Lingmarré"/>
        <s v="- Point à suivre avec la cliente sur la partie Marketing._x000a_- Instance de pilotage projet à définir côté client"/>
        <s v="- Connecteur client Team Portal, en cours côté client (attente retour de leur part) Reste de 2/3 jours_x000a_- Suivre la validation du PIM (Po review côté client) _x000a_ 10 oct :Attente côté client (Arthur) d'accès informatique de l'allemagne pour pouvoir finaliser des configurations développées par Laza // 15oct dév faits mais imperfections sur certaines remontées d 'infos entre odoo et sage -) attente d'infos clients pour traiter les écarts"/>
        <s v="- Accompagnement finalisation structuration catalogue._x000a_- Démarrage prestation front ecommerce (5 jours) "/>
        <s v="Build en cours / projet avance dans les temps / attente retour client sur partie CRM et Opérations de maintenance_x000a_- Préparer le COPIL"/>
        <s v="- Traitement du PB Redis pour livraison du dernier correctif =&gt; prévoir échnage Lafabrique  _x000a__x000a_Correctifs en cours (dans cadre garantie)_x000a_Blocage des déploiements pour cause d'image docker Redis Obsolète_x000a_Ouverture de service prévue le 31/10 =&gt; tempête probable d'anomalies"/>
        <s v="- Suivi des imports client_x000a_changement de périmètre de projet par le client besoin de clarification _x000a__x000a_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
        <s v="Attelier de cadrage en cours. Finalisation prévue Début Novembre."/>
        <s v="- Suivi par César directement"/>
        <s v="- Possibilité de commencer le projet en avance de phase avec le client pour début Novembre. Mais sera probablement plutôt pour Janvier 2026 au vu des dispo de Labsoft et de Huco"/>
        <s v="PLannifier 2 j de travail d'analyse de code  pour le projet carte electronique. Valdé client . pas d'urgence "/>
        <s v=" - Mise en place de l'automatisation de relance des éditeurs si fichier non déposé_x000a_ - Script automation des actions à prendre selon le type d'erreur (article manquant à redemander au client par ex)_x000a_- Mécanique de purge auto des FTP _x000a_- Revue de la nomenclature des &quot;branchements&quot; éditeurs_x000a_- Axes d'amélioration des process de traitement Hermès à faire suite à l'analyse technique "/>
        <s v="Voir avec DSI quand amorcer le transfert de compétence pour reprise dashboard + identification des devs à réaliser -&gt; ateliers à prévoir avec Guillaume_x000a_"/>
        <s v="Préparer le &quot;catalogue&quot; des compétences à proposer"/>
        <s v="Aider à définir le RàF de projet (le client n'y arrive pas) _x000a_-&gt; potentiellement négocier 50 jours en + des 180 restant à consiommer à date (même si peu de chances)_x000a__x000a_Focus sur amélioration des fonctionnalités liées à la Distribution"/>
        <s v="- MEP de VAN Core côté client. Dispo de Laza demandé lors de la MEP_x000a_- Point client à programmer"/>
        <s v="Mail relance pour prochain échange envoyé le 12/10_x000a_Prochaine relance prévue le 17/10"/>
        <s v="finaliser les branchements coté front + QA pour mise a dispo client  APK semaine du 20 oct_x000a_réunion en physique a organiser pour lever les ambiguitées budget/ scope "/>
        <s v="difficile de lutter par rapport à ce que veux le client et d'autres solutions moins chères"/>
        <s v="- Proposition commerciale à faire pour la partie maintenance/support (à voir ce que l'on y met) _x000a__x000a_- Démo à faire pour du SuiteCRM,"/>
        <s v="Provoquer un rvd de présentation au nouveau DSI avant la fin de l'année_x000a__x000a_Identifier les les améliorations et fonctionnalités additionnelles à apporter au projet "/>
        <s v="- Valider le process de MEP _x000a_- Valider le RAF (~ 10 jours)_x000a_- Attente retour client pour la fin de cette semaine"/>
        <s v="- Suivi projet hebdo avec la cliente. Tous les jeudis. "/>
        <s v="COté infra : theirry est le DSI/ ils challenge notre propal avec une autre agence_x000a_COté WEB migration : en cours de reflxion de leur coté_x000a_Coté RUN :  quelques tickets en cours de specifications/ chiffrage "/>
        <s v="- QA de l'instance de DEV _x000a_- 3 tickets de chiffrage à valider côté client (~ 20 jours)"/>
        <s v="- 2 tickets en Po"/>
        <s v="finaliser un doc de travail pour reunion du 13. _x000a_Valider le pool de dev a réaliser en avance de phase ( 1 j ) "/>
        <s v="- Projet en standby côté client"/>
        <s v="- Attent retour client pour un démrrage potentiel du projet. Périmètre à redéfinir au démarrage projet !"/>
        <s v="- trouver expert Graphana "/>
      </sharedItems>
    </cacheField>
    <cacheField name="Actualité _x000a_Commerciale" numFmtId="0">
      <sharedItems containsBlank="1" count="34" longText="1">
        <m/>
        <s v="- Rencontre avec Aerospace valley en OCtobre_x000a_- Infos. Commerciales transmises à Alexandre"/>
        <s v="Relance Brice pour retour contrat car refus de régler la facture de septembre sinon -&gt; Appel à passer par Paul pour prendre température_x000a_Envoi des CG maintenance -&gt; Tif_x000a_Alerte à formuler sur difficultés techniques à venir car process trop alambiqués =&gt; lors du prochain weekly + lors du copil"/>
        <s v="- Présentation partie marketing à la directrice marketing de quantumacy. Attente retour de sa part lors du prochain point."/>
        <s v="- Faire un point sur la vision du projet/maintenance horizon 2026"/>
        <s v="- Relance de facturation_x000a_- Finaliser le lancement Etapa , et proposer un accompagnement   pour le deploiement des multi depots et comptabilité lié"/>
        <s v="- Devis de 1 jour à faire partir (peu de chance d'être accepté)_x000a_- Prestation de 6 mois de maintenance (5jrs/mois) "/>
        <s v="- Attente retour Digital113 sur la validation de la formation"/>
        <s v="- Attente retour client suite CODIR le vendredi 26 Sept."/>
        <s v="- Appel du client et laisser un vocal pour qu'il me rappel (24/09/2025). Prévoir un rappel client début octobre"/>
        <s v="Proposition de formation sur mesure + petit dev sur un premier pool de 5 jours_x000a_Proposer une prestation d'accompagnement de quelques jours pour recréation d'un front avec odoo? "/>
        <s v="- Relance client sur sujets commerciaux"/>
        <s v="- Attente retour de Labsoft pour démarrage projet"/>
        <s v="- Plus de budget côté client, mais à voir le projet technique avec Jean Christophe ( 2 jours analyse de code ?)_x000a_- offre de remise -15 % sur prochaine commande bien specifique ? "/>
        <s v="- Envoyer analyse technique Hermès en fin de de semaine pro (Lambert et Nicolas travaillent dessus cette semaine) _x000a_- Envoi de la doc support réalisée à date le 08/10"/>
        <s v=" - A priori plus de budget à consacrer au dashboard sur la fin de l'année =&gt; mais gros potentiel sur 2026_x000a_prestation de cadrage pour les fonctionnalités additonnelles dashboard? _x000a_- intégration de la fonctionnalité de déclaratif de consultation d'articles au dashboard? _x000a_- Changement possible de DG d'ici la fin de l'année =&gt; échange à prévoir avec le DSI pour prendre température"/>
        <s v="- Prestation de poweBI possible (peu convaincue)"/>
        <s v="- Revoir la partie hébergement, demande d'être facturé au trimestre_x000a__x000a_- bench des optimisations Front a réaliser par rapport a l'existant // passer 2 jours sur un mini rapport d'audit d'optimisation ( si envisageable) "/>
        <s v="- Enveloppe de 5 jours consommée sur les 10 jours. _x000a_- Essayer de cherche un accompagnement sur du DEV ou du lead TECH OU prestation de Cindy sur des maquettes_x000a_- Prestation Cindy pour création d'une interface user plus sexy_x000a_- Dispositif de dev pour reprise du projet _x000a_- Dispositif Lead dev pour revues de code_x000a_ Relancer le client depuis le dernier echange ? Pas de nouvelles depuis._x000a_Ce qui avait été convenu: Le client doit revenir vers nous pour discuter de l'infrastructure à appliquer à l'archi proposée"/>
        <s v="plannifier réunion de réorganisation. Livrer l'APK pour test et visibilité client. _x000a_Grosse reunion prevu semaine pro ou semaine d'apres. "/>
        <s v="- A relancer pour la partie Extranet V2"/>
        <s v="- Possibilité d'une V3, sur fin d'année ou début d'année prochaine 2026_x000a_- Mail de relance déjà envoyé"/>
        <s v="- proposer des journée d'acoompagnement specifique sur l'usage Odoo fonctionnel market digital "/>
        <s v="- Pool de 10 jours / mois."/>
        <s v="- Refonte VS migration =&gt; Discussion avec le client le 30 sept._x000a_- Accompagnement réalisation audit Infra à valider côté client -80k €)_x000a__x000a_Proposition : proposer de passer une  1/2 journée ensemble en atelier pour les accompagner sur la strategie d'internationalisation de leur produit (aprés début novembre)"/>
        <s v="- Estimation migration envoyée à Everblue (~ 150 jours)_x000a_- Proposition hébergement à envoyé + Contrat type hébergement à prévoir"/>
        <s v="- Relance sur le projet de refonte du site web_x000a_- Attente retour client pour le CDC ERP _x000a_- Proposer  un audit similaire  des solutions ERP du marché // avec % de redution sur la prestation "/>
        <s v="- Présentation refonte sur Hyva (~ 130 jours) Magento_x000a_La direction doit viser le document de refonte du fronte pour validation _x000a__x000a_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s v="continuer d'entretenir la relation. _x000a_Porposer une pack regie de 2/3 jours par mois avec un % de reduction sur l'offre. Pour verouiller la MA au mois. "/>
        <s v="finaliser la proposition de dev, et presentation prevu a date du 27 octobre. Relance client pour confirmation de l'expression du besoin faite le 1610"/>
        <s v="Difinir la strategie pour ces clients"/>
        <s v="- Finalisation du PDV projet ETAPA, pour déployer Odoo sur les autres boutiques_x000a_- Poposer la réactivation/ mise en lien des  tocks magasins G8 avec le Odoo de andorre "/>
        <s v="finir chiffrage et création du devis. _x000a_caler réunion d'eplication et echange. "/>
        <s v="Définir la strategie pour ces clients"/>
      </sharedItems>
    </cacheField>
    <cacheField name="Actualité_x000a_Technique" numFmtId="49">
      <sharedItems containsBlank="1" count="9">
        <m/>
        <s v="- Proposition de migration du Odoo (suite à augmentation des tarifs odoo, ~ 3 jours)"/>
        <s v="- Audit du code de Jean Christophe (node red, JS, raspberry Pi)"/>
        <s v="- Réflexion autour des good practices pour une nomenclature de dépôt des fichiers (assouplir ces règles)"/>
        <s v="- On pourrait proposer la sécurisation de certains sites (Migration ? ou WAF?)"/>
        <s v="- Problème d'indexation google sur tous les sites. Action à mener pour mettre en place d'un plan de redirection _x000a_- UPGRADE Drupla en prod non vendu"/>
        <s v="- Se coordonner avec Sudokeys techniquement (plan de redirection ?)_x000a_- A voir pour duppliquer rapidement/facilement un site sous Odoo ?"/>
        <s v="- CI/CD en place sur les 3 serveurs côté HUCO"/>
        <s v="- BUG sur la CI/CD (en cours de traitement par MAtthieu et Nicola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Actif"/>
    <x v="0"/>
    <x v="0"/>
    <s v="Solution Odoo custon faites par nous, jours basés sur la maintenace de la solution"/>
    <n v="2"/>
    <x v="0"/>
    <s v="Alexandre"/>
    <m/>
    <s v="RUN"/>
    <s v="REGIE"/>
    <m/>
    <m/>
    <n v="4.5"/>
    <n v="4.5"/>
    <x v="0"/>
    <s v="BON"/>
    <m/>
    <d v="2025-10-22T00:00:00"/>
    <x v="0"/>
    <x v="0"/>
    <x v="0"/>
    <x v="0"/>
  </r>
  <r>
    <s v="Actif"/>
    <x v="0"/>
    <x v="1"/>
    <s v="Logiciels à nous la ligne représentant un pool de jour sur plusieurs clients / licences"/>
    <n v="2"/>
    <x v="0"/>
    <s v="Matthieu"/>
    <m/>
    <s v="RUN"/>
    <m/>
    <m/>
    <m/>
    <n v="2.5"/>
    <n v="5"/>
    <x v="1"/>
    <s v="NON DÉFINI"/>
    <m/>
    <d v="2025-10-20T00:00:00"/>
    <x v="1"/>
    <x v="1"/>
    <x v="1"/>
    <x v="0"/>
  </r>
  <r>
    <s v="Actif"/>
    <x v="0"/>
    <x v="2"/>
    <s v="Fait du photovoltaique nous avons récupéré la mainteannce de ODOO par une entreprise intermédiaire MAJENGO. Audit commence le 15 sept, et ensuite 1 jour par semaine"/>
    <n v="2"/>
    <x v="1"/>
    <s v="Nicolas"/>
    <m/>
    <s v="AT / REGIE"/>
    <m/>
    <m/>
    <m/>
    <n v="1"/>
    <n v="4"/>
    <x v="0"/>
    <s v="BON"/>
    <m/>
    <m/>
    <x v="2"/>
    <x v="2"/>
    <x v="0"/>
    <x v="0"/>
  </r>
  <r>
    <s v="Actif"/>
    <x v="1"/>
    <x v="3"/>
    <m/>
    <n v="1"/>
    <x v="2"/>
    <s v="Thomas"/>
    <m/>
    <s v="BUILD"/>
    <s v="REGIE"/>
    <m/>
    <m/>
    <n v="0"/>
    <n v="0"/>
    <x v="2"/>
    <s v="WARNING !"/>
    <s v="Contrat pour Brice"/>
    <d v="2025-10-14T00:00:00"/>
    <x v="3"/>
    <x v="3"/>
    <x v="2"/>
    <x v="0"/>
  </r>
  <r>
    <s v="Actif"/>
    <x v="0"/>
    <x v="4"/>
    <s v="Enorme potentiel, cocooning à mettre en place pour développer ODOO sur l'ensemble des filiales"/>
    <n v="2"/>
    <x v="0"/>
    <s v="Laza"/>
    <m/>
    <s v="RUN"/>
    <m/>
    <m/>
    <m/>
    <n v="4.5"/>
    <n v="4.5"/>
    <x v="0"/>
    <s v="BON"/>
    <m/>
    <d v="2025-09-09T00:00:00"/>
    <x v="4"/>
    <x v="4"/>
    <x v="3"/>
    <x v="1"/>
  </r>
  <r>
    <s v="Actif"/>
    <x v="0"/>
    <x v="5"/>
    <s v="Suivi a mettre en place selon heure  convenu si on lui vend bien on pourra compter sur les heures A FAIRE"/>
    <n v="2"/>
    <x v="1"/>
    <s v="Laza"/>
    <m/>
    <s v="RUN"/>
    <m/>
    <m/>
    <m/>
    <n v="3"/>
    <n v="4"/>
    <x v="1"/>
    <s v="NON DÉFINI"/>
    <m/>
    <d v="2025-10-09T00:00:00"/>
    <x v="5"/>
    <x v="5"/>
    <x v="4"/>
    <x v="0"/>
  </r>
  <r>
    <s v="Actif"/>
    <x v="0"/>
    <x v="6"/>
    <s v="Suivi a mettre en place selon heure  convenu si on lui vend bien on pourra compter sur les heures A FAIRE"/>
    <n v="2"/>
    <x v="3"/>
    <s v="Bertrand"/>
    <m/>
    <s v="RUN"/>
    <m/>
    <m/>
    <m/>
    <n v="4"/>
    <n v="3.5"/>
    <x v="3"/>
    <s v="A AMÉLIORER"/>
    <s v="Identfier le temps passé"/>
    <d v="2025-10-17T00:00:00"/>
    <x v="6"/>
    <x v="6"/>
    <x v="5"/>
    <x v="0"/>
  </r>
  <r>
    <s v="Actif"/>
    <x v="0"/>
    <x v="7"/>
    <s v="Cellule frigorique spécialiée A CALER IMPERATIVEMENT EN PRIO Odoo de bout en bout"/>
    <n v="3"/>
    <x v="1"/>
    <s v="Laza"/>
    <m/>
    <s v="BUILD"/>
    <m/>
    <m/>
    <m/>
    <n v="5"/>
    <n v="5"/>
    <x v="0"/>
    <s v="BON"/>
    <m/>
    <d v="2025-10-03T00:00:00"/>
    <x v="5"/>
    <x v="7"/>
    <x v="0"/>
    <x v="0"/>
  </r>
  <r>
    <s v="Actif"/>
    <x v="1"/>
    <x v="8"/>
    <m/>
    <n v="3"/>
    <x v="2"/>
    <s v="Thomas"/>
    <m/>
    <s v="RUN"/>
    <m/>
    <m/>
    <m/>
    <n v="0"/>
    <n v="0"/>
    <x v="2"/>
    <s v="WARNING !"/>
    <m/>
    <d v="2025-10-14T00:00:00"/>
    <x v="6"/>
    <x v="8"/>
    <x v="6"/>
    <x v="0"/>
  </r>
  <r>
    <s v="Actif"/>
    <x v="0"/>
    <x v="9"/>
    <s v="Climatisation / energie ODOO"/>
    <n v="3"/>
    <x v="1"/>
    <s v="Laza"/>
    <m/>
    <s v="BUILD"/>
    <m/>
    <m/>
    <m/>
    <n v="4"/>
    <n v="2"/>
    <x v="0"/>
    <s v="WARNING !"/>
    <m/>
    <d v="2025-10-06T00:00:00"/>
    <x v="7"/>
    <x v="9"/>
    <x v="7"/>
    <x v="0"/>
  </r>
  <r>
    <s v="Actif"/>
    <x v="0"/>
    <x v="10"/>
    <s v="Literie : Proposition d'un POC ODOO"/>
    <n v="2"/>
    <x v="1"/>
    <s v="Laza"/>
    <m/>
    <s v="AVANT VENTES"/>
    <m/>
    <m/>
    <s v="* 12 jours cadrage_x000a_* 25 jours MVP"/>
    <n v="3"/>
    <n v="3"/>
    <x v="1"/>
    <s v="NON DÉFINI"/>
    <m/>
    <d v="2025-10-08T00:00:00"/>
    <x v="3"/>
    <x v="10"/>
    <x v="8"/>
    <x v="0"/>
  </r>
  <r>
    <s v="Actif"/>
    <x v="0"/>
    <x v="11"/>
    <s v="Equipement de sécurité pour zone de dechets"/>
    <n v="2"/>
    <x v="1"/>
    <s v="Laza"/>
    <m/>
    <s v="AVANT VENTES"/>
    <m/>
    <m/>
    <m/>
    <n v="2"/>
    <n v="2"/>
    <x v="4"/>
    <m/>
    <m/>
    <d v="2025-09-15T00:00:00"/>
    <x v="8"/>
    <x v="2"/>
    <x v="9"/>
    <x v="0"/>
  </r>
  <r>
    <s v="Actif"/>
    <x v="0"/>
    <x v="12"/>
    <s v="Vergers du Sud"/>
    <n v="3"/>
    <x v="1"/>
    <s v="Nicolas"/>
    <m/>
    <s v="RUN"/>
    <m/>
    <m/>
    <m/>
    <m/>
    <m/>
    <x v="4"/>
    <m/>
    <m/>
    <d v="2025-10-07T00:00:00"/>
    <x v="2"/>
    <x v="2"/>
    <x v="10"/>
    <x v="0"/>
  </r>
  <r>
    <s v="Actif"/>
    <x v="0"/>
    <x v="13"/>
    <s v="Clim et énergie, attente retour du client sur temps plein"/>
    <n v="1"/>
    <x v="4"/>
    <s v="Nicolas"/>
    <m/>
    <s v="AVANT VENTES"/>
    <m/>
    <m/>
    <m/>
    <n v="2"/>
    <n v="4"/>
    <x v="3"/>
    <s v="A AMÉLIORER"/>
    <m/>
    <d v="2025-10-22T00:00:00"/>
    <x v="8"/>
    <x v="11"/>
    <x v="11"/>
    <x v="0"/>
  </r>
  <r>
    <s v="Actif"/>
    <x v="0"/>
    <x v="14"/>
    <s v="Sujet IA et B.I en cours de négo"/>
    <n v="3"/>
    <x v="4"/>
    <s v="Thomas"/>
    <m/>
    <s v="AVANT VENTES"/>
    <m/>
    <m/>
    <m/>
    <m/>
    <m/>
    <x v="4"/>
    <m/>
    <m/>
    <m/>
    <x v="2"/>
    <x v="2"/>
    <x v="0"/>
    <x v="0"/>
  </r>
  <r>
    <s v="Actif"/>
    <x v="0"/>
    <x v="15"/>
    <s v="Spécialiste laquage, mise en place de ODOO avec labsoft en cotraitance"/>
    <n v="2"/>
    <x v="1"/>
    <s v="Laza"/>
    <m/>
    <s v="AVANT VENTES"/>
    <m/>
    <m/>
    <m/>
    <n v="1"/>
    <n v="4"/>
    <x v="4"/>
    <m/>
    <m/>
    <d v="2025-05-01T00:00:00"/>
    <x v="1"/>
    <x v="12"/>
    <x v="12"/>
    <x v="0"/>
  </r>
  <r>
    <s v="Actif"/>
    <x v="1"/>
    <x v="16"/>
    <s v="Ecole, intranet relation parent enfants_x000a_Suivi a mettre en place selon heure  convenu si on lui vend bien on pourra compter sur les heures"/>
    <n v="2"/>
    <x v="3"/>
    <s v="Lambert"/>
    <m/>
    <s v="AVANT VENTES"/>
    <m/>
    <m/>
    <m/>
    <n v="4"/>
    <n v="4"/>
    <x v="0"/>
    <s v="BON"/>
    <m/>
    <d v="2025-10-03T00:00:00"/>
    <x v="9"/>
    <x v="13"/>
    <x v="13"/>
    <x v="2"/>
  </r>
  <r>
    <s v="Actif"/>
    <x v="1"/>
    <x v="17"/>
    <m/>
    <n v="2"/>
    <x v="2"/>
    <s v="Thomas"/>
    <m/>
    <s v="RUN"/>
    <m/>
    <m/>
    <m/>
    <n v="4"/>
    <n v="4"/>
    <x v="1"/>
    <s v="NON DÉFINI"/>
    <m/>
    <d v="2025-10-15T00:00:00"/>
    <x v="10"/>
    <x v="14"/>
    <x v="14"/>
    <x v="3"/>
  </r>
  <r>
    <s v="Actif"/>
    <x v="1"/>
    <x v="18"/>
    <m/>
    <n v="1"/>
    <x v="2"/>
    <s v="Mathieu"/>
    <m/>
    <s v="RUN"/>
    <m/>
    <m/>
    <m/>
    <n v="4"/>
    <n v="4"/>
    <x v="1"/>
    <s v="NON DÉFINI"/>
    <m/>
    <d v="2025-10-15T00:00:00"/>
    <x v="1"/>
    <x v="15"/>
    <x v="15"/>
    <x v="4"/>
  </r>
  <r>
    <s v="Actif"/>
    <x v="1"/>
    <x v="19"/>
    <s v="Attente de la validation du client (via partenaire labsoft)"/>
    <n v="2"/>
    <x v="2"/>
    <s v="Mathieu"/>
    <m/>
    <m/>
    <m/>
    <m/>
    <m/>
    <m/>
    <m/>
    <x v="2"/>
    <s v="WARNING !"/>
    <m/>
    <m/>
    <x v="11"/>
    <x v="16"/>
    <x v="0"/>
    <x v="0"/>
  </r>
  <r>
    <s v="Actif"/>
    <x v="1"/>
    <x v="20"/>
    <m/>
    <n v="3"/>
    <x v="2"/>
    <s v="Gaussard"/>
    <m/>
    <m/>
    <s v="REGIE"/>
    <m/>
    <m/>
    <n v="4"/>
    <n v="4"/>
    <x v="0"/>
    <s v="BON"/>
    <m/>
    <d v="2025-10-13T00:00:00"/>
    <x v="10"/>
    <x v="17"/>
    <x v="16"/>
    <x v="0"/>
  </r>
  <r>
    <s v="Actif"/>
    <x v="1"/>
    <x v="21"/>
    <m/>
    <n v="3"/>
    <x v="5"/>
    <s v="Lambert"/>
    <m/>
    <s v="RUN"/>
    <s v="CONTRAT TEMPS"/>
    <m/>
    <m/>
    <m/>
    <m/>
    <x v="3"/>
    <s v="A AMÉLIORER"/>
    <m/>
    <m/>
    <x v="2"/>
    <x v="2"/>
    <x v="0"/>
    <x v="5"/>
  </r>
  <r>
    <s v="Actif"/>
    <x v="0"/>
    <x v="22"/>
    <s v="Vente d'équipements de Van ecommerce et ERP en maintenance sur demande"/>
    <n v="2"/>
    <x v="1"/>
    <s v="Laza"/>
    <m/>
    <s v="RUN"/>
    <m/>
    <m/>
    <m/>
    <n v="2"/>
    <n v="2"/>
    <x v="2"/>
    <s v="WARNING !"/>
    <s v="Abs. Visibilité client"/>
    <d v="2025-09-22T00:00:00"/>
    <x v="12"/>
    <x v="18"/>
    <x v="17"/>
    <x v="0"/>
  </r>
  <r>
    <s v="Actif"/>
    <x v="1"/>
    <x v="23"/>
    <s v="Leader mondial des essences et parfums naturels"/>
    <n v="1"/>
    <x v="4"/>
    <s v="Nicolas"/>
    <m/>
    <m/>
    <m/>
    <m/>
    <m/>
    <n v="3"/>
    <n v="3"/>
    <x v="4"/>
    <m/>
    <m/>
    <m/>
    <x v="2"/>
    <x v="2"/>
    <x v="0"/>
    <x v="0"/>
  </r>
  <r>
    <s v="Actif"/>
    <x v="1"/>
    <x v="24"/>
    <s v="En plus des 4 jours on peut proposer du Dev car ils risquent d'être en difficulté"/>
    <n v="2"/>
    <x v="2"/>
    <s v="Mathieu"/>
    <m/>
    <m/>
    <m/>
    <m/>
    <m/>
    <n v="5"/>
    <n v="5"/>
    <x v="1"/>
    <s v="NON DÉFINI"/>
    <m/>
    <d v="2025-10-03T00:00:00"/>
    <x v="3"/>
    <x v="19"/>
    <x v="18"/>
    <x v="0"/>
  </r>
  <r>
    <s v="Actif"/>
    <x v="1"/>
    <x v="25"/>
    <s v="Logiciel de perfectionnement au GOLF, ambition de venir numero 1 mondial. GROS POTENTIEL LONG TERME. Performer sur le temps d''execution et vendre maintenant"/>
    <n v="3"/>
    <x v="3"/>
    <s v="Thomas"/>
    <m/>
    <m/>
    <m/>
    <m/>
    <m/>
    <n v="4"/>
    <n v="4"/>
    <x v="0"/>
    <s v="A AMÉLIORER"/>
    <m/>
    <d v="2025-10-07T00:00:00"/>
    <x v="13"/>
    <x v="20"/>
    <x v="19"/>
    <x v="0"/>
  </r>
  <r>
    <s v="Actif"/>
    <x v="1"/>
    <x v="26"/>
    <s v="Attente retour fin septembre de validation de la région"/>
    <n v="1"/>
    <x v="4"/>
    <s v="Thomas"/>
    <m/>
    <m/>
    <m/>
    <m/>
    <n v="300"/>
    <m/>
    <m/>
    <x v="4"/>
    <m/>
    <m/>
    <m/>
    <x v="2"/>
    <x v="2"/>
    <x v="0"/>
    <x v="0"/>
  </r>
  <r>
    <s v="Actif"/>
    <x v="1"/>
    <x v="27"/>
    <s v="Attente décision du client fin octobre"/>
    <n v="1"/>
    <x v="2"/>
    <s v="Lambert"/>
    <m/>
    <m/>
    <m/>
    <m/>
    <m/>
    <m/>
    <m/>
    <x v="4"/>
    <m/>
    <m/>
    <d v="2025-10-06T00:00:00"/>
    <x v="2"/>
    <x v="21"/>
    <x v="0"/>
    <x v="0"/>
  </r>
  <r>
    <s v="Actif"/>
    <x v="1"/>
    <x v="28"/>
    <s v="Gros projets, voir pour faire de la régie"/>
    <n v="2"/>
    <x v="6"/>
    <s v="Mathieu"/>
    <m/>
    <m/>
    <m/>
    <m/>
    <m/>
    <m/>
    <m/>
    <x v="4"/>
    <m/>
    <m/>
    <m/>
    <x v="2"/>
    <x v="2"/>
    <x v="0"/>
    <x v="0"/>
  </r>
  <r>
    <s v="Actif"/>
    <x v="1"/>
    <x v="29"/>
    <s v="Refaire proposition commerciale"/>
    <n v="2"/>
    <x v="0"/>
    <s v="Lambert"/>
    <m/>
    <m/>
    <m/>
    <m/>
    <m/>
    <n v="3"/>
    <n v="3"/>
    <x v="5"/>
    <s v="EXCELLENT"/>
    <m/>
    <m/>
    <x v="2"/>
    <x v="22"/>
    <x v="20"/>
    <x v="0"/>
  </r>
  <r>
    <s v="Actif"/>
    <x v="1"/>
    <x v="30"/>
    <s v="Attente de la validation du client "/>
    <n v="2"/>
    <x v="2"/>
    <s v="Thomas"/>
    <m/>
    <m/>
    <m/>
    <m/>
    <m/>
    <n v="4"/>
    <n v="4"/>
    <x v="1"/>
    <s v="NON DÉFINI"/>
    <m/>
    <d v="2025-10-06T00:00:00"/>
    <x v="14"/>
    <x v="23"/>
    <x v="21"/>
    <x v="0"/>
  </r>
  <r>
    <s v="Actif"/>
    <x v="0"/>
    <x v="31"/>
    <s v="Vente de mattériel mécanique machine outil Fin de projet imminente, action  de maintenance a positionner "/>
    <n v="2"/>
    <x v="3"/>
    <s v="Benjamin"/>
    <m/>
    <s v="BUILD"/>
    <m/>
    <m/>
    <m/>
    <n v="1"/>
    <n v="1"/>
    <x v="2"/>
    <s v="WARNING !"/>
    <s v="Dépassement projet"/>
    <d v="2025-10-22T00:00:00"/>
    <x v="5"/>
    <x v="24"/>
    <x v="22"/>
    <x v="6"/>
  </r>
  <r>
    <s v="Actif"/>
    <x v="2"/>
    <x v="32"/>
    <s v="Site de e-commerce pour prestation de système de documentation technique pour industrie spécifique type nucléaire"/>
    <n v="3"/>
    <x v="0"/>
    <s v="Audrey"/>
    <m/>
    <m/>
    <m/>
    <m/>
    <m/>
    <n v="2"/>
    <n v="4"/>
    <x v="5"/>
    <s v="EXCELLENT"/>
    <m/>
    <d v="2025-10-21T00:00:00"/>
    <x v="15"/>
    <x v="25"/>
    <x v="23"/>
    <x v="0"/>
  </r>
  <r>
    <s v="Actif"/>
    <x v="2"/>
    <x v="33"/>
    <m/>
    <n v="3"/>
    <x v="3"/>
    <s v="Lambert"/>
    <m/>
    <m/>
    <m/>
    <m/>
    <m/>
    <n v="4"/>
    <n v="4"/>
    <x v="1"/>
    <s v="NON DÉFINI"/>
    <m/>
    <d v="2025-10-16T00:00:00"/>
    <x v="3"/>
    <x v="26"/>
    <x v="24"/>
    <x v="0"/>
  </r>
  <r>
    <s v="Actif"/>
    <x v="2"/>
    <x v="34"/>
    <s v="Produit de piscine, il faut leur vendre du temps mais demande des garanties sur les délais"/>
    <n v="1"/>
    <x v="3"/>
    <s v="Nicolas"/>
    <m/>
    <m/>
    <m/>
    <m/>
    <m/>
    <n v="5"/>
    <n v="5"/>
    <x v="2"/>
    <s v="WARNING !"/>
    <m/>
    <d v="2025-10-06T00:00:00"/>
    <x v="16"/>
    <x v="27"/>
    <x v="25"/>
    <x v="7"/>
  </r>
  <r>
    <s v="Actif"/>
    <x v="2"/>
    <x v="35"/>
    <m/>
    <n v="1"/>
    <x v="3"/>
    <s v="Audrey"/>
    <m/>
    <m/>
    <m/>
    <m/>
    <m/>
    <n v="0"/>
    <n v="0"/>
    <x v="2"/>
    <s v="WARNING !"/>
    <m/>
    <d v="2025-10-15T00:00:00"/>
    <x v="17"/>
    <x v="2"/>
    <x v="26"/>
    <x v="0"/>
  </r>
  <r>
    <s v="Actif"/>
    <x v="2"/>
    <x v="36"/>
    <m/>
    <n v="1"/>
    <x v="3"/>
    <s v="Nicolas"/>
    <m/>
    <m/>
    <m/>
    <m/>
    <m/>
    <n v="0"/>
    <n v="0"/>
    <x v="2"/>
    <s v="WARNING !"/>
    <s v="Viser la présentation"/>
    <d v="2025-10-08T00:00:00"/>
    <x v="5"/>
    <x v="28"/>
    <x v="27"/>
    <x v="0"/>
  </r>
  <r>
    <s v="Actif"/>
    <x v="2"/>
    <x v="37"/>
    <m/>
    <n v="1"/>
    <x v="3"/>
    <s v="Nicolas"/>
    <m/>
    <m/>
    <m/>
    <m/>
    <m/>
    <n v="5"/>
    <n v="5"/>
    <x v="1"/>
    <s v="NON DÉFINI"/>
    <m/>
    <d v="2025-10-29T00:00:00"/>
    <x v="2"/>
    <x v="2"/>
    <x v="28"/>
    <x v="8"/>
  </r>
  <r>
    <s v="Actif"/>
    <x v="2"/>
    <x v="38"/>
    <m/>
    <n v="1"/>
    <x v="3"/>
    <s v="Nicolas"/>
    <m/>
    <m/>
    <m/>
    <m/>
    <m/>
    <n v="5"/>
    <n v="5"/>
    <x v="1"/>
    <s v="NON DÉFINI"/>
    <m/>
    <d v="2025-10-13T00:00:00"/>
    <x v="18"/>
    <x v="29"/>
    <x v="29"/>
    <x v="0"/>
  </r>
  <r>
    <s v="Actif"/>
    <x v="2"/>
    <x v="39"/>
    <m/>
    <n v="2"/>
    <x v="5"/>
    <s v="Kevin"/>
    <m/>
    <m/>
    <m/>
    <m/>
    <m/>
    <m/>
    <m/>
    <x v="1"/>
    <s v="NON DÉFINI"/>
    <m/>
    <m/>
    <x v="2"/>
    <x v="2"/>
    <x v="30"/>
    <x v="0"/>
  </r>
  <r>
    <s v="Actif"/>
    <x v="2"/>
    <x v="40"/>
    <m/>
    <n v="1"/>
    <x v="3"/>
    <s v="Bertrand"/>
    <m/>
    <m/>
    <m/>
    <m/>
    <m/>
    <n v="4"/>
    <n v="4"/>
    <x v="0"/>
    <s v="A AMÉLIORER"/>
    <m/>
    <m/>
    <x v="19"/>
    <x v="30"/>
    <x v="31"/>
    <x v="0"/>
  </r>
  <r>
    <s v="Actif"/>
    <x v="2"/>
    <x v="41"/>
    <m/>
    <n v="2"/>
    <x v="3"/>
    <s v="Lambert"/>
    <m/>
    <m/>
    <m/>
    <m/>
    <m/>
    <m/>
    <m/>
    <x v="1"/>
    <s v="NON DÉFINI"/>
    <m/>
    <d v="2025-09-25T00:00:00"/>
    <x v="19"/>
    <x v="2"/>
    <x v="32"/>
    <x v="0"/>
  </r>
  <r>
    <s v="Actif"/>
    <x v="2"/>
    <x v="42"/>
    <m/>
    <n v="2"/>
    <x v="3"/>
    <s v="Thomas"/>
    <m/>
    <m/>
    <m/>
    <m/>
    <m/>
    <m/>
    <m/>
    <x v="1"/>
    <s v="NON DÉFINI"/>
    <m/>
    <m/>
    <x v="2"/>
    <x v="31"/>
    <x v="0"/>
    <x v="0"/>
  </r>
  <r>
    <s v="Actif"/>
    <x v="1"/>
    <x v="43"/>
    <m/>
    <n v="0"/>
    <x v="3"/>
    <s v="Lambert"/>
    <m/>
    <m/>
    <s v="FORFAIT"/>
    <m/>
    <m/>
    <m/>
    <m/>
    <x v="5"/>
    <s v="EXCELLENT"/>
    <m/>
    <d v="2025-10-10T00:00:00"/>
    <x v="3"/>
    <x v="32"/>
    <x v="33"/>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29301-4C9A-42C1-8C29-637138410BE1}" name="Tableau croisé dynamique1" cacheId="3"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A6:D52" firstHeaderRow="1" firstDataRow="1" firstDataCol="4" rowPageCount="4" colPageCount="1"/>
  <pivotFields count="22">
    <pivotField compact="0" outline="0" showAll="0" defaultSubtotal="0"/>
    <pivotField axis="axisPage" compact="0" outline="0" showAll="0" defaultSubtotal="0">
      <items count="4">
        <item x="1"/>
        <item x="0"/>
        <item x="2"/>
        <item x="3"/>
      </items>
    </pivotField>
    <pivotField axis="axisRow" compact="0" outline="0" showAll="0" defaultSubtotal="0">
      <items count="45">
        <item x="19"/>
        <item x="36"/>
        <item x="4"/>
        <item x="7"/>
        <item x="6"/>
        <item x="18"/>
        <item x="17"/>
        <item x="42"/>
        <item x="13"/>
        <item x="9"/>
        <item x="8"/>
        <item x="35"/>
        <item x="14"/>
        <item x="34"/>
        <item x="10"/>
        <item x="21"/>
        <item x="41"/>
        <item x="25"/>
        <item x="0"/>
        <item x="24"/>
        <item x="16"/>
        <item x="43"/>
        <item x="3"/>
        <item x="30"/>
        <item x="2"/>
        <item x="29"/>
        <item x="33"/>
        <item x="22"/>
        <item x="38"/>
        <item x="37"/>
        <item x="32"/>
        <item x="27"/>
        <item x="20"/>
        <item x="5"/>
        <item x="28"/>
        <item x="15"/>
        <item x="23"/>
        <item x="31"/>
        <item x="11"/>
        <item x="39"/>
        <item x="26"/>
        <item x="1"/>
        <item x="12"/>
        <item x="40"/>
        <item x="44"/>
      </items>
    </pivotField>
    <pivotField compact="0" outline="0" showAll="0" defaultSubtotal="0"/>
    <pivotField compact="0" outline="0" showAll="0" defaultSubtotal="0"/>
    <pivotField axis="axisPage" compact="0" outline="0" showAll="0" defaultSubtotal="0">
      <items count="8">
        <item x="6"/>
        <item x="0"/>
        <item x="1"/>
        <item x="4"/>
        <item x="3"/>
        <item x="5"/>
        <item x="2"/>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6">
        <item x="3"/>
        <item x="0"/>
        <item x="5"/>
        <item x="1"/>
        <item x="2"/>
        <item x="4"/>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3">
        <item m="1" x="21"/>
        <item m="1" x="22"/>
        <item m="1" x="20"/>
        <item x="19"/>
        <item x="12"/>
        <item x="16"/>
        <item x="13"/>
        <item x="7"/>
        <item x="3"/>
        <item x="10"/>
        <item x="6"/>
        <item x="8"/>
        <item x="1"/>
        <item x="5"/>
        <item x="18"/>
        <item x="9"/>
        <item x="0"/>
        <item x="15"/>
        <item x="14"/>
        <item x="4"/>
        <item x="11"/>
        <item x="2"/>
        <item x="17"/>
      </items>
    </pivotField>
    <pivotField axis="axisRow" compact="0" outline="0" showAll="0" defaultSubtotal="0">
      <items count="33">
        <item x="14"/>
        <item x="28"/>
        <item x="6"/>
        <item x="31"/>
        <item x="5"/>
        <item x="18"/>
        <item x="4"/>
        <item x="12"/>
        <item x="1"/>
        <item x="0"/>
        <item x="30"/>
        <item x="22"/>
        <item x="27"/>
        <item sd="0" x="3"/>
        <item x="9"/>
        <item x="11"/>
        <item x="25"/>
        <item x="8"/>
        <item x="32"/>
        <item x="24"/>
        <item x="17"/>
        <item x="10"/>
        <item x="7"/>
        <item x="26"/>
        <item x="21"/>
        <item x="20"/>
        <item x="29"/>
        <item x="19"/>
        <item x="13"/>
        <item x="16"/>
        <item x="23"/>
        <item x="15"/>
        <item x="2"/>
      </items>
    </pivotField>
    <pivotField axis="axisRow" compact="0" outline="0" showAll="0" defaultSubtotal="0">
      <items count="34">
        <item x="15"/>
        <item x="20"/>
        <item x="9"/>
        <item x="8"/>
        <item x="12"/>
        <item x="7"/>
        <item x="6"/>
        <item x="18"/>
        <item x="14"/>
        <item x="25"/>
        <item x="4"/>
        <item x="31"/>
        <item x="13"/>
        <item x="23"/>
        <item x="21"/>
        <item x="3"/>
        <item x="27"/>
        <item x="16"/>
        <item x="22"/>
        <item x="24"/>
        <item x="11"/>
        <item x="5"/>
        <item x="26"/>
        <item x="1"/>
        <item x="17"/>
        <item x="28"/>
        <item x="33"/>
        <item x="30"/>
        <item x="29"/>
        <item x="32"/>
        <item x="19"/>
        <item x="10"/>
        <item x="2"/>
        <item x="0"/>
      </items>
    </pivotField>
    <pivotField axis="axisRow" compact="0" outline="0" showAll="0" defaultSubtotal="0">
      <items count="9">
        <item x="2"/>
        <item x="8"/>
        <item x="7"/>
        <item x="4"/>
        <item x="5"/>
        <item x="1"/>
        <item x="3"/>
        <item x="6"/>
        <item x="0"/>
      </items>
    </pivotField>
  </pivotFields>
  <rowFields count="4">
    <field x="2"/>
    <field x="19"/>
    <field x="20"/>
    <field x="21"/>
  </rowFields>
  <rowItems count="46">
    <i>
      <x/>
      <x v="29"/>
      <x v="33"/>
      <x v="8"/>
    </i>
    <i>
      <x v="1"/>
      <x v="1"/>
      <x v="16"/>
      <x v="8"/>
    </i>
    <i>
      <x v="2"/>
      <x v="6"/>
      <x v="15"/>
      <x v="5"/>
    </i>
    <i>
      <x v="3"/>
      <x v="22"/>
      <x v="33"/>
      <x v="8"/>
    </i>
    <i>
      <x v="4"/>
      <x v="2"/>
      <x v="21"/>
      <x v="8"/>
    </i>
    <i>
      <x v="5"/>
      <x v="31"/>
      <x/>
      <x v="3"/>
    </i>
    <i>
      <x v="6"/>
      <x/>
      <x v="8"/>
      <x v="6"/>
    </i>
    <i>
      <x v="7"/>
      <x v="3"/>
      <x v="33"/>
      <x v="8"/>
    </i>
    <i>
      <x v="8"/>
      <x v="15"/>
      <x v="20"/>
      <x v="8"/>
    </i>
    <i>
      <x v="9"/>
      <x v="14"/>
      <x v="5"/>
      <x v="8"/>
    </i>
    <i>
      <x v="10"/>
      <x v="17"/>
      <x v="6"/>
      <x v="8"/>
    </i>
    <i>
      <x v="11"/>
      <x v="32"/>
      <x v="22"/>
      <x v="8"/>
    </i>
    <i>
      <x v="12"/>
      <x v="32"/>
      <x v="33"/>
      <x v="8"/>
    </i>
    <i>
      <x v="13"/>
      <x v="12"/>
      <x v="9"/>
      <x v="2"/>
    </i>
    <i>
      <x v="14"/>
      <x v="21"/>
      <x v="3"/>
      <x v="8"/>
    </i>
    <i>
      <x v="15"/>
      <x v="32"/>
      <x v="33"/>
      <x v="4"/>
    </i>
    <i>
      <x v="16"/>
      <x v="32"/>
      <x v="29"/>
      <x v="8"/>
    </i>
    <i>
      <x v="17"/>
      <x v="25"/>
      <x v="30"/>
      <x v="8"/>
    </i>
    <i>
      <x v="18"/>
      <x v="9"/>
      <x v="33"/>
      <x v="8"/>
    </i>
    <i>
      <x v="19"/>
      <x v="27"/>
      <x v="7"/>
      <x v="8"/>
    </i>
    <i>
      <x v="20"/>
      <x v="28"/>
      <x v="12"/>
      <x/>
    </i>
    <i>
      <x v="21"/>
      <x v="18"/>
      <x v="26"/>
      <x v="8"/>
    </i>
    <i>
      <x v="22"/>
      <x v="13"/>
    </i>
    <i>
      <x v="23"/>
      <x v="30"/>
      <x v="14"/>
      <x v="8"/>
    </i>
    <i>
      <x v="24"/>
      <x v="32"/>
      <x v="33"/>
      <x v="8"/>
    </i>
    <i>
      <x v="25"/>
      <x v="11"/>
      <x v="1"/>
      <x v="8"/>
    </i>
    <i>
      <x v="26"/>
      <x v="23"/>
      <x v="19"/>
      <x v="8"/>
    </i>
    <i>
      <x v="27"/>
      <x v="5"/>
      <x v="24"/>
      <x v="8"/>
    </i>
    <i>
      <x v="28"/>
      <x v="26"/>
      <x v="28"/>
      <x v="8"/>
    </i>
    <i>
      <x v="29"/>
      <x v="32"/>
      <x v="25"/>
      <x v="1"/>
    </i>
    <i>
      <x v="30"/>
      <x v="16"/>
      <x v="13"/>
      <x v="8"/>
    </i>
    <i>
      <x v="31"/>
      <x v="24"/>
      <x v="33"/>
      <x v="8"/>
    </i>
    <i>
      <x v="32"/>
      <x v="20"/>
      <x v="17"/>
      <x v="8"/>
    </i>
    <i>
      <x v="33"/>
      <x v="4"/>
      <x v="10"/>
      <x v="8"/>
    </i>
    <i>
      <x v="34"/>
      <x v="32"/>
      <x v="33"/>
      <x v="8"/>
    </i>
    <i>
      <x v="35"/>
      <x v="7"/>
      <x v="4"/>
      <x v="8"/>
    </i>
    <i>
      <x v="36"/>
      <x v="32"/>
      <x v="33"/>
      <x v="8"/>
    </i>
    <i>
      <x v="37"/>
      <x v="19"/>
      <x v="18"/>
      <x v="7"/>
    </i>
    <i>
      <x v="38"/>
      <x v="32"/>
      <x v="2"/>
      <x v="8"/>
    </i>
    <i>
      <x v="39"/>
      <x v="32"/>
      <x v="27"/>
      <x v="8"/>
    </i>
    <i>
      <x v="40"/>
      <x v="32"/>
      <x v="33"/>
      <x v="8"/>
    </i>
    <i>
      <x v="41"/>
      <x v="8"/>
      <x v="23"/>
      <x v="8"/>
    </i>
    <i>
      <x v="42"/>
      <x v="32"/>
      <x v="31"/>
      <x v="8"/>
    </i>
    <i>
      <x v="43"/>
      <x v="10"/>
      <x v="11"/>
      <x v="8"/>
    </i>
    <i>
      <x v="44"/>
      <x v="32"/>
      <x v="33"/>
      <x v="8"/>
    </i>
    <i t="grand">
      <x/>
    </i>
  </rowItems>
  <colItems count="1">
    <i/>
  </colItems>
  <pageFields count="4">
    <pageField fld="1" hier="-1"/>
    <pageField fld="5" hier="-1"/>
    <pageField fld="14" hier="-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 dT="2025-11-13T13:36:19.82" personId="{D843755C-68F2-46C7-AC39-16AB89F622F2}" id="{80293F59-0635-4607-A426-D0FDFC5C2D24}">
    <text>A proposer/valider avec la direction (intitulé)</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5-11-13T13:36:19.82" personId="{D843755C-68F2-46C7-AC39-16AB89F622F2}" id="{F6CC6A8E-24BB-4775-B1F6-A17D7AC4E5D9}">
    <text>A proposer/valider avec la direction (intitulé)</text>
  </threadedComment>
</ThreadedComments>
</file>

<file path=xl/threadedComments/threadedComment3.xml><?xml version="1.0" encoding="utf-8"?>
<ThreadedComments xmlns="http://schemas.microsoft.com/office/spreadsheetml/2018/threadedcomments" xmlns:x="http://schemas.openxmlformats.org/spreadsheetml/2006/main">
  <threadedComment ref="J3" dT="2025-11-13T13:36:19.82" personId="{D843755C-68F2-46C7-AC39-16AB89F622F2}" id="{28E68731-01A7-4888-81D4-D13F0F73A916}">
    <text>A proposer/valider avec la direction (intitulé)</text>
  </threadedComment>
</ThreadedComments>
</file>

<file path=xl/threadedComments/threadedComment4.xml><?xml version="1.0" encoding="utf-8"?>
<ThreadedComments xmlns="http://schemas.microsoft.com/office/spreadsheetml/2018/threadedcomments" xmlns:x="http://schemas.openxmlformats.org/spreadsheetml/2006/main">
  <threadedComment ref="J3" dT="2025-11-13T13:36:19.82" personId="{D843755C-68F2-46C7-AC39-16AB89F622F2}" id="{E77D53AC-03DB-431F-BEFE-577F46D76F22}">
    <text>A proposer/valider avec la direction (intitulé)</text>
  </threadedComment>
</ThreadedComment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50A3-85F1-4EF0-80EB-BBD98231EA39}">
  <dimension ref="A1:N51"/>
  <sheetViews>
    <sheetView topLeftCell="A29" workbookViewId="0">
      <selection activeCell="C51" sqref="C51"/>
    </sheetView>
  </sheetViews>
  <sheetFormatPr baseColWidth="10" defaultColWidth="9.140625" defaultRowHeight="12.75"/>
  <cols>
    <col min="1" max="1" width="12.140625" customWidth="1"/>
    <col min="5" max="5" width="17.7109375" customWidth="1"/>
    <col min="6" max="6" width="13.140625" customWidth="1"/>
    <col min="12" max="12" width="12.42578125" customWidth="1"/>
    <col min="13" max="13" width="51.5703125" customWidth="1"/>
    <col min="14" max="14" width="50.140625" customWidth="1"/>
  </cols>
  <sheetData>
    <row r="1" spans="2:14">
      <c r="E1" s="1"/>
      <c r="F1" s="1"/>
    </row>
    <row r="2" spans="2:14" ht="38.25">
      <c r="B2" s="157" t="s">
        <v>0</v>
      </c>
      <c r="C2" s="157"/>
      <c r="D2" s="157"/>
      <c r="E2" s="18" t="s">
        <v>1</v>
      </c>
      <c r="F2" s="15" t="s">
        <v>2</v>
      </c>
      <c r="G2" s="14" t="s">
        <v>3</v>
      </c>
      <c r="L2" t="s">
        <v>4</v>
      </c>
    </row>
    <row r="3" spans="2:14" ht="30">
      <c r="B3" s="159" t="s">
        <v>5</v>
      </c>
      <c r="C3" s="159"/>
      <c r="D3" s="159"/>
      <c r="E3" s="16" t="s">
        <v>6</v>
      </c>
      <c r="L3" s="113" t="s">
        <v>7</v>
      </c>
      <c r="M3" s="114" t="s">
        <v>8</v>
      </c>
      <c r="N3" s="114" t="s">
        <v>9</v>
      </c>
    </row>
    <row r="4" spans="2:14" ht="45">
      <c r="B4" s="159"/>
      <c r="C4" s="159"/>
      <c r="D4" s="159"/>
      <c r="E4" s="16" t="s">
        <v>10</v>
      </c>
      <c r="L4" s="116" t="s">
        <v>11</v>
      </c>
      <c r="M4" s="117" t="s">
        <v>12</v>
      </c>
      <c r="N4" s="117" t="s">
        <v>13</v>
      </c>
    </row>
    <row r="5" spans="2:14" ht="45">
      <c r="B5" s="159"/>
      <c r="C5" s="159"/>
      <c r="D5" s="159"/>
      <c r="E5" s="16" t="s">
        <v>14</v>
      </c>
      <c r="L5" s="115" t="s">
        <v>15</v>
      </c>
      <c r="M5" s="117" t="s">
        <v>16</v>
      </c>
      <c r="N5" s="117" t="s">
        <v>17</v>
      </c>
    </row>
    <row r="6" spans="2:14" ht="45">
      <c r="B6" s="159"/>
      <c r="C6" s="159"/>
      <c r="D6" s="159"/>
      <c r="E6" s="16" t="s">
        <v>18</v>
      </c>
      <c r="L6" s="115" t="s">
        <v>19</v>
      </c>
      <c r="M6" s="117" t="s">
        <v>20</v>
      </c>
      <c r="N6" s="117" t="s">
        <v>21</v>
      </c>
    </row>
    <row r="7" spans="2:14" ht="30">
      <c r="B7" s="159"/>
      <c r="C7" s="159"/>
      <c r="D7" s="159"/>
      <c r="E7" s="16" t="s">
        <v>22</v>
      </c>
      <c r="L7" s="115" t="s">
        <v>23</v>
      </c>
      <c r="M7" s="117" t="s">
        <v>24</v>
      </c>
      <c r="N7" s="117" t="s">
        <v>25</v>
      </c>
    </row>
    <row r="8" spans="2:14" ht="45">
      <c r="B8" s="159"/>
      <c r="C8" s="159"/>
      <c r="D8" s="159"/>
      <c r="E8" s="16" t="s">
        <v>26</v>
      </c>
      <c r="L8" s="118" t="s">
        <v>27</v>
      </c>
      <c r="M8" s="119" t="s">
        <v>28</v>
      </c>
      <c r="N8" s="119" t="s">
        <v>29</v>
      </c>
    </row>
    <row r="9" spans="2:14">
      <c r="B9" s="161" t="s">
        <v>30</v>
      </c>
      <c r="C9" s="162"/>
      <c r="D9" s="163"/>
      <c r="E9" s="16" t="s">
        <v>31</v>
      </c>
    </row>
    <row r="10" spans="2:14">
      <c r="B10" s="164"/>
      <c r="C10" s="165"/>
      <c r="D10" s="166"/>
      <c r="E10" s="16" t="s">
        <v>32</v>
      </c>
    </row>
    <row r="11" spans="2:14">
      <c r="B11" s="164"/>
      <c r="C11" s="165"/>
      <c r="D11" s="166"/>
      <c r="E11" s="16" t="s">
        <v>33</v>
      </c>
    </row>
    <row r="12" spans="2:14">
      <c r="B12" s="164"/>
      <c r="C12" s="165"/>
      <c r="D12" s="166"/>
      <c r="E12" s="16" t="s">
        <v>34</v>
      </c>
    </row>
    <row r="13" spans="2:14">
      <c r="B13" s="167"/>
      <c r="C13" s="168"/>
      <c r="D13" s="169"/>
      <c r="E13" s="16" t="s">
        <v>35</v>
      </c>
    </row>
    <row r="14" spans="2:14">
      <c r="B14" s="159" t="s">
        <v>36</v>
      </c>
      <c r="C14" s="159"/>
      <c r="D14" s="159"/>
      <c r="E14" s="16" t="s">
        <v>37</v>
      </c>
    </row>
    <row r="15" spans="2:14">
      <c r="B15" s="159"/>
      <c r="C15" s="159"/>
      <c r="D15" s="159"/>
      <c r="E15" s="17" t="s">
        <v>38</v>
      </c>
    </row>
    <row r="16" spans="2:14">
      <c r="B16" s="159"/>
      <c r="C16" s="159"/>
      <c r="D16" s="159"/>
      <c r="E16" s="17" t="s">
        <v>39</v>
      </c>
    </row>
    <row r="17" spans="2:5">
      <c r="B17" s="159"/>
      <c r="C17" s="159"/>
      <c r="D17" s="159"/>
      <c r="E17" s="17" t="s">
        <v>40</v>
      </c>
    </row>
    <row r="18" spans="2:5">
      <c r="B18" s="159"/>
      <c r="C18" s="159"/>
      <c r="D18" s="159"/>
      <c r="E18" s="17" t="s">
        <v>41</v>
      </c>
    </row>
    <row r="19" spans="2:5">
      <c r="B19" s="159"/>
      <c r="C19" s="159"/>
      <c r="D19" s="159"/>
      <c r="E19" s="17" t="s">
        <v>42</v>
      </c>
    </row>
    <row r="20" spans="2:5">
      <c r="B20" s="159" t="s">
        <v>43</v>
      </c>
      <c r="C20" s="159"/>
      <c r="D20" s="159"/>
      <c r="E20" s="17" t="s">
        <v>44</v>
      </c>
    </row>
    <row r="21" spans="2:5">
      <c r="B21" s="159"/>
      <c r="C21" s="159"/>
      <c r="D21" s="159"/>
      <c r="E21" s="17" t="s">
        <v>45</v>
      </c>
    </row>
    <row r="22" spans="2:5">
      <c r="B22" s="159"/>
      <c r="C22" s="159"/>
      <c r="D22" s="159"/>
      <c r="E22" s="17" t="s">
        <v>46</v>
      </c>
    </row>
    <row r="23" spans="2:5">
      <c r="B23" s="159"/>
      <c r="C23" s="159"/>
      <c r="D23" s="159"/>
      <c r="E23" s="17" t="s">
        <v>47</v>
      </c>
    </row>
    <row r="24" spans="2:5">
      <c r="B24" s="160"/>
      <c r="C24" s="160"/>
      <c r="D24" s="160"/>
      <c r="E24" s="33" t="s">
        <v>48</v>
      </c>
    </row>
    <row r="25" spans="2:5">
      <c r="B25" s="159" t="s">
        <v>49</v>
      </c>
      <c r="C25" s="159"/>
      <c r="D25" s="159"/>
      <c r="E25" s="34" t="s">
        <v>50</v>
      </c>
    </row>
    <row r="26" spans="2:5">
      <c r="B26" s="159"/>
      <c r="C26" s="159"/>
      <c r="D26" s="159"/>
      <c r="E26" s="34" t="s">
        <v>51</v>
      </c>
    </row>
    <row r="27" spans="2:5">
      <c r="B27" s="159"/>
      <c r="C27" s="159"/>
      <c r="D27" s="159"/>
      <c r="E27" s="34" t="s">
        <v>52</v>
      </c>
    </row>
    <row r="28" spans="2:5">
      <c r="B28" s="159"/>
      <c r="C28" s="159"/>
      <c r="D28" s="159"/>
      <c r="E28" s="34" t="s">
        <v>53</v>
      </c>
    </row>
    <row r="29" spans="2:5">
      <c r="B29" s="159"/>
      <c r="C29" s="159"/>
      <c r="D29" s="159"/>
      <c r="E29" s="34" t="s">
        <v>54</v>
      </c>
    </row>
    <row r="30" spans="2:5">
      <c r="B30" s="160"/>
      <c r="C30" s="160"/>
      <c r="D30" s="160"/>
      <c r="E30" s="66" t="s">
        <v>55</v>
      </c>
    </row>
    <row r="31" spans="2:5">
      <c r="B31" s="159" t="s">
        <v>56</v>
      </c>
      <c r="C31" s="159"/>
      <c r="D31" s="159"/>
      <c r="E31" s="16" t="s">
        <v>57</v>
      </c>
    </row>
    <row r="32" spans="2:5">
      <c r="B32" s="159"/>
      <c r="C32" s="159"/>
      <c r="D32" s="159"/>
      <c r="E32" s="16" t="s">
        <v>58</v>
      </c>
    </row>
    <row r="33" spans="1:6">
      <c r="B33" s="160"/>
      <c r="C33" s="160"/>
      <c r="D33" s="160"/>
      <c r="E33" s="33" t="s">
        <v>59</v>
      </c>
    </row>
    <row r="34" spans="1:6">
      <c r="B34" s="159" t="s">
        <v>60</v>
      </c>
      <c r="C34" s="159"/>
      <c r="D34" s="159"/>
      <c r="E34" s="16" t="s">
        <v>61</v>
      </c>
      <c r="F34" s="16" t="s">
        <v>62</v>
      </c>
    </row>
    <row r="35" spans="1:6" ht="15">
      <c r="B35" s="159"/>
      <c r="C35" s="159"/>
      <c r="D35" s="159"/>
      <c r="E35" s="68" t="s">
        <v>63</v>
      </c>
      <c r="F35" s="68" t="s">
        <v>64</v>
      </c>
    </row>
    <row r="36" spans="1:6">
      <c r="A36" s="1"/>
      <c r="B36" s="159"/>
      <c r="C36" s="159"/>
      <c r="D36" s="159"/>
      <c r="E36" s="16" t="s">
        <v>65</v>
      </c>
      <c r="F36" s="16" t="s">
        <v>66</v>
      </c>
    </row>
    <row r="37" spans="1:6" ht="25.5">
      <c r="A37" s="137" t="s">
        <v>67</v>
      </c>
      <c r="B37" s="8" t="s">
        <v>68</v>
      </c>
      <c r="C37" s="8"/>
      <c r="D37" s="8"/>
    </row>
    <row r="38" spans="1:6" ht="25.5">
      <c r="A38" s="137" t="s">
        <v>69</v>
      </c>
      <c r="B38" t="s">
        <v>70</v>
      </c>
    </row>
    <row r="39" spans="1:6">
      <c r="A39" s="158" t="s">
        <v>71</v>
      </c>
      <c r="B39" t="s">
        <v>72</v>
      </c>
      <c r="E39" t="s">
        <v>73</v>
      </c>
    </row>
    <row r="40" spans="1:6">
      <c r="A40" s="158"/>
      <c r="B40" t="s">
        <v>74</v>
      </c>
    </row>
    <row r="41" spans="1:6">
      <c r="A41" s="158"/>
      <c r="B41" t="s">
        <v>75</v>
      </c>
    </row>
    <row r="42" spans="1:6">
      <c r="A42" s="158" t="s">
        <v>76</v>
      </c>
      <c r="B42" t="s">
        <v>77</v>
      </c>
    </row>
    <row r="43" spans="1:6">
      <c r="A43" s="158"/>
      <c r="B43" t="s">
        <v>78</v>
      </c>
    </row>
    <row r="44" spans="1:6">
      <c r="A44" s="158"/>
      <c r="B44" t="s">
        <v>79</v>
      </c>
    </row>
    <row r="46" spans="1:6">
      <c r="B46" t="s">
        <v>80</v>
      </c>
      <c r="E46" t="s">
        <v>81</v>
      </c>
    </row>
    <row r="49" spans="2:3">
      <c r="B49" s="90">
        <v>45979</v>
      </c>
      <c r="C49" t="s">
        <v>82</v>
      </c>
    </row>
    <row r="50" spans="2:3">
      <c r="B50" s="90">
        <v>45994</v>
      </c>
      <c r="C50" t="s">
        <v>83</v>
      </c>
    </row>
    <row r="51" spans="2:3">
      <c r="B51" s="90">
        <v>45986</v>
      </c>
      <c r="C51" t="s">
        <v>84</v>
      </c>
    </row>
  </sheetData>
  <mergeCells count="10">
    <mergeCell ref="B2:D2"/>
    <mergeCell ref="A39:A41"/>
    <mergeCell ref="B25:D30"/>
    <mergeCell ref="A42:A44"/>
    <mergeCell ref="B3:D8"/>
    <mergeCell ref="B14:D19"/>
    <mergeCell ref="B20:D24"/>
    <mergeCell ref="B31:D33"/>
    <mergeCell ref="B34:D36"/>
    <mergeCell ref="B9:D13"/>
  </mergeCells>
  <conditionalFormatting sqref="B49:B51">
    <cfRule type="cellIs" dxfId="76" priority="1" operator="greaterThan">
      <formula>TODAY()+8</formula>
    </cfRule>
    <cfRule type="containsBlanks" dxfId="75" priority="2">
      <formula>LEN(TRIM(B49))=0</formula>
    </cfRule>
    <cfRule type="cellIs" dxfId="74" priority="3" operator="between">
      <formula>TODAY()</formula>
      <formula>TODAY()+7</formula>
    </cfRule>
    <cfRule type="cellIs" dxfId="73" priority="4" operator="greaterThanOrEqual">
      <formula>TODAY()+30</formula>
    </cfRule>
    <cfRule type="cellIs" dxfId="72" priority="5" operator="lessThan">
      <formula>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C301-52F8-4B26-BE2B-A63499BADF67}">
  <sheetPr filterMode="1">
    <tabColor rgb="FF92D050"/>
  </sheetPr>
  <dimension ref="A1:N250"/>
  <sheetViews>
    <sheetView zoomScale="115" zoomScaleNormal="115" workbookViewId="0">
      <pane xSplit="1" ySplit="2" topLeftCell="B36" activePane="bottomRight" state="frozen"/>
      <selection pane="topRight"/>
      <selection pane="bottomLeft" activeCell="B1" sqref="B1"/>
      <selection pane="bottomRight" activeCell="N36" sqref="N36:N94"/>
    </sheetView>
  </sheetViews>
  <sheetFormatPr baseColWidth="10" defaultColWidth="9.140625" defaultRowHeight="12.75" outlineLevelCol="1"/>
  <cols>
    <col min="1" max="1" width="24" style="4" customWidth="1"/>
    <col min="2" max="2" width="13" style="5" customWidth="1"/>
    <col min="3" max="3" width="11.7109375" style="5" customWidth="1" outlineLevel="1"/>
    <col min="4" max="4" width="15.7109375" style="5" customWidth="1" outlineLevel="1"/>
    <col min="5" max="5" width="12.5703125" style="6" customWidth="1" outlineLevel="1"/>
    <col min="6" max="6" width="14.5703125" style="4" customWidth="1"/>
    <col min="7" max="7" width="12.7109375" style="4" customWidth="1"/>
    <col min="8" max="8" width="11" style="4" customWidth="1"/>
    <col min="9" max="9" width="8.85546875" style="4" customWidth="1"/>
    <col min="10" max="10" width="11.7109375" style="4" customWidth="1"/>
    <col min="11" max="11" width="12.28515625" style="4" customWidth="1"/>
    <col min="12" max="12" width="15.7109375" style="4" customWidth="1"/>
    <col min="13" max="13" width="10.5703125" style="7" bestFit="1" customWidth="1"/>
    <col min="14" max="14" width="42" style="4" customWidth="1"/>
    <col min="15" max="16384" width="9.140625" style="7"/>
  </cols>
  <sheetData>
    <row r="1" spans="1:14" ht="30">
      <c r="E1" s="5"/>
      <c r="F1" s="9" t="s">
        <v>68</v>
      </c>
      <c r="G1" s="12" t="s">
        <v>69</v>
      </c>
      <c r="H1" s="199" t="s">
        <v>71</v>
      </c>
      <c r="I1" s="200"/>
      <c r="J1" s="196" t="s">
        <v>76</v>
      </c>
      <c r="K1" s="197"/>
      <c r="L1" s="198"/>
    </row>
    <row r="2" spans="1:14" ht="30">
      <c r="A2" s="2" t="s">
        <v>85</v>
      </c>
      <c r="B2" s="3" t="s">
        <v>86</v>
      </c>
      <c r="C2" s="3" t="s">
        <v>87</v>
      </c>
      <c r="D2" s="3" t="s">
        <v>88</v>
      </c>
      <c r="E2" s="3" t="s">
        <v>89</v>
      </c>
      <c r="F2" s="9" t="s">
        <v>90</v>
      </c>
      <c r="G2" s="12" t="s">
        <v>91</v>
      </c>
      <c r="H2" s="10" t="s">
        <v>92</v>
      </c>
      <c r="I2" s="10" t="s">
        <v>93</v>
      </c>
      <c r="J2" s="11" t="s">
        <v>94</v>
      </c>
      <c r="K2" s="11" t="s">
        <v>95</v>
      </c>
      <c r="L2" s="11" t="s">
        <v>96</v>
      </c>
      <c r="M2" s="3" t="s">
        <v>80</v>
      </c>
      <c r="N2" s="2" t="s">
        <v>97</v>
      </c>
    </row>
    <row r="3" spans="1:14" hidden="1">
      <c r="A3" s="173" t="s">
        <v>98</v>
      </c>
      <c r="B3" s="185" t="s">
        <v>51</v>
      </c>
      <c r="C3" s="187" t="s">
        <v>26</v>
      </c>
      <c r="D3" s="187" t="s">
        <v>47</v>
      </c>
      <c r="E3" s="187" t="s">
        <v>39</v>
      </c>
      <c r="F3" s="179">
        <v>2</v>
      </c>
      <c r="G3" s="179">
        <v>0</v>
      </c>
      <c r="H3" s="179">
        <v>0</v>
      </c>
      <c r="I3" s="179">
        <v>0</v>
      </c>
      <c r="J3" s="179">
        <v>0</v>
      </c>
      <c r="K3" s="179">
        <v>2</v>
      </c>
      <c r="L3" s="179">
        <v>2</v>
      </c>
      <c r="M3" s="175">
        <f>AVERAGE(F3:L5)</f>
        <v>0.8571428571428571</v>
      </c>
      <c r="N3" s="177" t="s">
        <v>99</v>
      </c>
    </row>
    <row r="4" spans="1:14" hidden="1">
      <c r="A4" s="173"/>
      <c r="B4" s="186"/>
      <c r="C4" s="188"/>
      <c r="D4" s="188"/>
      <c r="E4" s="188"/>
      <c r="F4" s="180"/>
      <c r="G4" s="180"/>
      <c r="H4" s="180"/>
      <c r="I4" s="180"/>
      <c r="J4" s="180"/>
      <c r="K4" s="180"/>
      <c r="L4" s="180"/>
      <c r="M4" s="176"/>
      <c r="N4" s="178"/>
    </row>
    <row r="5" spans="1:14" hidden="1">
      <c r="A5" s="173"/>
      <c r="B5" s="189"/>
      <c r="C5" s="190"/>
      <c r="D5" s="190"/>
      <c r="E5" s="190"/>
      <c r="F5" s="181"/>
      <c r="G5" s="181"/>
      <c r="H5" s="181"/>
      <c r="I5" s="181"/>
      <c r="J5" s="181"/>
      <c r="K5" s="181"/>
      <c r="L5" s="181"/>
      <c r="M5" s="182"/>
      <c r="N5" s="183"/>
    </row>
    <row r="6" spans="1:14" ht="12.75" hidden="1" customHeight="1">
      <c r="A6" s="173" t="s">
        <v>100</v>
      </c>
      <c r="B6" s="185" t="s">
        <v>51</v>
      </c>
      <c r="C6" s="187" t="s">
        <v>26</v>
      </c>
      <c r="D6" s="187" t="s">
        <v>45</v>
      </c>
      <c r="E6" s="187" t="s">
        <v>37</v>
      </c>
      <c r="F6" s="179">
        <v>0</v>
      </c>
      <c r="G6" s="179">
        <v>0</v>
      </c>
      <c r="H6" s="179">
        <v>0</v>
      </c>
      <c r="I6" s="179">
        <v>0</v>
      </c>
      <c r="J6" s="179" t="s">
        <v>101</v>
      </c>
      <c r="K6" s="179">
        <v>0</v>
      </c>
      <c r="L6" s="179">
        <v>0</v>
      </c>
      <c r="M6" s="175">
        <f t="shared" ref="M6" si="0">AVERAGE(F6:L8)</f>
        <v>0</v>
      </c>
      <c r="N6" s="177" t="s">
        <v>102</v>
      </c>
    </row>
    <row r="7" spans="1:14" ht="12.75" hidden="1" customHeight="1">
      <c r="A7" s="173"/>
      <c r="B7" s="186"/>
      <c r="C7" s="188"/>
      <c r="D7" s="188"/>
      <c r="E7" s="188"/>
      <c r="F7" s="180"/>
      <c r="G7" s="180"/>
      <c r="H7" s="180"/>
      <c r="I7" s="180"/>
      <c r="J7" s="180"/>
      <c r="K7" s="180"/>
      <c r="L7" s="180"/>
      <c r="M7" s="176"/>
      <c r="N7" s="178"/>
    </row>
    <row r="8" spans="1:14" ht="12.75" hidden="1" customHeight="1">
      <c r="A8" s="173"/>
      <c r="B8" s="189"/>
      <c r="C8" s="190"/>
      <c r="D8" s="190"/>
      <c r="E8" s="190"/>
      <c r="F8" s="181"/>
      <c r="G8" s="181"/>
      <c r="H8" s="181"/>
      <c r="I8" s="181"/>
      <c r="J8" s="181"/>
      <c r="K8" s="181"/>
      <c r="L8" s="181"/>
      <c r="M8" s="182"/>
      <c r="N8" s="183"/>
    </row>
    <row r="9" spans="1:14" ht="12.75" hidden="1" customHeight="1">
      <c r="A9" s="173" t="s">
        <v>103</v>
      </c>
      <c r="B9" s="185" t="s">
        <v>51</v>
      </c>
      <c r="C9" s="187" t="s">
        <v>26</v>
      </c>
      <c r="D9" s="187" t="s">
        <v>48</v>
      </c>
      <c r="E9" s="187"/>
      <c r="F9" s="179">
        <v>0</v>
      </c>
      <c r="G9" s="179" t="s">
        <v>104</v>
      </c>
      <c r="H9" s="179" t="s">
        <v>104</v>
      </c>
      <c r="I9" s="179" t="s">
        <v>104</v>
      </c>
      <c r="J9" s="179" t="s">
        <v>101</v>
      </c>
      <c r="K9" s="179" t="s">
        <v>101</v>
      </c>
      <c r="L9" s="179" t="s">
        <v>101</v>
      </c>
      <c r="M9" s="175">
        <f t="shared" ref="M9" si="1">AVERAGE(F9:L11)</f>
        <v>0</v>
      </c>
      <c r="N9" s="177" t="s">
        <v>105</v>
      </c>
    </row>
    <row r="10" spans="1:14" ht="12.75" hidden="1" customHeight="1">
      <c r="A10" s="173"/>
      <c r="B10" s="186"/>
      <c r="C10" s="188"/>
      <c r="D10" s="188"/>
      <c r="E10" s="188"/>
      <c r="F10" s="180"/>
      <c r="G10" s="180"/>
      <c r="H10" s="180"/>
      <c r="I10" s="180"/>
      <c r="J10" s="180"/>
      <c r="K10" s="180"/>
      <c r="L10" s="180"/>
      <c r="M10" s="176"/>
      <c r="N10" s="178"/>
    </row>
    <row r="11" spans="1:14" ht="12.75" hidden="1" customHeight="1">
      <c r="A11" s="173"/>
      <c r="B11" s="189"/>
      <c r="C11" s="190"/>
      <c r="D11" s="190"/>
      <c r="E11" s="190"/>
      <c r="F11" s="181"/>
      <c r="G11" s="181"/>
      <c r="H11" s="181"/>
      <c r="I11" s="181"/>
      <c r="J11" s="181"/>
      <c r="K11" s="181"/>
      <c r="L11" s="181"/>
      <c r="M11" s="182"/>
      <c r="N11" s="183"/>
    </row>
    <row r="12" spans="1:14" ht="12.75" hidden="1" customHeight="1">
      <c r="A12" s="173" t="s">
        <v>106</v>
      </c>
      <c r="B12" s="185" t="s">
        <v>51</v>
      </c>
      <c r="C12" s="187"/>
      <c r="D12" s="187"/>
      <c r="E12" s="187"/>
      <c r="F12" s="179">
        <v>0</v>
      </c>
      <c r="G12" s="179" t="s">
        <v>101</v>
      </c>
      <c r="H12" s="179" t="s">
        <v>101</v>
      </c>
      <c r="I12" s="179" t="s">
        <v>104</v>
      </c>
      <c r="J12" s="179" t="s">
        <v>101</v>
      </c>
      <c r="K12" s="179" t="s">
        <v>101</v>
      </c>
      <c r="L12" s="179" t="s">
        <v>96</v>
      </c>
      <c r="M12" s="175">
        <f t="shared" ref="M12" si="2">AVERAGE(F12:L14)</f>
        <v>0</v>
      </c>
      <c r="N12" s="177" t="s">
        <v>107</v>
      </c>
    </row>
    <row r="13" spans="1:14" ht="12.75" hidden="1" customHeight="1">
      <c r="A13" s="173"/>
      <c r="B13" s="186"/>
      <c r="C13" s="188"/>
      <c r="D13" s="188"/>
      <c r="E13" s="188"/>
      <c r="F13" s="180"/>
      <c r="G13" s="180"/>
      <c r="H13" s="180"/>
      <c r="I13" s="180"/>
      <c r="J13" s="180"/>
      <c r="K13" s="180"/>
      <c r="L13" s="180"/>
      <c r="M13" s="176"/>
      <c r="N13" s="178"/>
    </row>
    <row r="14" spans="1:14" ht="12.75" hidden="1" customHeight="1">
      <c r="A14" s="173"/>
      <c r="B14" s="189"/>
      <c r="C14" s="190"/>
      <c r="D14" s="190"/>
      <c r="E14" s="190"/>
      <c r="F14" s="181"/>
      <c r="G14" s="181"/>
      <c r="H14" s="181"/>
      <c r="I14" s="181"/>
      <c r="J14" s="181"/>
      <c r="K14" s="181"/>
      <c r="L14" s="181"/>
      <c r="M14" s="182"/>
      <c r="N14" s="183"/>
    </row>
    <row r="15" spans="1:14" ht="12.75" hidden="1" customHeight="1">
      <c r="A15" s="173" t="s">
        <v>108</v>
      </c>
      <c r="B15" s="185" t="s">
        <v>51</v>
      </c>
      <c r="C15" s="187" t="s">
        <v>26</v>
      </c>
      <c r="D15" s="187" t="s">
        <v>47</v>
      </c>
      <c r="E15" s="187" t="s">
        <v>38</v>
      </c>
      <c r="F15" s="179">
        <v>0</v>
      </c>
      <c r="G15" s="179">
        <v>0</v>
      </c>
      <c r="H15" s="179" t="s">
        <v>101</v>
      </c>
      <c r="I15" s="179">
        <v>2</v>
      </c>
      <c r="J15" s="179">
        <v>0</v>
      </c>
      <c r="K15" s="179">
        <v>0</v>
      </c>
      <c r="L15" s="179">
        <v>0</v>
      </c>
      <c r="M15" s="175">
        <f t="shared" ref="M15" si="3">AVERAGE(F15:L17)</f>
        <v>0.33333333333333331</v>
      </c>
      <c r="N15" s="177" t="s">
        <v>109</v>
      </c>
    </row>
    <row r="16" spans="1:14" ht="12.75" hidden="1" customHeight="1">
      <c r="A16" s="173"/>
      <c r="B16" s="186"/>
      <c r="C16" s="188"/>
      <c r="D16" s="188"/>
      <c r="E16" s="188"/>
      <c r="F16" s="180"/>
      <c r="G16" s="180"/>
      <c r="H16" s="180"/>
      <c r="I16" s="180"/>
      <c r="J16" s="180"/>
      <c r="K16" s="180"/>
      <c r="L16" s="180"/>
      <c r="M16" s="176"/>
      <c r="N16" s="178"/>
    </row>
    <row r="17" spans="1:14" ht="12.75" hidden="1" customHeight="1">
      <c r="A17" s="173"/>
      <c r="B17" s="189"/>
      <c r="C17" s="190"/>
      <c r="D17" s="190"/>
      <c r="E17" s="190"/>
      <c r="F17" s="181"/>
      <c r="G17" s="181"/>
      <c r="H17" s="181"/>
      <c r="I17" s="181"/>
      <c r="J17" s="181"/>
      <c r="K17" s="181"/>
      <c r="L17" s="181"/>
      <c r="M17" s="182"/>
      <c r="N17" s="183"/>
    </row>
    <row r="18" spans="1:14" hidden="1">
      <c r="A18" s="173" t="s">
        <v>110</v>
      </c>
      <c r="B18" s="185" t="s">
        <v>51</v>
      </c>
      <c r="C18" s="187" t="s">
        <v>6</v>
      </c>
      <c r="D18" s="187"/>
      <c r="E18" s="187"/>
      <c r="F18" s="179" t="s">
        <v>101</v>
      </c>
      <c r="G18" s="179" t="s">
        <v>101</v>
      </c>
      <c r="H18" s="179" t="s">
        <v>101</v>
      </c>
      <c r="I18" s="179" t="s">
        <v>104</v>
      </c>
      <c r="J18" s="179" t="s">
        <v>101</v>
      </c>
      <c r="K18" s="179" t="s">
        <v>101</v>
      </c>
      <c r="L18" s="179" t="s">
        <v>101</v>
      </c>
      <c r="M18" s="175" t="e">
        <f t="shared" ref="M18" si="4">AVERAGE(F18:L20)</f>
        <v>#DIV/0!</v>
      </c>
      <c r="N18" s="177" t="s">
        <v>107</v>
      </c>
    </row>
    <row r="19" spans="1:14" hidden="1">
      <c r="A19" s="173"/>
      <c r="B19" s="186"/>
      <c r="C19" s="188"/>
      <c r="D19" s="188"/>
      <c r="E19" s="188"/>
      <c r="F19" s="180"/>
      <c r="G19" s="180"/>
      <c r="H19" s="180"/>
      <c r="I19" s="180"/>
      <c r="J19" s="180"/>
      <c r="K19" s="180"/>
      <c r="L19" s="180"/>
      <c r="M19" s="176"/>
      <c r="N19" s="178"/>
    </row>
    <row r="20" spans="1:14" hidden="1">
      <c r="A20" s="173"/>
      <c r="B20" s="189"/>
      <c r="C20" s="190"/>
      <c r="D20" s="190"/>
      <c r="E20" s="190"/>
      <c r="F20" s="181"/>
      <c r="G20" s="181"/>
      <c r="H20" s="181"/>
      <c r="I20" s="181"/>
      <c r="J20" s="181"/>
      <c r="K20" s="181"/>
      <c r="L20" s="181"/>
      <c r="M20" s="182"/>
      <c r="N20" s="183"/>
    </row>
    <row r="21" spans="1:14" ht="12.75" hidden="1" customHeight="1">
      <c r="A21" s="173" t="s">
        <v>111</v>
      </c>
      <c r="B21" s="185" t="s">
        <v>51</v>
      </c>
      <c r="C21" s="187" t="s">
        <v>26</v>
      </c>
      <c r="D21" s="187" t="s">
        <v>45</v>
      </c>
      <c r="E21" s="187" t="s">
        <v>37</v>
      </c>
      <c r="F21" s="179">
        <v>0</v>
      </c>
      <c r="G21" s="179">
        <v>0</v>
      </c>
      <c r="H21" s="179">
        <v>0</v>
      </c>
      <c r="I21" s="179">
        <v>0</v>
      </c>
      <c r="J21" s="179">
        <v>0</v>
      </c>
      <c r="K21" s="179">
        <v>0</v>
      </c>
      <c r="L21" s="179">
        <v>0</v>
      </c>
      <c r="M21" s="175">
        <f t="shared" ref="M21" si="5">AVERAGE(F21:L23)</f>
        <v>0</v>
      </c>
      <c r="N21" s="177" t="s">
        <v>112</v>
      </c>
    </row>
    <row r="22" spans="1:14" ht="12.75" hidden="1" customHeight="1">
      <c r="A22" s="173"/>
      <c r="B22" s="186"/>
      <c r="C22" s="188"/>
      <c r="D22" s="188"/>
      <c r="E22" s="188"/>
      <c r="F22" s="180"/>
      <c r="G22" s="180"/>
      <c r="H22" s="180"/>
      <c r="I22" s="180"/>
      <c r="J22" s="180"/>
      <c r="K22" s="180"/>
      <c r="L22" s="180"/>
      <c r="M22" s="176"/>
      <c r="N22" s="178"/>
    </row>
    <row r="23" spans="1:14" ht="12.75" hidden="1" customHeight="1">
      <c r="A23" s="173"/>
      <c r="B23" s="189"/>
      <c r="C23" s="190"/>
      <c r="D23" s="190"/>
      <c r="E23" s="190"/>
      <c r="F23" s="181"/>
      <c r="G23" s="181"/>
      <c r="H23" s="181"/>
      <c r="I23" s="181"/>
      <c r="J23" s="181"/>
      <c r="K23" s="181"/>
      <c r="L23" s="181"/>
      <c r="M23" s="182"/>
      <c r="N23" s="183"/>
    </row>
    <row r="24" spans="1:14" ht="12.75" hidden="1" customHeight="1">
      <c r="A24" s="173" t="s">
        <v>113</v>
      </c>
      <c r="B24" s="185" t="s">
        <v>51</v>
      </c>
      <c r="C24" s="187" t="s">
        <v>6</v>
      </c>
      <c r="D24" s="187" t="s">
        <v>44</v>
      </c>
      <c r="E24" s="187" t="s">
        <v>39</v>
      </c>
      <c r="F24" s="179">
        <v>0</v>
      </c>
      <c r="G24" s="179">
        <v>0</v>
      </c>
      <c r="H24" s="179">
        <v>0</v>
      </c>
      <c r="I24" s="179">
        <v>0</v>
      </c>
      <c r="J24" s="179">
        <v>0</v>
      </c>
      <c r="K24" s="179">
        <v>0</v>
      </c>
      <c r="L24" s="179">
        <v>0</v>
      </c>
      <c r="M24" s="175">
        <f t="shared" ref="M24" si="6">AVERAGE(F24:L26)</f>
        <v>0</v>
      </c>
      <c r="N24" s="177" t="s">
        <v>114</v>
      </c>
    </row>
    <row r="25" spans="1:14" hidden="1">
      <c r="A25" s="173"/>
      <c r="B25" s="186"/>
      <c r="C25" s="188"/>
      <c r="D25" s="188"/>
      <c r="E25" s="188"/>
      <c r="F25" s="180"/>
      <c r="G25" s="180"/>
      <c r="H25" s="180"/>
      <c r="I25" s="180"/>
      <c r="J25" s="180"/>
      <c r="K25" s="180"/>
      <c r="L25" s="180"/>
      <c r="M25" s="176"/>
      <c r="N25" s="178"/>
    </row>
    <row r="26" spans="1:14" hidden="1">
      <c r="A26" s="173"/>
      <c r="B26" s="189"/>
      <c r="C26" s="190"/>
      <c r="D26" s="190"/>
      <c r="E26" s="190"/>
      <c r="F26" s="181"/>
      <c r="G26" s="181"/>
      <c r="H26" s="181"/>
      <c r="I26" s="181"/>
      <c r="J26" s="181"/>
      <c r="K26" s="181"/>
      <c r="L26" s="181"/>
      <c r="M26" s="182"/>
      <c r="N26" s="183"/>
    </row>
    <row r="27" spans="1:14" ht="12.75" hidden="1" customHeight="1">
      <c r="A27" s="173" t="s">
        <v>115</v>
      </c>
      <c r="B27" s="185" t="s">
        <v>51</v>
      </c>
      <c r="C27" s="187" t="s">
        <v>6</v>
      </c>
      <c r="D27" s="187" t="s">
        <v>44</v>
      </c>
      <c r="E27" s="187" t="s">
        <v>38</v>
      </c>
      <c r="F27" s="179">
        <v>0</v>
      </c>
      <c r="G27" s="179">
        <v>0</v>
      </c>
      <c r="H27" s="179">
        <v>0</v>
      </c>
      <c r="I27" s="179">
        <v>0</v>
      </c>
      <c r="J27" s="179">
        <v>0</v>
      </c>
      <c r="K27" s="179">
        <v>0</v>
      </c>
      <c r="L27" s="179">
        <v>0</v>
      </c>
      <c r="M27" s="175">
        <f t="shared" ref="M27" si="7">AVERAGE(F27:L29)</f>
        <v>0</v>
      </c>
      <c r="N27" s="177" t="s">
        <v>116</v>
      </c>
    </row>
    <row r="28" spans="1:14" ht="12.75" hidden="1" customHeight="1">
      <c r="A28" s="173"/>
      <c r="B28" s="186"/>
      <c r="C28" s="188"/>
      <c r="D28" s="188"/>
      <c r="E28" s="188"/>
      <c r="F28" s="180"/>
      <c r="G28" s="180"/>
      <c r="H28" s="180"/>
      <c r="I28" s="180"/>
      <c r="J28" s="180"/>
      <c r="K28" s="180"/>
      <c r="L28" s="180"/>
      <c r="M28" s="176"/>
      <c r="N28" s="178"/>
    </row>
    <row r="29" spans="1:14" ht="12.75" hidden="1" customHeight="1">
      <c r="A29" s="173"/>
      <c r="B29" s="189"/>
      <c r="C29" s="190"/>
      <c r="D29" s="190"/>
      <c r="E29" s="190"/>
      <c r="F29" s="181"/>
      <c r="G29" s="181"/>
      <c r="H29" s="181"/>
      <c r="I29" s="181"/>
      <c r="J29" s="181"/>
      <c r="K29" s="181"/>
      <c r="L29" s="181"/>
      <c r="M29" s="182"/>
      <c r="N29" s="183"/>
    </row>
    <row r="30" spans="1:14" ht="12.75" hidden="1" customHeight="1">
      <c r="A30" s="173" t="s">
        <v>117</v>
      </c>
      <c r="B30" s="185" t="s">
        <v>51</v>
      </c>
      <c r="C30" s="187" t="s">
        <v>14</v>
      </c>
      <c r="D30" s="187" t="s">
        <v>45</v>
      </c>
      <c r="E30" s="187" t="s">
        <v>38</v>
      </c>
      <c r="F30" s="179" t="s">
        <v>118</v>
      </c>
      <c r="G30" s="179" t="s">
        <v>118</v>
      </c>
      <c r="H30" s="179" t="s">
        <v>118</v>
      </c>
      <c r="I30" s="179" t="s">
        <v>118</v>
      </c>
      <c r="J30" s="179" t="s">
        <v>118</v>
      </c>
      <c r="K30" s="179" t="s">
        <v>118</v>
      </c>
      <c r="L30" s="179" t="s">
        <v>118</v>
      </c>
      <c r="M30" s="175" t="e">
        <f t="shared" ref="M30" si="8">AVERAGE(F30:L32)</f>
        <v>#DIV/0!</v>
      </c>
      <c r="N30" s="177" t="s">
        <v>119</v>
      </c>
    </row>
    <row r="31" spans="1:14" ht="12.75" hidden="1" customHeight="1">
      <c r="A31" s="173"/>
      <c r="B31" s="186"/>
      <c r="C31" s="188"/>
      <c r="D31" s="188"/>
      <c r="E31" s="188"/>
      <c r="F31" s="180"/>
      <c r="G31" s="180"/>
      <c r="H31" s="180"/>
      <c r="I31" s="180"/>
      <c r="J31" s="180"/>
      <c r="K31" s="180"/>
      <c r="L31" s="180"/>
      <c r="M31" s="176"/>
      <c r="N31" s="178"/>
    </row>
    <row r="32" spans="1:14" ht="12.75" hidden="1" customHeight="1">
      <c r="A32" s="173"/>
      <c r="B32" s="189"/>
      <c r="C32" s="190"/>
      <c r="D32" s="190"/>
      <c r="E32" s="190"/>
      <c r="F32" s="181"/>
      <c r="G32" s="181"/>
      <c r="H32" s="181"/>
      <c r="I32" s="181"/>
      <c r="J32" s="181"/>
      <c r="K32" s="181"/>
      <c r="L32" s="181"/>
      <c r="M32" s="182"/>
      <c r="N32" s="183"/>
    </row>
    <row r="33" spans="1:14" hidden="1">
      <c r="A33" s="173" t="s">
        <v>120</v>
      </c>
      <c r="B33" s="185" t="s">
        <v>51</v>
      </c>
      <c r="C33" s="187" t="s">
        <v>18</v>
      </c>
      <c r="D33" s="187" t="s">
        <v>44</v>
      </c>
      <c r="E33" s="187" t="s">
        <v>40</v>
      </c>
      <c r="F33" s="179">
        <v>2</v>
      </c>
      <c r="G33" s="179">
        <v>4</v>
      </c>
      <c r="H33" s="179">
        <v>1</v>
      </c>
      <c r="I33" s="179">
        <v>4</v>
      </c>
      <c r="J33" s="179">
        <v>1</v>
      </c>
      <c r="K33" s="179">
        <v>2</v>
      </c>
      <c r="L33" s="179">
        <v>3</v>
      </c>
      <c r="M33" s="175">
        <f t="shared" ref="M33" si="9">AVERAGE(F33:L35)</f>
        <v>2.4285714285714284</v>
      </c>
      <c r="N33" s="177" t="s">
        <v>121</v>
      </c>
    </row>
    <row r="34" spans="1:14" hidden="1">
      <c r="A34" s="173"/>
      <c r="B34" s="186"/>
      <c r="C34" s="188"/>
      <c r="D34" s="188"/>
      <c r="E34" s="188"/>
      <c r="F34" s="180"/>
      <c r="G34" s="180"/>
      <c r="H34" s="180"/>
      <c r="I34" s="180"/>
      <c r="J34" s="180"/>
      <c r="K34" s="180"/>
      <c r="L34" s="180"/>
      <c r="M34" s="176"/>
      <c r="N34" s="178"/>
    </row>
    <row r="35" spans="1:14" hidden="1">
      <c r="A35" s="173"/>
      <c r="B35" s="189"/>
      <c r="C35" s="190"/>
      <c r="D35" s="190"/>
      <c r="E35" s="190"/>
      <c r="F35" s="181"/>
      <c r="G35" s="181"/>
      <c r="H35" s="181"/>
      <c r="I35" s="181"/>
      <c r="J35" s="181"/>
      <c r="K35" s="181"/>
      <c r="L35" s="181"/>
      <c r="M35" s="182"/>
      <c r="N35" s="183"/>
    </row>
    <row r="36" spans="1:14" ht="12.75" customHeight="1">
      <c r="A36" s="173" t="s">
        <v>122</v>
      </c>
      <c r="B36" s="185" t="s">
        <v>123</v>
      </c>
      <c r="C36" s="187" t="s">
        <v>14</v>
      </c>
      <c r="D36" s="187" t="s">
        <v>44</v>
      </c>
      <c r="E36" s="187" t="s">
        <v>40</v>
      </c>
      <c r="F36" s="179">
        <v>4</v>
      </c>
      <c r="G36" s="179">
        <v>0</v>
      </c>
      <c r="H36" s="179">
        <v>5</v>
      </c>
      <c r="I36" s="179">
        <v>1</v>
      </c>
      <c r="J36" s="179" t="s">
        <v>101</v>
      </c>
      <c r="K36" s="179">
        <v>2</v>
      </c>
      <c r="L36" s="179" t="s">
        <v>96</v>
      </c>
      <c r="M36" s="175">
        <f t="shared" ref="M36" si="10">AVERAGE(F36:L38)</f>
        <v>2.4</v>
      </c>
      <c r="N36" s="177" t="s">
        <v>124</v>
      </c>
    </row>
    <row r="37" spans="1:14" ht="12.75" hidden="1" customHeight="1">
      <c r="A37" s="173"/>
      <c r="B37" s="186"/>
      <c r="C37" s="188"/>
      <c r="D37" s="188"/>
      <c r="E37" s="188"/>
      <c r="F37" s="180"/>
      <c r="G37" s="180"/>
      <c r="H37" s="180"/>
      <c r="I37" s="180"/>
      <c r="J37" s="180"/>
      <c r="K37" s="180"/>
      <c r="L37" s="180"/>
      <c r="M37" s="176"/>
      <c r="N37" s="178"/>
    </row>
    <row r="38" spans="1:14" ht="12.75" hidden="1" customHeight="1">
      <c r="A38" s="173"/>
      <c r="B38" s="189"/>
      <c r="C38" s="190"/>
      <c r="D38" s="190"/>
      <c r="E38" s="190"/>
      <c r="F38" s="181"/>
      <c r="G38" s="181"/>
      <c r="H38" s="181"/>
      <c r="I38" s="181"/>
      <c r="J38" s="181"/>
      <c r="K38" s="181"/>
      <c r="L38" s="181"/>
      <c r="M38" s="182"/>
      <c r="N38" s="183"/>
    </row>
    <row r="39" spans="1:14" ht="12.75" customHeight="1">
      <c r="A39" s="173" t="s">
        <v>125</v>
      </c>
      <c r="B39" s="185" t="s">
        <v>123</v>
      </c>
      <c r="C39" s="187" t="s">
        <v>14</v>
      </c>
      <c r="D39" s="187" t="s">
        <v>44</v>
      </c>
      <c r="E39" s="187" t="s">
        <v>41</v>
      </c>
      <c r="F39" s="179">
        <v>1</v>
      </c>
      <c r="G39" s="179">
        <v>4</v>
      </c>
      <c r="H39" s="179">
        <v>0</v>
      </c>
      <c r="I39" s="179">
        <v>4</v>
      </c>
      <c r="J39" s="179">
        <v>1</v>
      </c>
      <c r="K39" s="179">
        <v>1</v>
      </c>
      <c r="L39" s="179" t="s">
        <v>96</v>
      </c>
      <c r="M39" s="175">
        <f t="shared" ref="M39" si="11">AVERAGE(F39:L41)</f>
        <v>1.8333333333333333</v>
      </c>
      <c r="N39" s="177" t="s">
        <v>126</v>
      </c>
    </row>
    <row r="40" spans="1:14" hidden="1">
      <c r="A40" s="173"/>
      <c r="B40" s="186"/>
      <c r="C40" s="188"/>
      <c r="D40" s="188"/>
      <c r="E40" s="188"/>
      <c r="F40" s="180"/>
      <c r="G40" s="180"/>
      <c r="H40" s="180"/>
      <c r="I40" s="180"/>
      <c r="J40" s="180"/>
      <c r="K40" s="180"/>
      <c r="L40" s="180"/>
      <c r="M40" s="176"/>
      <c r="N40" s="178"/>
    </row>
    <row r="41" spans="1:14" hidden="1">
      <c r="A41" s="173"/>
      <c r="B41" s="189"/>
      <c r="C41" s="190"/>
      <c r="D41" s="190"/>
      <c r="E41" s="190"/>
      <c r="F41" s="181"/>
      <c r="G41" s="181"/>
      <c r="H41" s="181"/>
      <c r="I41" s="181"/>
      <c r="J41" s="181"/>
      <c r="K41" s="181"/>
      <c r="L41" s="181"/>
      <c r="M41" s="182"/>
      <c r="N41" s="183"/>
    </row>
    <row r="42" spans="1:14" ht="12.75" customHeight="1">
      <c r="A42" s="173" t="s">
        <v>127</v>
      </c>
      <c r="B42" s="185" t="s">
        <v>123</v>
      </c>
      <c r="C42" s="187" t="s">
        <v>26</v>
      </c>
      <c r="D42" s="187" t="s">
        <v>48</v>
      </c>
      <c r="E42" s="187"/>
      <c r="F42" s="179">
        <v>1</v>
      </c>
      <c r="G42" s="179">
        <v>2</v>
      </c>
      <c r="H42" s="179">
        <v>3</v>
      </c>
      <c r="I42" s="179">
        <v>3</v>
      </c>
      <c r="J42" s="179">
        <v>3</v>
      </c>
      <c r="K42" s="179">
        <v>4</v>
      </c>
      <c r="L42" s="179">
        <v>0</v>
      </c>
      <c r="M42" s="175">
        <f t="shared" ref="M42" si="12">AVERAGE(F42:L44)</f>
        <v>2.2857142857142856</v>
      </c>
      <c r="N42" s="177" t="s">
        <v>128</v>
      </c>
    </row>
    <row r="43" spans="1:14" ht="12.75" hidden="1" customHeight="1">
      <c r="A43" s="173"/>
      <c r="B43" s="186"/>
      <c r="C43" s="188"/>
      <c r="D43" s="188"/>
      <c r="E43" s="188"/>
      <c r="F43" s="180"/>
      <c r="G43" s="180"/>
      <c r="H43" s="180"/>
      <c r="I43" s="180"/>
      <c r="J43" s="180"/>
      <c r="K43" s="180"/>
      <c r="L43" s="180"/>
      <c r="M43" s="176"/>
      <c r="N43" s="178"/>
    </row>
    <row r="44" spans="1:14" ht="12.75" hidden="1" customHeight="1">
      <c r="A44" s="173"/>
      <c r="B44" s="189"/>
      <c r="C44" s="190"/>
      <c r="D44" s="190"/>
      <c r="E44" s="190"/>
      <c r="F44" s="181"/>
      <c r="G44" s="181"/>
      <c r="H44" s="181"/>
      <c r="I44" s="181"/>
      <c r="J44" s="181"/>
      <c r="K44" s="181"/>
      <c r="L44" s="181"/>
      <c r="M44" s="182"/>
      <c r="N44" s="183"/>
    </row>
    <row r="45" spans="1:14" ht="12.75" customHeight="1">
      <c r="A45" s="173" t="s">
        <v>129</v>
      </c>
      <c r="B45" s="185" t="s">
        <v>123</v>
      </c>
      <c r="C45" s="187" t="s">
        <v>26</v>
      </c>
      <c r="D45" s="187" t="s">
        <v>47</v>
      </c>
      <c r="E45" s="187" t="s">
        <v>41</v>
      </c>
      <c r="F45" s="179">
        <v>0</v>
      </c>
      <c r="G45" s="179">
        <v>0</v>
      </c>
      <c r="H45" s="179">
        <v>0</v>
      </c>
      <c r="I45" s="179">
        <v>0</v>
      </c>
      <c r="J45" s="179">
        <v>0</v>
      </c>
      <c r="K45" s="179">
        <v>0</v>
      </c>
      <c r="L45" s="179">
        <v>0</v>
      </c>
      <c r="M45" s="175">
        <f>AVERAGE(F45:L46)</f>
        <v>0</v>
      </c>
      <c r="N45" s="177" t="s">
        <v>104</v>
      </c>
    </row>
    <row r="46" spans="1:14" hidden="1">
      <c r="A46" s="173"/>
      <c r="B46" s="186"/>
      <c r="C46" s="188"/>
      <c r="D46" s="188"/>
      <c r="E46" s="188"/>
      <c r="F46" s="180"/>
      <c r="G46" s="180"/>
      <c r="H46" s="180"/>
      <c r="I46" s="180"/>
      <c r="J46" s="180"/>
      <c r="K46" s="180"/>
      <c r="L46" s="180"/>
      <c r="M46" s="176"/>
      <c r="N46" s="178"/>
    </row>
    <row r="47" spans="1:14" ht="12.75" customHeight="1">
      <c r="A47" s="173" t="s">
        <v>130</v>
      </c>
      <c r="B47" s="185" t="s">
        <v>123</v>
      </c>
      <c r="C47" s="187" t="s">
        <v>18</v>
      </c>
      <c r="D47" s="187" t="s">
        <v>44</v>
      </c>
      <c r="E47" s="187" t="s">
        <v>40</v>
      </c>
      <c r="F47" s="179">
        <v>1</v>
      </c>
      <c r="G47" s="179">
        <v>1</v>
      </c>
      <c r="H47" s="179">
        <v>1</v>
      </c>
      <c r="I47" s="179">
        <v>1</v>
      </c>
      <c r="J47" s="179">
        <v>1</v>
      </c>
      <c r="K47" s="179">
        <v>0</v>
      </c>
      <c r="L47" s="179">
        <v>0</v>
      </c>
      <c r="M47" s="175">
        <f t="shared" ref="M47" si="13">AVERAGE(F47:L49)</f>
        <v>0.7142857142857143</v>
      </c>
      <c r="N47" s="177" t="s">
        <v>131</v>
      </c>
    </row>
    <row r="48" spans="1:14" ht="12.75" hidden="1" customHeight="1">
      <c r="A48" s="173"/>
      <c r="B48" s="186"/>
      <c r="C48" s="188"/>
      <c r="D48" s="188"/>
      <c r="E48" s="188"/>
      <c r="F48" s="180"/>
      <c r="G48" s="180"/>
      <c r="H48" s="180"/>
      <c r="I48" s="180"/>
      <c r="J48" s="180"/>
      <c r="K48" s="180"/>
      <c r="L48" s="180"/>
      <c r="M48" s="176"/>
      <c r="N48" s="178"/>
    </row>
    <row r="49" spans="1:14" ht="12.75" hidden="1" customHeight="1">
      <c r="A49" s="173"/>
      <c r="B49" s="189"/>
      <c r="C49" s="190"/>
      <c r="D49" s="190"/>
      <c r="E49" s="190"/>
      <c r="F49" s="181"/>
      <c r="G49" s="181"/>
      <c r="H49" s="181"/>
      <c r="I49" s="181"/>
      <c r="J49" s="181"/>
      <c r="K49" s="181"/>
      <c r="L49" s="181"/>
      <c r="M49" s="182"/>
      <c r="N49" s="183"/>
    </row>
    <row r="50" spans="1:14" ht="12.75" customHeight="1">
      <c r="A50" s="173" t="s">
        <v>132</v>
      </c>
      <c r="B50" s="185" t="s">
        <v>123</v>
      </c>
      <c r="C50" s="187" t="s">
        <v>26</v>
      </c>
      <c r="D50" s="187" t="s">
        <v>48</v>
      </c>
      <c r="E50" s="187"/>
      <c r="F50" s="179">
        <v>1</v>
      </c>
      <c r="G50" s="179">
        <v>0</v>
      </c>
      <c r="H50" s="179">
        <v>0</v>
      </c>
      <c r="I50" s="179">
        <v>0</v>
      </c>
      <c r="J50" s="179">
        <v>0</v>
      </c>
      <c r="K50" s="179">
        <v>0</v>
      </c>
      <c r="L50" s="179">
        <v>0</v>
      </c>
      <c r="M50" s="175">
        <f t="shared" ref="M50" si="14">AVERAGE(F50:L52)</f>
        <v>0.14285714285714285</v>
      </c>
      <c r="N50" s="177" t="s">
        <v>133</v>
      </c>
    </row>
    <row r="51" spans="1:14" hidden="1">
      <c r="A51" s="173"/>
      <c r="B51" s="186"/>
      <c r="C51" s="188"/>
      <c r="D51" s="188"/>
      <c r="E51" s="188"/>
      <c r="F51" s="180"/>
      <c r="G51" s="180"/>
      <c r="H51" s="180"/>
      <c r="I51" s="180"/>
      <c r="J51" s="180"/>
      <c r="K51" s="180"/>
      <c r="L51" s="180"/>
      <c r="M51" s="176"/>
      <c r="N51" s="178"/>
    </row>
    <row r="52" spans="1:14" hidden="1">
      <c r="A52" s="173"/>
      <c r="B52" s="189"/>
      <c r="C52" s="190"/>
      <c r="D52" s="190"/>
      <c r="E52" s="190"/>
      <c r="F52" s="181"/>
      <c r="G52" s="181"/>
      <c r="H52" s="181"/>
      <c r="I52" s="181"/>
      <c r="J52" s="181"/>
      <c r="K52" s="181"/>
      <c r="L52" s="181"/>
      <c r="M52" s="182"/>
      <c r="N52" s="183"/>
    </row>
    <row r="53" spans="1:14" ht="12.75" customHeight="1">
      <c r="A53" s="173" t="s">
        <v>134</v>
      </c>
      <c r="B53" s="185" t="s">
        <v>123</v>
      </c>
      <c r="C53" s="187" t="s">
        <v>14</v>
      </c>
      <c r="D53" s="187" t="s">
        <v>44</v>
      </c>
      <c r="E53" s="187" t="s">
        <v>38</v>
      </c>
      <c r="F53" s="179">
        <v>1</v>
      </c>
      <c r="G53" s="179">
        <v>2</v>
      </c>
      <c r="H53" s="179">
        <v>1</v>
      </c>
      <c r="I53" s="179">
        <v>2</v>
      </c>
      <c r="J53" s="179">
        <v>0</v>
      </c>
      <c r="K53" s="179">
        <v>0</v>
      </c>
      <c r="L53" s="179">
        <v>1</v>
      </c>
      <c r="M53" s="175">
        <f t="shared" ref="M53" si="15">AVERAGE(F53:L55)</f>
        <v>1</v>
      </c>
      <c r="N53" s="177" t="s">
        <v>135</v>
      </c>
    </row>
    <row r="54" spans="1:14" ht="12.75" hidden="1" customHeight="1">
      <c r="A54" s="173"/>
      <c r="B54" s="186"/>
      <c r="C54" s="188"/>
      <c r="D54" s="188"/>
      <c r="E54" s="188"/>
      <c r="F54" s="180"/>
      <c r="G54" s="180"/>
      <c r="H54" s="180"/>
      <c r="I54" s="180"/>
      <c r="J54" s="180"/>
      <c r="K54" s="180"/>
      <c r="L54" s="180"/>
      <c r="M54" s="176"/>
      <c r="N54" s="178"/>
    </row>
    <row r="55" spans="1:14" ht="12.75" hidden="1" customHeight="1">
      <c r="A55" s="173"/>
      <c r="B55" s="189"/>
      <c r="C55" s="190"/>
      <c r="D55" s="190"/>
      <c r="E55" s="190"/>
      <c r="F55" s="181"/>
      <c r="G55" s="181"/>
      <c r="H55" s="181"/>
      <c r="I55" s="181"/>
      <c r="J55" s="181"/>
      <c r="K55" s="181"/>
      <c r="L55" s="181"/>
      <c r="M55" s="182"/>
      <c r="N55" s="183"/>
    </row>
    <row r="56" spans="1:14" ht="12.75" customHeight="1">
      <c r="A56" s="173" t="s">
        <v>136</v>
      </c>
      <c r="B56" s="185" t="s">
        <v>123</v>
      </c>
      <c r="C56" s="187" t="s">
        <v>10</v>
      </c>
      <c r="D56" s="187" t="s">
        <v>44</v>
      </c>
      <c r="E56" s="187" t="s">
        <v>38</v>
      </c>
      <c r="F56" s="179">
        <v>3</v>
      </c>
      <c r="G56" s="179">
        <v>0</v>
      </c>
      <c r="H56" s="179">
        <v>1</v>
      </c>
      <c r="I56" s="179">
        <v>0</v>
      </c>
      <c r="J56" s="179">
        <v>0</v>
      </c>
      <c r="K56" s="179">
        <v>1</v>
      </c>
      <c r="L56" s="179">
        <v>0</v>
      </c>
      <c r="M56" s="175">
        <f t="shared" ref="M56" si="16">AVERAGE(F56:L58)</f>
        <v>0.7142857142857143</v>
      </c>
      <c r="N56" s="177" t="s">
        <v>137</v>
      </c>
    </row>
    <row r="57" spans="1:14" ht="12.75" hidden="1" customHeight="1">
      <c r="A57" s="173"/>
      <c r="B57" s="186"/>
      <c r="C57" s="188"/>
      <c r="D57" s="188"/>
      <c r="E57" s="188"/>
      <c r="F57" s="180"/>
      <c r="G57" s="180"/>
      <c r="H57" s="180"/>
      <c r="I57" s="180"/>
      <c r="J57" s="180"/>
      <c r="K57" s="180"/>
      <c r="L57" s="180"/>
      <c r="M57" s="176"/>
      <c r="N57" s="178"/>
    </row>
    <row r="58" spans="1:14" ht="12.75" hidden="1" customHeight="1">
      <c r="A58" s="173"/>
      <c r="B58" s="189"/>
      <c r="C58" s="190"/>
      <c r="D58" s="190"/>
      <c r="E58" s="190"/>
      <c r="F58" s="181"/>
      <c r="G58" s="181"/>
      <c r="H58" s="181"/>
      <c r="I58" s="181"/>
      <c r="J58" s="181"/>
      <c r="K58" s="181"/>
      <c r="L58" s="181"/>
      <c r="M58" s="182"/>
      <c r="N58" s="183"/>
    </row>
    <row r="59" spans="1:14" ht="12.75" customHeight="1">
      <c r="A59" s="173" t="s">
        <v>138</v>
      </c>
      <c r="B59" s="185" t="s">
        <v>123</v>
      </c>
      <c r="C59" s="187" t="s">
        <v>26</v>
      </c>
      <c r="D59" s="187" t="s">
        <v>48</v>
      </c>
      <c r="E59" s="187"/>
      <c r="F59" s="179">
        <v>1</v>
      </c>
      <c r="G59" s="179">
        <v>0</v>
      </c>
      <c r="H59" s="179">
        <v>0</v>
      </c>
      <c r="I59" s="179">
        <v>0</v>
      </c>
      <c r="J59" s="179">
        <v>0</v>
      </c>
      <c r="K59" s="179">
        <v>1</v>
      </c>
      <c r="L59" s="179">
        <v>0</v>
      </c>
      <c r="M59" s="175">
        <f t="shared" ref="M59" si="17">AVERAGE(F59:L61)</f>
        <v>0.2857142857142857</v>
      </c>
      <c r="N59" s="177"/>
    </row>
    <row r="60" spans="1:14" ht="12.75" hidden="1" customHeight="1">
      <c r="A60" s="173"/>
      <c r="B60" s="186"/>
      <c r="C60" s="188"/>
      <c r="D60" s="188"/>
      <c r="E60" s="188"/>
      <c r="F60" s="180"/>
      <c r="G60" s="180"/>
      <c r="H60" s="180"/>
      <c r="I60" s="180"/>
      <c r="J60" s="180"/>
      <c r="K60" s="180"/>
      <c r="L60" s="180"/>
      <c r="M60" s="176"/>
      <c r="N60" s="178"/>
    </row>
    <row r="61" spans="1:14" ht="12.75" hidden="1" customHeight="1">
      <c r="A61" s="173"/>
      <c r="B61" s="189"/>
      <c r="C61" s="190"/>
      <c r="D61" s="190"/>
      <c r="E61" s="190"/>
      <c r="F61" s="181"/>
      <c r="G61" s="181"/>
      <c r="H61" s="181"/>
      <c r="I61" s="181"/>
      <c r="J61" s="181"/>
      <c r="K61" s="181"/>
      <c r="L61" s="181"/>
      <c r="M61" s="182"/>
      <c r="N61" s="183"/>
    </row>
    <row r="62" spans="1:14" ht="12.75" customHeight="1">
      <c r="A62" s="173" t="s">
        <v>139</v>
      </c>
      <c r="B62" s="185" t="s">
        <v>123</v>
      </c>
      <c r="C62" s="187" t="s">
        <v>26</v>
      </c>
      <c r="D62" s="187" t="s">
        <v>48</v>
      </c>
      <c r="E62" s="187"/>
      <c r="F62" s="179">
        <v>1</v>
      </c>
      <c r="G62" s="145">
        <v>0</v>
      </c>
      <c r="H62" s="145">
        <v>0</v>
      </c>
      <c r="I62" s="145">
        <v>0</v>
      </c>
      <c r="J62" s="145">
        <v>0</v>
      </c>
      <c r="K62" s="145">
        <v>1</v>
      </c>
      <c r="L62" s="145">
        <v>0</v>
      </c>
      <c r="M62" s="175">
        <f t="shared" ref="M62" si="18">AVERAGE(F62:L64)</f>
        <v>0.2857142857142857</v>
      </c>
      <c r="N62" s="177" t="s">
        <v>140</v>
      </c>
    </row>
    <row r="63" spans="1:14" ht="12.75" hidden="1" customHeight="1">
      <c r="A63" s="173"/>
      <c r="B63" s="186"/>
      <c r="C63" s="188"/>
      <c r="D63" s="188"/>
      <c r="E63" s="188"/>
      <c r="F63" s="180"/>
      <c r="G63" s="146"/>
      <c r="H63" s="146"/>
      <c r="I63" s="146"/>
      <c r="J63" s="146"/>
      <c r="K63" s="146"/>
      <c r="L63" s="146"/>
      <c r="M63" s="176"/>
      <c r="N63" s="178"/>
    </row>
    <row r="64" spans="1:14" ht="12.75" hidden="1" customHeight="1">
      <c r="A64" s="173"/>
      <c r="B64" s="189"/>
      <c r="C64" s="190"/>
      <c r="D64" s="190"/>
      <c r="E64" s="190"/>
      <c r="F64" s="181"/>
      <c r="G64" s="147"/>
      <c r="H64" s="147"/>
      <c r="I64" s="147"/>
      <c r="J64" s="147"/>
      <c r="K64" s="147"/>
      <c r="L64" s="147"/>
      <c r="M64" s="182"/>
      <c r="N64" s="183"/>
    </row>
    <row r="65" spans="1:14" ht="12.75" customHeight="1">
      <c r="A65" s="173" t="s">
        <v>141</v>
      </c>
      <c r="B65" s="185" t="s">
        <v>123</v>
      </c>
      <c r="C65" s="187" t="s">
        <v>26</v>
      </c>
      <c r="D65" s="187" t="s">
        <v>48</v>
      </c>
      <c r="E65" s="187"/>
      <c r="F65" s="179">
        <v>5</v>
      </c>
      <c r="G65" s="179">
        <v>3</v>
      </c>
      <c r="H65" s="179">
        <v>0</v>
      </c>
      <c r="I65" s="179">
        <v>0</v>
      </c>
      <c r="J65" s="179">
        <v>0</v>
      </c>
      <c r="K65" s="179">
        <v>3</v>
      </c>
      <c r="L65" s="179">
        <v>0</v>
      </c>
      <c r="M65" s="175">
        <f t="shared" ref="M65" si="19">AVERAGE(F65:L67)</f>
        <v>1.5714285714285714</v>
      </c>
      <c r="N65" s="177" t="s">
        <v>142</v>
      </c>
    </row>
    <row r="66" spans="1:14" ht="12.75" hidden="1" customHeight="1">
      <c r="A66" s="173"/>
      <c r="B66" s="186"/>
      <c r="C66" s="188"/>
      <c r="D66" s="188"/>
      <c r="E66" s="188"/>
      <c r="F66" s="180"/>
      <c r="G66" s="180"/>
      <c r="H66" s="180"/>
      <c r="I66" s="180"/>
      <c r="J66" s="180"/>
      <c r="K66" s="180"/>
      <c r="L66" s="180"/>
      <c r="M66" s="176"/>
      <c r="N66" s="178"/>
    </row>
    <row r="67" spans="1:14" ht="12.75" hidden="1" customHeight="1">
      <c r="A67" s="173"/>
      <c r="B67" s="189"/>
      <c r="C67" s="190"/>
      <c r="D67" s="190"/>
      <c r="E67" s="190"/>
      <c r="F67" s="181"/>
      <c r="G67" s="181"/>
      <c r="H67" s="181"/>
      <c r="I67" s="181"/>
      <c r="J67" s="181"/>
      <c r="K67" s="181"/>
      <c r="L67" s="181"/>
      <c r="M67" s="182"/>
      <c r="N67" s="183"/>
    </row>
    <row r="68" spans="1:14" ht="12.75" customHeight="1">
      <c r="A68" s="173" t="s">
        <v>143</v>
      </c>
      <c r="B68" s="185" t="s">
        <v>123</v>
      </c>
      <c r="C68" s="187" t="s">
        <v>26</v>
      </c>
      <c r="D68" s="187" t="s">
        <v>48</v>
      </c>
      <c r="E68" s="187"/>
      <c r="F68" s="179">
        <v>0</v>
      </c>
      <c r="G68" s="179">
        <v>0</v>
      </c>
      <c r="H68" s="179">
        <v>0</v>
      </c>
      <c r="I68" s="179">
        <v>0</v>
      </c>
      <c r="J68" s="179">
        <v>0</v>
      </c>
      <c r="K68" s="179">
        <v>0</v>
      </c>
      <c r="L68" s="179">
        <v>0</v>
      </c>
      <c r="M68" s="175">
        <f t="shared" ref="M68" si="20">AVERAGE(F68:L70)</f>
        <v>0</v>
      </c>
      <c r="N68" s="177" t="s">
        <v>144</v>
      </c>
    </row>
    <row r="69" spans="1:14" ht="12.75" hidden="1" customHeight="1">
      <c r="A69" s="173"/>
      <c r="B69" s="186"/>
      <c r="C69" s="188"/>
      <c r="D69" s="188"/>
      <c r="E69" s="188"/>
      <c r="F69" s="180"/>
      <c r="G69" s="180"/>
      <c r="H69" s="180"/>
      <c r="I69" s="180"/>
      <c r="J69" s="180"/>
      <c r="K69" s="180"/>
      <c r="L69" s="180"/>
      <c r="M69" s="176"/>
      <c r="N69" s="178"/>
    </row>
    <row r="70" spans="1:14" ht="12.75" hidden="1" customHeight="1">
      <c r="A70" s="173"/>
      <c r="B70" s="189"/>
      <c r="C70" s="190"/>
      <c r="D70" s="190"/>
      <c r="E70" s="190"/>
      <c r="F70" s="181"/>
      <c r="G70" s="181"/>
      <c r="H70" s="181"/>
      <c r="I70" s="181"/>
      <c r="J70" s="181"/>
      <c r="K70" s="181"/>
      <c r="L70" s="181"/>
      <c r="M70" s="182"/>
      <c r="N70" s="183"/>
    </row>
    <row r="71" spans="1:14" ht="12.75" customHeight="1">
      <c r="A71" s="173" t="s">
        <v>145</v>
      </c>
      <c r="B71" s="185" t="s">
        <v>123</v>
      </c>
      <c r="C71" s="187" t="s">
        <v>6</v>
      </c>
      <c r="D71" s="187"/>
      <c r="E71" s="187" t="s">
        <v>37</v>
      </c>
      <c r="F71" s="179">
        <v>0</v>
      </c>
      <c r="G71" s="179">
        <v>0</v>
      </c>
      <c r="H71" s="179">
        <v>0</v>
      </c>
      <c r="I71" s="179">
        <v>0</v>
      </c>
      <c r="J71" s="179">
        <v>0</v>
      </c>
      <c r="K71" s="179">
        <v>0</v>
      </c>
      <c r="L71" s="179">
        <v>0</v>
      </c>
      <c r="M71" s="175">
        <f t="shared" ref="M71" si="21">AVERAGE(F71:L73)</f>
        <v>0</v>
      </c>
      <c r="N71" s="177" t="s">
        <v>146</v>
      </c>
    </row>
    <row r="72" spans="1:14" ht="12.75" hidden="1" customHeight="1">
      <c r="A72" s="173"/>
      <c r="B72" s="186"/>
      <c r="C72" s="188"/>
      <c r="D72" s="188"/>
      <c r="E72" s="188"/>
      <c r="F72" s="180"/>
      <c r="G72" s="180"/>
      <c r="H72" s="180"/>
      <c r="I72" s="180"/>
      <c r="J72" s="180"/>
      <c r="K72" s="180"/>
      <c r="L72" s="180"/>
      <c r="M72" s="176"/>
      <c r="N72" s="178"/>
    </row>
    <row r="73" spans="1:14" ht="12.75" hidden="1" customHeight="1">
      <c r="A73" s="173"/>
      <c r="B73" s="189"/>
      <c r="C73" s="190"/>
      <c r="D73" s="190"/>
      <c r="E73" s="190"/>
      <c r="F73" s="181"/>
      <c r="G73" s="181"/>
      <c r="H73" s="181"/>
      <c r="I73" s="181"/>
      <c r="J73" s="181"/>
      <c r="K73" s="181"/>
      <c r="L73" s="181"/>
      <c r="M73" s="182"/>
      <c r="N73" s="183"/>
    </row>
    <row r="74" spans="1:14" ht="12.75" customHeight="1">
      <c r="A74" s="173" t="s">
        <v>147</v>
      </c>
      <c r="B74" s="174" t="s">
        <v>123</v>
      </c>
      <c r="C74" s="174" t="s">
        <v>6</v>
      </c>
      <c r="D74" s="174"/>
      <c r="E74" s="174" t="s">
        <v>39</v>
      </c>
      <c r="F74" s="172">
        <v>3</v>
      </c>
      <c r="G74" s="172">
        <v>0</v>
      </c>
      <c r="H74" s="172">
        <v>0</v>
      </c>
      <c r="I74" s="172">
        <v>0</v>
      </c>
      <c r="J74" s="172">
        <v>0</v>
      </c>
      <c r="K74" s="172">
        <v>0</v>
      </c>
      <c r="L74" s="172">
        <v>0</v>
      </c>
      <c r="M74" s="170">
        <f t="shared" ref="M74" si="22">AVERAGE(F74:L76)</f>
        <v>0.42857142857142855</v>
      </c>
      <c r="N74" s="171" t="s">
        <v>148</v>
      </c>
    </row>
    <row r="75" spans="1:14" ht="12.75" hidden="1" customHeight="1">
      <c r="A75" s="173"/>
      <c r="B75" s="174"/>
      <c r="C75" s="174"/>
      <c r="D75" s="174"/>
      <c r="E75" s="174"/>
      <c r="F75" s="172"/>
      <c r="G75" s="172"/>
      <c r="H75" s="172"/>
      <c r="I75" s="172"/>
      <c r="J75" s="172"/>
      <c r="K75" s="172"/>
      <c r="L75" s="172"/>
      <c r="M75" s="170"/>
      <c r="N75" s="171"/>
    </row>
    <row r="76" spans="1:14" ht="12.75" hidden="1" customHeight="1">
      <c r="A76" s="173"/>
      <c r="B76" s="174"/>
      <c r="C76" s="174"/>
      <c r="D76" s="174"/>
      <c r="E76" s="174"/>
      <c r="F76" s="172"/>
      <c r="G76" s="172"/>
      <c r="H76" s="172"/>
      <c r="I76" s="172"/>
      <c r="J76" s="172"/>
      <c r="K76" s="172"/>
      <c r="L76" s="172"/>
      <c r="M76" s="170"/>
      <c r="N76" s="171"/>
    </row>
    <row r="77" spans="1:14" ht="12.75" customHeight="1">
      <c r="A77" s="173" t="s">
        <v>149</v>
      </c>
      <c r="B77" s="185" t="s">
        <v>150</v>
      </c>
      <c r="C77" s="187" t="s">
        <v>26</v>
      </c>
      <c r="D77" s="187" t="s">
        <v>44</v>
      </c>
      <c r="E77" s="187" t="s">
        <v>37</v>
      </c>
      <c r="F77" s="179">
        <v>5</v>
      </c>
      <c r="G77" s="179">
        <v>5</v>
      </c>
      <c r="H77" s="179">
        <v>5</v>
      </c>
      <c r="I77" s="179">
        <v>5</v>
      </c>
      <c r="J77" s="179">
        <v>5</v>
      </c>
      <c r="K77" s="179">
        <v>5</v>
      </c>
      <c r="L77" s="179">
        <v>5</v>
      </c>
      <c r="M77" s="175">
        <f t="shared" ref="M77" si="23">AVERAGE(F77:L79)</f>
        <v>5</v>
      </c>
      <c r="N77" s="177" t="s">
        <v>151</v>
      </c>
    </row>
    <row r="78" spans="1:14" ht="12.75" hidden="1" customHeight="1">
      <c r="A78" s="173"/>
      <c r="B78" s="186"/>
      <c r="C78" s="188"/>
      <c r="D78" s="188"/>
      <c r="E78" s="188"/>
      <c r="F78" s="180"/>
      <c r="G78" s="180"/>
      <c r="H78" s="180"/>
      <c r="I78" s="180"/>
      <c r="J78" s="180"/>
      <c r="K78" s="180"/>
      <c r="L78" s="180"/>
      <c r="M78" s="176"/>
      <c r="N78" s="178"/>
    </row>
    <row r="79" spans="1:14" ht="12.75" hidden="1" customHeight="1">
      <c r="A79" s="173"/>
      <c r="B79" s="189"/>
      <c r="C79" s="190"/>
      <c r="D79" s="190"/>
      <c r="E79" s="190"/>
      <c r="F79" s="181"/>
      <c r="G79" s="181"/>
      <c r="H79" s="181"/>
      <c r="I79" s="181"/>
      <c r="J79" s="181"/>
      <c r="K79" s="181"/>
      <c r="L79" s="181"/>
      <c r="M79" s="182"/>
      <c r="N79" s="183"/>
    </row>
    <row r="80" spans="1:14" ht="12.75" customHeight="1">
      <c r="A80" s="173" t="s">
        <v>152</v>
      </c>
      <c r="B80" s="185" t="s">
        <v>150</v>
      </c>
      <c r="C80" s="187" t="s">
        <v>14</v>
      </c>
      <c r="D80" s="187" t="s">
        <v>45</v>
      </c>
      <c r="E80" s="187" t="s">
        <v>42</v>
      </c>
      <c r="F80" s="179">
        <v>3</v>
      </c>
      <c r="G80" s="179">
        <v>5</v>
      </c>
      <c r="H80" s="179">
        <v>5</v>
      </c>
      <c r="I80" s="179">
        <v>4</v>
      </c>
      <c r="J80" s="179">
        <v>1</v>
      </c>
      <c r="K80" s="179">
        <v>1</v>
      </c>
      <c r="L80" s="179" t="s">
        <v>118</v>
      </c>
      <c r="M80" s="175">
        <f t="shared" ref="M80" si="24">AVERAGE(F80:L82)</f>
        <v>3.1666666666666665</v>
      </c>
      <c r="N80" s="177" t="s">
        <v>153</v>
      </c>
    </row>
    <row r="81" spans="1:14" ht="12.75" hidden="1" customHeight="1">
      <c r="A81" s="173"/>
      <c r="B81" s="186"/>
      <c r="C81" s="188"/>
      <c r="D81" s="188"/>
      <c r="E81" s="188"/>
      <c r="F81" s="180"/>
      <c r="G81" s="180"/>
      <c r="H81" s="180"/>
      <c r="I81" s="180"/>
      <c r="J81" s="180"/>
      <c r="K81" s="180"/>
      <c r="L81" s="180"/>
      <c r="M81" s="176"/>
      <c r="N81" s="178"/>
    </row>
    <row r="82" spans="1:14" ht="12.75" hidden="1" customHeight="1">
      <c r="A82" s="173"/>
      <c r="B82" s="189"/>
      <c r="C82" s="190"/>
      <c r="D82" s="190"/>
      <c r="E82" s="190"/>
      <c r="F82" s="181"/>
      <c r="G82" s="181"/>
      <c r="H82" s="181"/>
      <c r="I82" s="181"/>
      <c r="J82" s="181"/>
      <c r="K82" s="181"/>
      <c r="L82" s="181"/>
      <c r="M82" s="182"/>
      <c r="N82" s="183"/>
    </row>
    <row r="83" spans="1:14" ht="12.75" customHeight="1">
      <c r="A83" s="173" t="s">
        <v>154</v>
      </c>
      <c r="B83" s="185" t="s">
        <v>150</v>
      </c>
      <c r="C83" s="187" t="s">
        <v>26</v>
      </c>
      <c r="D83" s="187" t="s">
        <v>48</v>
      </c>
      <c r="E83" s="187"/>
      <c r="F83" s="179">
        <v>0</v>
      </c>
      <c r="G83" s="179">
        <v>0</v>
      </c>
      <c r="H83" s="179">
        <v>2</v>
      </c>
      <c r="I83" s="179">
        <v>0</v>
      </c>
      <c r="J83" s="179">
        <v>0</v>
      </c>
      <c r="K83" s="179">
        <v>1</v>
      </c>
      <c r="L83" s="179">
        <v>0</v>
      </c>
      <c r="M83" s="175">
        <f t="shared" ref="M83" si="25">AVERAGE(F83:L85)</f>
        <v>0.42857142857142855</v>
      </c>
      <c r="N83" s="177" t="s">
        <v>155</v>
      </c>
    </row>
    <row r="84" spans="1:14" hidden="1">
      <c r="A84" s="173"/>
      <c r="B84" s="186"/>
      <c r="C84" s="188"/>
      <c r="D84" s="188"/>
      <c r="E84" s="188"/>
      <c r="F84" s="180"/>
      <c r="G84" s="180"/>
      <c r="H84" s="180"/>
      <c r="I84" s="180"/>
      <c r="J84" s="180"/>
      <c r="K84" s="180"/>
      <c r="L84" s="180"/>
      <c r="M84" s="176"/>
      <c r="N84" s="178"/>
    </row>
    <row r="85" spans="1:14" hidden="1">
      <c r="A85" s="173"/>
      <c r="B85" s="189"/>
      <c r="C85" s="190"/>
      <c r="D85" s="190"/>
      <c r="E85" s="190"/>
      <c r="F85" s="181"/>
      <c r="G85" s="181"/>
      <c r="H85" s="181"/>
      <c r="I85" s="181"/>
      <c r="J85" s="181"/>
      <c r="K85" s="181"/>
      <c r="L85" s="181"/>
      <c r="M85" s="182"/>
      <c r="N85" s="183"/>
    </row>
    <row r="86" spans="1:14">
      <c r="A86" s="173" t="s">
        <v>156</v>
      </c>
      <c r="B86" s="185" t="s">
        <v>150</v>
      </c>
      <c r="C86" s="187" t="s">
        <v>14</v>
      </c>
      <c r="D86" s="187" t="s">
        <v>44</v>
      </c>
      <c r="E86" s="187" t="s">
        <v>39</v>
      </c>
      <c r="F86" s="179">
        <v>2</v>
      </c>
      <c r="G86" s="179">
        <v>0</v>
      </c>
      <c r="H86" s="179">
        <v>4</v>
      </c>
      <c r="I86" s="179">
        <v>4</v>
      </c>
      <c r="J86" s="179">
        <v>0</v>
      </c>
      <c r="K86" s="179">
        <v>2</v>
      </c>
      <c r="L86" s="179">
        <v>3</v>
      </c>
      <c r="M86" s="175">
        <f t="shared" ref="M86" si="26">AVERAGE(F86:L88)</f>
        <v>2.1428571428571428</v>
      </c>
      <c r="N86" s="177" t="s">
        <v>157</v>
      </c>
    </row>
    <row r="87" spans="1:14" hidden="1">
      <c r="A87" s="173"/>
      <c r="B87" s="186"/>
      <c r="C87" s="188"/>
      <c r="D87" s="188"/>
      <c r="E87" s="188"/>
      <c r="F87" s="180"/>
      <c r="G87" s="180"/>
      <c r="H87" s="180"/>
      <c r="I87" s="180"/>
      <c r="J87" s="180"/>
      <c r="K87" s="180"/>
      <c r="L87" s="180"/>
      <c r="M87" s="176"/>
      <c r="N87" s="178"/>
    </row>
    <row r="88" spans="1:14" hidden="1">
      <c r="A88" s="173"/>
      <c r="B88" s="189"/>
      <c r="C88" s="190"/>
      <c r="D88" s="190"/>
      <c r="E88" s="190"/>
      <c r="F88" s="181"/>
      <c r="G88" s="181"/>
      <c r="H88" s="181"/>
      <c r="I88" s="181"/>
      <c r="J88" s="181"/>
      <c r="K88" s="181"/>
      <c r="L88" s="181"/>
      <c r="M88" s="182"/>
      <c r="N88" s="183"/>
    </row>
    <row r="89" spans="1:14">
      <c r="A89" s="173" t="s">
        <v>158</v>
      </c>
      <c r="B89" s="185" t="s">
        <v>150</v>
      </c>
      <c r="C89" s="187" t="s">
        <v>10</v>
      </c>
      <c r="D89" s="187" t="s">
        <v>48</v>
      </c>
      <c r="E89" s="187" t="s">
        <v>38</v>
      </c>
      <c r="F89" s="179">
        <v>2</v>
      </c>
      <c r="G89" s="179" t="s">
        <v>118</v>
      </c>
      <c r="H89" s="179" t="s">
        <v>118</v>
      </c>
      <c r="I89" s="179">
        <v>2</v>
      </c>
      <c r="J89" s="179">
        <v>0</v>
      </c>
      <c r="K89" s="179">
        <v>0</v>
      </c>
      <c r="L89" s="179" t="s">
        <v>118</v>
      </c>
      <c r="M89" s="175">
        <f t="shared" ref="M89" si="27">AVERAGE(F89:L91)</f>
        <v>1</v>
      </c>
      <c r="N89" s="177" t="s">
        <v>159</v>
      </c>
    </row>
    <row r="90" spans="1:14" hidden="1">
      <c r="A90" s="173"/>
      <c r="B90" s="186"/>
      <c r="C90" s="188"/>
      <c r="D90" s="188"/>
      <c r="E90" s="188"/>
      <c r="F90" s="180"/>
      <c r="G90" s="180"/>
      <c r="H90" s="180"/>
      <c r="I90" s="180"/>
      <c r="J90" s="180"/>
      <c r="K90" s="180"/>
      <c r="L90" s="180"/>
      <c r="M90" s="176"/>
      <c r="N90" s="178"/>
    </row>
    <row r="91" spans="1:14" hidden="1">
      <c r="A91" s="173"/>
      <c r="B91" s="189"/>
      <c r="C91" s="190"/>
      <c r="D91" s="190"/>
      <c r="E91" s="190"/>
      <c r="F91" s="181"/>
      <c r="G91" s="181"/>
      <c r="H91" s="181"/>
      <c r="I91" s="181"/>
      <c r="J91" s="181"/>
      <c r="K91" s="181"/>
      <c r="L91" s="181"/>
      <c r="M91" s="182"/>
      <c r="N91" s="183"/>
    </row>
    <row r="92" spans="1:14">
      <c r="A92" s="173" t="s">
        <v>160</v>
      </c>
      <c r="B92" s="185" t="s">
        <v>150</v>
      </c>
      <c r="C92" s="187" t="s">
        <v>10</v>
      </c>
      <c r="D92" s="187" t="s">
        <v>44</v>
      </c>
      <c r="E92" s="187" t="s">
        <v>38</v>
      </c>
      <c r="F92" s="179">
        <v>0</v>
      </c>
      <c r="G92" s="179">
        <v>3</v>
      </c>
      <c r="H92" s="179">
        <v>0</v>
      </c>
      <c r="I92" s="179">
        <v>3</v>
      </c>
      <c r="J92" s="179">
        <v>0</v>
      </c>
      <c r="K92" s="179">
        <v>0</v>
      </c>
      <c r="L92" s="179" t="s">
        <v>118</v>
      </c>
      <c r="M92" s="175">
        <f t="shared" ref="M92" si="28">AVERAGE(F92:L94)</f>
        <v>1</v>
      </c>
      <c r="N92" s="177" t="s">
        <v>161</v>
      </c>
    </row>
    <row r="93" spans="1:14" hidden="1">
      <c r="A93" s="173"/>
      <c r="B93" s="186"/>
      <c r="C93" s="188"/>
      <c r="D93" s="188"/>
      <c r="E93" s="188"/>
      <c r="F93" s="180"/>
      <c r="G93" s="180"/>
      <c r="H93" s="180"/>
      <c r="I93" s="180"/>
      <c r="J93" s="180"/>
      <c r="K93" s="180"/>
      <c r="L93" s="180"/>
      <c r="M93" s="176"/>
      <c r="N93" s="178"/>
    </row>
    <row r="94" spans="1:14" hidden="1">
      <c r="A94" s="173"/>
      <c r="B94" s="189"/>
      <c r="C94" s="190"/>
      <c r="D94" s="190"/>
      <c r="E94" s="190"/>
      <c r="F94" s="181"/>
      <c r="G94" s="181"/>
      <c r="H94" s="181"/>
      <c r="I94" s="181"/>
      <c r="J94" s="181"/>
      <c r="K94" s="181"/>
      <c r="L94" s="181"/>
      <c r="M94" s="182"/>
      <c r="N94" s="183"/>
    </row>
    <row r="95" spans="1:14">
      <c r="A95" s="173" t="s">
        <v>162</v>
      </c>
      <c r="B95" s="185" t="s">
        <v>163</v>
      </c>
      <c r="C95" s="187"/>
      <c r="D95" s="187"/>
      <c r="E95" s="187"/>
      <c r="F95" s="179">
        <v>0</v>
      </c>
      <c r="G95" s="179">
        <v>0</v>
      </c>
      <c r="H95" s="179">
        <v>0</v>
      </c>
      <c r="I95" s="179">
        <v>0</v>
      </c>
      <c r="J95" s="179">
        <v>0</v>
      </c>
      <c r="K95" s="179">
        <v>0</v>
      </c>
      <c r="L95" s="179">
        <v>0</v>
      </c>
      <c r="M95" s="175">
        <f t="shared" ref="M95" si="29">AVERAGE(F95:L97)</f>
        <v>0</v>
      </c>
      <c r="N95" s="177"/>
    </row>
    <row r="96" spans="1:14" hidden="1">
      <c r="A96" s="173"/>
      <c r="B96" s="186"/>
      <c r="C96" s="188"/>
      <c r="D96" s="188"/>
      <c r="E96" s="188"/>
      <c r="F96" s="180"/>
      <c r="G96" s="180"/>
      <c r="H96" s="180"/>
      <c r="I96" s="180"/>
      <c r="J96" s="180"/>
      <c r="K96" s="180"/>
      <c r="L96" s="180"/>
      <c r="M96" s="176"/>
      <c r="N96" s="178"/>
    </row>
    <row r="97" spans="1:14" hidden="1">
      <c r="A97" s="173"/>
      <c r="B97" s="189"/>
      <c r="C97" s="190"/>
      <c r="D97" s="190"/>
      <c r="E97" s="190"/>
      <c r="F97" s="181"/>
      <c r="G97" s="181"/>
      <c r="H97" s="181"/>
      <c r="I97" s="181"/>
      <c r="J97" s="181"/>
      <c r="K97" s="181"/>
      <c r="L97" s="181"/>
      <c r="M97" s="182"/>
      <c r="N97" s="183"/>
    </row>
    <row r="98" spans="1:14">
      <c r="A98" s="173" t="s">
        <v>164</v>
      </c>
      <c r="B98" s="185" t="s">
        <v>163</v>
      </c>
      <c r="C98" s="187"/>
      <c r="D98" s="187"/>
      <c r="E98" s="187"/>
      <c r="F98" s="179">
        <v>0</v>
      </c>
      <c r="G98" s="179">
        <v>0</v>
      </c>
      <c r="H98" s="179">
        <v>0</v>
      </c>
      <c r="I98" s="179">
        <v>0</v>
      </c>
      <c r="J98" s="179">
        <v>0</v>
      </c>
      <c r="K98" s="179">
        <v>0</v>
      </c>
      <c r="L98" s="179">
        <v>0</v>
      </c>
      <c r="M98" s="175">
        <f t="shared" ref="M98" si="30">AVERAGE(F98:L100)</f>
        <v>0</v>
      </c>
      <c r="N98" s="177"/>
    </row>
    <row r="99" spans="1:14" hidden="1">
      <c r="A99" s="173"/>
      <c r="B99" s="186"/>
      <c r="C99" s="188"/>
      <c r="D99" s="188"/>
      <c r="E99" s="188"/>
      <c r="F99" s="180"/>
      <c r="G99" s="180"/>
      <c r="H99" s="180"/>
      <c r="I99" s="180"/>
      <c r="J99" s="180"/>
      <c r="K99" s="180"/>
      <c r="L99" s="180"/>
      <c r="M99" s="176"/>
      <c r="N99" s="178"/>
    </row>
    <row r="100" spans="1:14" hidden="1">
      <c r="A100" s="173"/>
      <c r="B100" s="189"/>
      <c r="C100" s="190"/>
      <c r="D100" s="190"/>
      <c r="E100" s="190"/>
      <c r="F100" s="181"/>
      <c r="G100" s="181"/>
      <c r="H100" s="181"/>
      <c r="I100" s="181"/>
      <c r="J100" s="181"/>
      <c r="K100" s="181"/>
      <c r="L100" s="181"/>
      <c r="M100" s="182"/>
      <c r="N100" s="183"/>
    </row>
    <row r="101" spans="1:14">
      <c r="A101" s="173" t="s">
        <v>165</v>
      </c>
      <c r="B101" s="185" t="s">
        <v>163</v>
      </c>
      <c r="C101" s="187"/>
      <c r="D101" s="187"/>
      <c r="E101" s="187"/>
      <c r="F101" s="179">
        <v>0</v>
      </c>
      <c r="G101" s="179">
        <v>0</v>
      </c>
      <c r="H101" s="179">
        <v>0</v>
      </c>
      <c r="I101" s="179">
        <v>0</v>
      </c>
      <c r="J101" s="179">
        <v>0</v>
      </c>
      <c r="K101" s="179">
        <v>0</v>
      </c>
      <c r="L101" s="179">
        <v>0</v>
      </c>
      <c r="M101" s="175">
        <f t="shared" ref="M101" si="31">AVERAGE(F101:L103)</f>
        <v>0</v>
      </c>
      <c r="N101" s="177"/>
    </row>
    <row r="102" spans="1:14" hidden="1">
      <c r="A102" s="173"/>
      <c r="B102" s="186"/>
      <c r="C102" s="188"/>
      <c r="D102" s="188"/>
      <c r="E102" s="188"/>
      <c r="F102" s="180"/>
      <c r="G102" s="180"/>
      <c r="H102" s="180"/>
      <c r="I102" s="180"/>
      <c r="J102" s="180"/>
      <c r="K102" s="180"/>
      <c r="L102" s="180"/>
      <c r="M102" s="176"/>
      <c r="N102" s="178"/>
    </row>
    <row r="103" spans="1:14" hidden="1">
      <c r="A103" s="173"/>
      <c r="B103" s="189"/>
      <c r="C103" s="190"/>
      <c r="D103" s="190"/>
      <c r="E103" s="190"/>
      <c r="F103" s="181"/>
      <c r="G103" s="181"/>
      <c r="H103" s="181"/>
      <c r="I103" s="181"/>
      <c r="J103" s="181"/>
      <c r="K103" s="181"/>
      <c r="L103" s="181"/>
      <c r="M103" s="182"/>
      <c r="N103" s="183"/>
    </row>
    <row r="104" spans="1:14">
      <c r="A104" s="173" t="s">
        <v>166</v>
      </c>
      <c r="B104" s="185" t="s">
        <v>163</v>
      </c>
      <c r="C104" s="187"/>
      <c r="D104" s="187"/>
      <c r="E104" s="187"/>
      <c r="F104" s="179">
        <v>0</v>
      </c>
      <c r="G104" s="179">
        <v>0</v>
      </c>
      <c r="H104" s="179">
        <v>0</v>
      </c>
      <c r="I104" s="179">
        <v>0</v>
      </c>
      <c r="J104" s="179">
        <v>0</v>
      </c>
      <c r="K104" s="179">
        <v>0</v>
      </c>
      <c r="L104" s="179">
        <v>0</v>
      </c>
      <c r="M104" s="175">
        <f t="shared" ref="M104" si="32">AVERAGE(F104:L106)</f>
        <v>0</v>
      </c>
      <c r="N104" s="177"/>
    </row>
    <row r="105" spans="1:14" hidden="1">
      <c r="A105" s="173"/>
      <c r="B105" s="186"/>
      <c r="C105" s="188"/>
      <c r="D105" s="188"/>
      <c r="E105" s="188"/>
      <c r="F105" s="180"/>
      <c r="G105" s="180"/>
      <c r="H105" s="180"/>
      <c r="I105" s="180"/>
      <c r="J105" s="180"/>
      <c r="K105" s="180"/>
      <c r="L105" s="180"/>
      <c r="M105" s="176"/>
      <c r="N105" s="178"/>
    </row>
    <row r="106" spans="1:14" hidden="1">
      <c r="A106" s="173"/>
      <c r="B106" s="189"/>
      <c r="C106" s="190"/>
      <c r="D106" s="190"/>
      <c r="E106" s="190"/>
      <c r="F106" s="181"/>
      <c r="G106" s="181"/>
      <c r="H106" s="181"/>
      <c r="I106" s="181"/>
      <c r="J106" s="181"/>
      <c r="K106" s="181"/>
      <c r="L106" s="181"/>
      <c r="M106" s="182"/>
      <c r="N106" s="183"/>
    </row>
    <row r="107" spans="1:14" ht="12.75" customHeight="1">
      <c r="A107" s="184" t="s">
        <v>167</v>
      </c>
      <c r="B107" s="185" t="s">
        <v>163</v>
      </c>
      <c r="C107" s="187"/>
      <c r="D107" s="187"/>
      <c r="E107" s="187"/>
      <c r="F107" s="179">
        <v>0</v>
      </c>
      <c r="G107" s="179">
        <v>0</v>
      </c>
      <c r="H107" s="179">
        <v>0</v>
      </c>
      <c r="I107" s="179">
        <v>0</v>
      </c>
      <c r="J107" s="179">
        <v>0</v>
      </c>
      <c r="K107" s="179">
        <v>0</v>
      </c>
      <c r="L107" s="179">
        <v>0</v>
      </c>
      <c r="M107" s="175">
        <f t="shared" ref="M107" si="33">AVERAGE(F107:L109)</f>
        <v>0</v>
      </c>
      <c r="N107" s="177"/>
    </row>
    <row r="108" spans="1:14" ht="12.75" hidden="1" customHeight="1">
      <c r="A108" s="194"/>
      <c r="B108" s="186"/>
      <c r="C108" s="188"/>
      <c r="D108" s="188"/>
      <c r="E108" s="188"/>
      <c r="F108" s="180"/>
      <c r="G108" s="180"/>
      <c r="H108" s="180"/>
      <c r="I108" s="180"/>
      <c r="J108" s="180"/>
      <c r="K108" s="180"/>
      <c r="L108" s="180"/>
      <c r="M108" s="176"/>
      <c r="N108" s="178"/>
    </row>
    <row r="109" spans="1:14" ht="12.75" hidden="1" customHeight="1">
      <c r="A109" s="195"/>
      <c r="B109" s="189"/>
      <c r="C109" s="190"/>
      <c r="D109" s="190"/>
      <c r="E109" s="190"/>
      <c r="F109" s="181"/>
      <c r="G109" s="181"/>
      <c r="H109" s="181"/>
      <c r="I109" s="181"/>
      <c r="J109" s="181"/>
      <c r="K109" s="181"/>
      <c r="L109" s="181"/>
      <c r="M109" s="182"/>
      <c r="N109" s="183"/>
    </row>
    <row r="110" spans="1:14" ht="12.75" customHeight="1">
      <c r="A110" s="173" t="s">
        <v>168</v>
      </c>
      <c r="B110" s="185" t="s">
        <v>163</v>
      </c>
      <c r="C110" s="187"/>
      <c r="D110" s="187"/>
      <c r="E110" s="187"/>
      <c r="F110" s="179">
        <v>0</v>
      </c>
      <c r="G110" s="179">
        <v>0</v>
      </c>
      <c r="H110" s="179">
        <v>0</v>
      </c>
      <c r="I110" s="179">
        <v>0</v>
      </c>
      <c r="J110" s="179">
        <v>0</v>
      </c>
      <c r="K110" s="179">
        <v>0</v>
      </c>
      <c r="L110" s="179">
        <v>0</v>
      </c>
      <c r="M110" s="175">
        <f t="shared" ref="M110" si="34">AVERAGE(F110:L112)</f>
        <v>0</v>
      </c>
      <c r="N110" s="177"/>
    </row>
    <row r="111" spans="1:14" ht="12.75" hidden="1" customHeight="1">
      <c r="A111" s="173"/>
      <c r="B111" s="186"/>
      <c r="C111" s="188"/>
      <c r="D111" s="188"/>
      <c r="E111" s="188"/>
      <c r="F111" s="180"/>
      <c r="G111" s="180"/>
      <c r="H111" s="180"/>
      <c r="I111" s="180"/>
      <c r="J111" s="180"/>
      <c r="K111" s="180"/>
      <c r="L111" s="180"/>
      <c r="M111" s="176"/>
      <c r="N111" s="178"/>
    </row>
    <row r="112" spans="1:14" ht="12.75" hidden="1" customHeight="1">
      <c r="A112" s="173"/>
      <c r="B112" s="189"/>
      <c r="C112" s="190"/>
      <c r="D112" s="190"/>
      <c r="E112" s="190"/>
      <c r="F112" s="181"/>
      <c r="G112" s="181"/>
      <c r="H112" s="181"/>
      <c r="I112" s="181"/>
      <c r="J112" s="181"/>
      <c r="K112" s="181"/>
      <c r="L112" s="181"/>
      <c r="M112" s="182"/>
      <c r="N112" s="183"/>
    </row>
    <row r="113" spans="1:14">
      <c r="A113" s="173" t="s">
        <v>169</v>
      </c>
      <c r="B113" s="185" t="s">
        <v>163</v>
      </c>
      <c r="C113" s="187"/>
      <c r="D113" s="187"/>
      <c r="E113" s="187"/>
      <c r="F113" s="179">
        <v>0</v>
      </c>
      <c r="G113" s="179">
        <v>0</v>
      </c>
      <c r="H113" s="179">
        <v>0</v>
      </c>
      <c r="I113" s="179">
        <v>0</v>
      </c>
      <c r="J113" s="179">
        <v>0</v>
      </c>
      <c r="K113" s="179">
        <v>0</v>
      </c>
      <c r="L113" s="179">
        <v>0</v>
      </c>
      <c r="M113" s="175">
        <f t="shared" ref="M113" si="35">AVERAGE(F113:L115)</f>
        <v>0</v>
      </c>
      <c r="N113" s="177"/>
    </row>
    <row r="114" spans="1:14" hidden="1">
      <c r="A114" s="173"/>
      <c r="B114" s="186"/>
      <c r="C114" s="188"/>
      <c r="D114" s="188"/>
      <c r="E114" s="188"/>
      <c r="F114" s="180"/>
      <c r="G114" s="180"/>
      <c r="H114" s="180"/>
      <c r="I114" s="180"/>
      <c r="J114" s="180"/>
      <c r="K114" s="180"/>
      <c r="L114" s="180"/>
      <c r="M114" s="176"/>
      <c r="N114" s="178"/>
    </row>
    <row r="115" spans="1:14" hidden="1">
      <c r="A115" s="173"/>
      <c r="B115" s="189"/>
      <c r="C115" s="190"/>
      <c r="D115" s="190"/>
      <c r="E115" s="190"/>
      <c r="F115" s="181"/>
      <c r="G115" s="181"/>
      <c r="H115" s="181"/>
      <c r="I115" s="181"/>
      <c r="J115" s="181"/>
      <c r="K115" s="181"/>
      <c r="L115" s="181"/>
      <c r="M115" s="182"/>
      <c r="N115" s="183"/>
    </row>
    <row r="116" spans="1:14">
      <c r="A116" s="173" t="s">
        <v>170</v>
      </c>
      <c r="B116" s="185" t="s">
        <v>163</v>
      </c>
      <c r="C116" s="187"/>
      <c r="D116" s="187"/>
      <c r="E116" s="187"/>
      <c r="F116" s="179">
        <v>0</v>
      </c>
      <c r="G116" s="179">
        <v>0</v>
      </c>
      <c r="H116" s="179">
        <v>0</v>
      </c>
      <c r="I116" s="179">
        <v>0</v>
      </c>
      <c r="J116" s="179">
        <v>0</v>
      </c>
      <c r="K116" s="179">
        <v>0</v>
      </c>
      <c r="L116" s="179">
        <v>0</v>
      </c>
      <c r="M116" s="175">
        <f t="shared" ref="M116" si="36">AVERAGE(F116:L118)</f>
        <v>0</v>
      </c>
      <c r="N116" s="177"/>
    </row>
    <row r="117" spans="1:14" hidden="1">
      <c r="A117" s="173"/>
      <c r="B117" s="186"/>
      <c r="C117" s="188"/>
      <c r="D117" s="188"/>
      <c r="E117" s="188"/>
      <c r="F117" s="180"/>
      <c r="G117" s="180"/>
      <c r="H117" s="180"/>
      <c r="I117" s="180"/>
      <c r="J117" s="180"/>
      <c r="K117" s="180"/>
      <c r="L117" s="180"/>
      <c r="M117" s="176"/>
      <c r="N117" s="178"/>
    </row>
    <row r="118" spans="1:14" hidden="1">
      <c r="A118" s="173"/>
      <c r="B118" s="189"/>
      <c r="C118" s="190"/>
      <c r="D118" s="190"/>
      <c r="E118" s="190"/>
      <c r="F118" s="181"/>
      <c r="G118" s="181"/>
      <c r="H118" s="181"/>
      <c r="I118" s="181"/>
      <c r="J118" s="181"/>
      <c r="K118" s="181"/>
      <c r="L118" s="181"/>
      <c r="M118" s="182"/>
      <c r="N118" s="183"/>
    </row>
    <row r="119" spans="1:14">
      <c r="A119" s="173" t="s">
        <v>171</v>
      </c>
      <c r="B119" s="185" t="s">
        <v>163</v>
      </c>
      <c r="C119" s="187"/>
      <c r="D119" s="187"/>
      <c r="E119" s="187"/>
      <c r="F119" s="179">
        <v>0</v>
      </c>
      <c r="G119" s="179">
        <v>0</v>
      </c>
      <c r="H119" s="179">
        <v>0</v>
      </c>
      <c r="I119" s="179">
        <v>0</v>
      </c>
      <c r="J119" s="179">
        <v>0</v>
      </c>
      <c r="K119" s="179">
        <v>0</v>
      </c>
      <c r="L119" s="179">
        <v>0</v>
      </c>
      <c r="M119" s="175">
        <f t="shared" ref="M119" si="37">AVERAGE(F119:L121)</f>
        <v>0</v>
      </c>
      <c r="N119" s="177"/>
    </row>
    <row r="120" spans="1:14" hidden="1">
      <c r="A120" s="173"/>
      <c r="B120" s="186"/>
      <c r="C120" s="188"/>
      <c r="D120" s="188"/>
      <c r="E120" s="188"/>
      <c r="F120" s="180"/>
      <c r="G120" s="180"/>
      <c r="H120" s="180"/>
      <c r="I120" s="180"/>
      <c r="J120" s="180"/>
      <c r="K120" s="180"/>
      <c r="L120" s="180"/>
      <c r="M120" s="176"/>
      <c r="N120" s="178"/>
    </row>
    <row r="121" spans="1:14" hidden="1">
      <c r="A121" s="184"/>
      <c r="B121" s="186"/>
      <c r="C121" s="188"/>
      <c r="D121" s="188"/>
      <c r="E121" s="188"/>
      <c r="F121" s="180"/>
      <c r="G121" s="180"/>
      <c r="H121" s="180"/>
      <c r="I121" s="180"/>
      <c r="J121" s="180"/>
      <c r="K121" s="180"/>
      <c r="L121" s="180"/>
      <c r="M121" s="176"/>
      <c r="N121" s="178"/>
    </row>
    <row r="122" spans="1:14">
      <c r="A122" s="173" t="s">
        <v>172</v>
      </c>
      <c r="B122" s="174" t="s">
        <v>163</v>
      </c>
      <c r="C122" s="174"/>
      <c r="D122" s="174"/>
      <c r="E122" s="174"/>
      <c r="F122" s="172">
        <v>0</v>
      </c>
      <c r="G122" s="172">
        <v>0</v>
      </c>
      <c r="H122" s="172">
        <v>0</v>
      </c>
      <c r="I122" s="172">
        <v>0</v>
      </c>
      <c r="J122" s="172">
        <v>0</v>
      </c>
      <c r="K122" s="172">
        <v>0</v>
      </c>
      <c r="L122" s="172">
        <v>0</v>
      </c>
      <c r="M122" s="170">
        <f t="shared" ref="M122" si="38">AVERAGE(F122:L124)</f>
        <v>0</v>
      </c>
      <c r="N122" s="171"/>
    </row>
    <row r="123" spans="1:14" hidden="1">
      <c r="A123" s="173"/>
      <c r="B123" s="174"/>
      <c r="C123" s="174"/>
      <c r="D123" s="174"/>
      <c r="E123" s="174"/>
      <c r="F123" s="172"/>
      <c r="G123" s="172"/>
      <c r="H123" s="172"/>
      <c r="I123" s="172"/>
      <c r="J123" s="172"/>
      <c r="K123" s="172"/>
      <c r="L123" s="172"/>
      <c r="M123" s="170"/>
      <c r="N123" s="171"/>
    </row>
    <row r="124" spans="1:14" hidden="1">
      <c r="A124" s="173"/>
      <c r="B124" s="174"/>
      <c r="C124" s="174"/>
      <c r="D124" s="174"/>
      <c r="E124" s="174"/>
      <c r="F124" s="172"/>
      <c r="G124" s="172"/>
      <c r="H124" s="172"/>
      <c r="I124" s="172"/>
      <c r="J124" s="172"/>
      <c r="K124" s="172"/>
      <c r="L124" s="172"/>
      <c r="M124" s="170"/>
      <c r="N124" s="171"/>
    </row>
    <row r="125" spans="1:14" hidden="1">
      <c r="A125" s="173" t="s">
        <v>173</v>
      </c>
      <c r="B125" s="174" t="s">
        <v>174</v>
      </c>
      <c r="C125" s="174" t="s">
        <v>6</v>
      </c>
      <c r="D125" s="174"/>
      <c r="E125" s="174"/>
      <c r="F125" s="172" t="s">
        <v>118</v>
      </c>
      <c r="G125" s="172" t="s">
        <v>118</v>
      </c>
      <c r="H125" s="172" t="s">
        <v>118</v>
      </c>
      <c r="I125" s="172" t="s">
        <v>118</v>
      </c>
      <c r="J125" s="172" t="s">
        <v>118</v>
      </c>
      <c r="K125" s="172" t="s">
        <v>118</v>
      </c>
      <c r="L125" s="172" t="s">
        <v>118</v>
      </c>
      <c r="M125" s="170" t="e">
        <f t="shared" ref="M125" si="39">AVERAGE(F125:L127)</f>
        <v>#DIV/0!</v>
      </c>
      <c r="N125" s="171" t="s">
        <v>175</v>
      </c>
    </row>
    <row r="126" spans="1:14" ht="12.75" hidden="1" customHeight="1">
      <c r="A126" s="173"/>
      <c r="B126" s="174"/>
      <c r="C126" s="174"/>
      <c r="D126" s="174"/>
      <c r="E126" s="174"/>
      <c r="F126" s="172"/>
      <c r="G126" s="172"/>
      <c r="H126" s="172"/>
      <c r="I126" s="172"/>
      <c r="J126" s="172"/>
      <c r="K126" s="172"/>
      <c r="L126" s="172"/>
      <c r="M126" s="170"/>
      <c r="N126" s="171"/>
    </row>
    <row r="127" spans="1:14" ht="12.75" hidden="1" customHeight="1">
      <c r="A127" s="173"/>
      <c r="B127" s="174"/>
      <c r="C127" s="174"/>
      <c r="D127" s="174"/>
      <c r="E127" s="174"/>
      <c r="F127" s="172"/>
      <c r="G127" s="172"/>
      <c r="H127" s="172"/>
      <c r="I127" s="172"/>
      <c r="J127" s="172"/>
      <c r="K127" s="172"/>
      <c r="L127" s="172"/>
      <c r="M127" s="170"/>
      <c r="N127" s="171"/>
    </row>
    <row r="128" spans="1:14" hidden="1">
      <c r="A128" s="173" t="s">
        <v>176</v>
      </c>
      <c r="B128" s="174" t="s">
        <v>174</v>
      </c>
      <c r="C128" s="174"/>
      <c r="D128" s="174"/>
      <c r="E128" s="174"/>
      <c r="F128" s="172" t="s">
        <v>118</v>
      </c>
      <c r="G128" s="172" t="s">
        <v>118</v>
      </c>
      <c r="H128" s="172" t="s">
        <v>118</v>
      </c>
      <c r="I128" s="172" t="s">
        <v>118</v>
      </c>
      <c r="J128" s="172" t="s">
        <v>118</v>
      </c>
      <c r="K128" s="172" t="s">
        <v>118</v>
      </c>
      <c r="L128" s="172" t="s">
        <v>118</v>
      </c>
      <c r="M128" s="170" t="e">
        <f t="shared" ref="M128" si="40">AVERAGE(F128:L130)</f>
        <v>#DIV/0!</v>
      </c>
      <c r="N128" s="171"/>
    </row>
    <row r="129" spans="1:14" ht="12.75" hidden="1" customHeight="1">
      <c r="A129" s="173"/>
      <c r="B129" s="174"/>
      <c r="C129" s="174"/>
      <c r="D129" s="174"/>
      <c r="E129" s="174"/>
      <c r="F129" s="172"/>
      <c r="G129" s="172"/>
      <c r="H129" s="172"/>
      <c r="I129" s="172"/>
      <c r="J129" s="172"/>
      <c r="K129" s="172"/>
      <c r="L129" s="172"/>
      <c r="M129" s="170"/>
      <c r="N129" s="171"/>
    </row>
    <row r="130" spans="1:14" ht="12.75" hidden="1" customHeight="1">
      <c r="A130" s="173"/>
      <c r="B130" s="174"/>
      <c r="C130" s="174"/>
      <c r="D130" s="174"/>
      <c r="E130" s="174"/>
      <c r="F130" s="172"/>
      <c r="G130" s="172"/>
      <c r="H130" s="172"/>
      <c r="I130" s="172"/>
      <c r="J130" s="172"/>
      <c r="K130" s="172"/>
      <c r="L130" s="172"/>
      <c r="M130" s="170"/>
      <c r="N130" s="171"/>
    </row>
    <row r="131" spans="1:14" hidden="1">
      <c r="A131" s="173" t="s">
        <v>177</v>
      </c>
      <c r="B131" s="174" t="s">
        <v>174</v>
      </c>
      <c r="C131" s="174"/>
      <c r="D131" s="174"/>
      <c r="E131" s="174"/>
      <c r="F131" s="172" t="s">
        <v>118</v>
      </c>
      <c r="G131" s="172" t="s">
        <v>118</v>
      </c>
      <c r="H131" s="172" t="s">
        <v>118</v>
      </c>
      <c r="I131" s="172" t="s">
        <v>118</v>
      </c>
      <c r="J131" s="172" t="s">
        <v>118</v>
      </c>
      <c r="K131" s="172" t="s">
        <v>118</v>
      </c>
      <c r="L131" s="172" t="s">
        <v>118</v>
      </c>
      <c r="M131" s="170" t="e">
        <f t="shared" ref="M131" si="41">AVERAGE(F131:L133)</f>
        <v>#DIV/0!</v>
      </c>
      <c r="N131" s="171" t="s">
        <v>178</v>
      </c>
    </row>
    <row r="132" spans="1:14" ht="12.75" hidden="1" customHeight="1">
      <c r="A132" s="173"/>
      <c r="B132" s="174"/>
      <c r="C132" s="174"/>
      <c r="D132" s="174"/>
      <c r="E132" s="174"/>
      <c r="F132" s="172"/>
      <c r="G132" s="172"/>
      <c r="H132" s="172"/>
      <c r="I132" s="172"/>
      <c r="J132" s="172"/>
      <c r="K132" s="172"/>
      <c r="L132" s="172"/>
      <c r="M132" s="170"/>
      <c r="N132" s="171"/>
    </row>
    <row r="133" spans="1:14" ht="12.75" hidden="1" customHeight="1">
      <c r="A133" s="173"/>
      <c r="B133" s="174"/>
      <c r="C133" s="174"/>
      <c r="D133" s="174"/>
      <c r="E133" s="174"/>
      <c r="F133" s="172"/>
      <c r="G133" s="172"/>
      <c r="H133" s="172"/>
      <c r="I133" s="172"/>
      <c r="J133" s="172"/>
      <c r="K133" s="172"/>
      <c r="L133" s="172"/>
      <c r="M133" s="170"/>
      <c r="N133" s="171"/>
    </row>
    <row r="134" spans="1:14" ht="12.75" hidden="1" customHeight="1">
      <c r="A134" s="173" t="s">
        <v>179</v>
      </c>
      <c r="B134" s="185" t="s">
        <v>174</v>
      </c>
      <c r="C134" s="187" t="s">
        <v>10</v>
      </c>
      <c r="D134" s="187"/>
      <c r="E134" s="187" t="s">
        <v>42</v>
      </c>
      <c r="F134" s="179">
        <v>4</v>
      </c>
      <c r="G134" s="179">
        <v>0</v>
      </c>
      <c r="H134" s="179">
        <v>2</v>
      </c>
      <c r="I134" s="179">
        <v>0</v>
      </c>
      <c r="J134" s="179">
        <v>0</v>
      </c>
      <c r="K134" s="179">
        <v>2</v>
      </c>
      <c r="L134" s="179" t="s">
        <v>118</v>
      </c>
      <c r="M134" s="175">
        <f t="shared" ref="M134" si="42">AVERAGE(F134:L136)</f>
        <v>1.3333333333333333</v>
      </c>
      <c r="N134" s="177" t="s">
        <v>116</v>
      </c>
    </row>
    <row r="135" spans="1:14" hidden="1">
      <c r="A135" s="173"/>
      <c r="B135" s="186"/>
      <c r="C135" s="188"/>
      <c r="D135" s="188"/>
      <c r="E135" s="188"/>
      <c r="F135" s="180"/>
      <c r="G135" s="180"/>
      <c r="H135" s="180"/>
      <c r="I135" s="180"/>
      <c r="J135" s="180"/>
      <c r="K135" s="180"/>
      <c r="L135" s="180"/>
      <c r="M135" s="176"/>
      <c r="N135" s="178"/>
    </row>
    <row r="136" spans="1:14" hidden="1">
      <c r="A136" s="173"/>
      <c r="B136" s="189"/>
      <c r="C136" s="190"/>
      <c r="D136" s="190"/>
      <c r="E136" s="190"/>
      <c r="F136" s="181"/>
      <c r="G136" s="181"/>
      <c r="H136" s="181"/>
      <c r="I136" s="181"/>
      <c r="J136" s="181"/>
      <c r="K136" s="181"/>
      <c r="L136" s="181"/>
      <c r="M136" s="182"/>
      <c r="N136" s="183"/>
    </row>
    <row r="137" spans="1:14" hidden="1">
      <c r="A137" s="173" t="s">
        <v>180</v>
      </c>
      <c r="B137" s="174" t="s">
        <v>174</v>
      </c>
      <c r="C137" s="174" t="s">
        <v>6</v>
      </c>
      <c r="D137" s="174"/>
      <c r="E137" s="174"/>
      <c r="F137" s="172" t="s">
        <v>118</v>
      </c>
      <c r="G137" s="172" t="s">
        <v>118</v>
      </c>
      <c r="H137" s="172" t="s">
        <v>118</v>
      </c>
      <c r="I137" s="172" t="s">
        <v>118</v>
      </c>
      <c r="J137" s="172" t="s">
        <v>118</v>
      </c>
      <c r="K137" s="172" t="s">
        <v>118</v>
      </c>
      <c r="L137" s="172" t="s">
        <v>118</v>
      </c>
      <c r="M137" s="170" t="e">
        <f t="shared" ref="M137" si="43">AVERAGE(F137:L139)</f>
        <v>#DIV/0!</v>
      </c>
      <c r="N137" s="171" t="s">
        <v>181</v>
      </c>
    </row>
    <row r="138" spans="1:14" ht="12.75" hidden="1" customHeight="1">
      <c r="A138" s="173"/>
      <c r="B138" s="174"/>
      <c r="C138" s="174"/>
      <c r="D138" s="174"/>
      <c r="E138" s="174"/>
      <c r="F138" s="172"/>
      <c r="G138" s="172"/>
      <c r="H138" s="172"/>
      <c r="I138" s="172"/>
      <c r="J138" s="172"/>
      <c r="K138" s="172"/>
      <c r="L138" s="172"/>
      <c r="M138" s="170"/>
      <c r="N138" s="171"/>
    </row>
    <row r="139" spans="1:14" ht="12.75" hidden="1" customHeight="1">
      <c r="A139" s="173"/>
      <c r="B139" s="174"/>
      <c r="C139" s="174"/>
      <c r="D139" s="174"/>
      <c r="E139" s="174"/>
      <c r="F139" s="172"/>
      <c r="G139" s="172"/>
      <c r="H139" s="172"/>
      <c r="I139" s="172"/>
      <c r="J139" s="172"/>
      <c r="K139" s="172"/>
      <c r="L139" s="172"/>
      <c r="M139" s="170"/>
      <c r="N139" s="171"/>
    </row>
    <row r="140" spans="1:14" hidden="1">
      <c r="A140" s="173" t="s">
        <v>182</v>
      </c>
      <c r="B140" s="174" t="s">
        <v>174</v>
      </c>
      <c r="C140" s="174" t="s">
        <v>14</v>
      </c>
      <c r="D140" s="174"/>
      <c r="E140" s="174"/>
      <c r="F140" s="172">
        <v>0</v>
      </c>
      <c r="G140" s="172">
        <v>0</v>
      </c>
      <c r="H140" s="172">
        <v>0</v>
      </c>
      <c r="I140" s="172">
        <v>0</v>
      </c>
      <c r="J140" s="172">
        <v>0</v>
      </c>
      <c r="K140" s="172">
        <v>0</v>
      </c>
      <c r="L140" s="172">
        <v>0</v>
      </c>
      <c r="M140" s="170">
        <f t="shared" ref="M140" si="44">AVERAGE(F140:L142)</f>
        <v>0</v>
      </c>
      <c r="N140" s="171" t="s">
        <v>183</v>
      </c>
    </row>
    <row r="141" spans="1:14" hidden="1">
      <c r="A141" s="173"/>
      <c r="B141" s="174"/>
      <c r="C141" s="174"/>
      <c r="D141" s="174"/>
      <c r="E141" s="174"/>
      <c r="F141" s="172"/>
      <c r="G141" s="172"/>
      <c r="H141" s="172"/>
      <c r="I141" s="172"/>
      <c r="J141" s="172"/>
      <c r="K141" s="172"/>
      <c r="L141" s="172"/>
      <c r="M141" s="170"/>
      <c r="N141" s="171"/>
    </row>
    <row r="142" spans="1:14" hidden="1">
      <c r="A142" s="173"/>
      <c r="B142" s="174"/>
      <c r="C142" s="174"/>
      <c r="D142" s="174"/>
      <c r="E142" s="174"/>
      <c r="F142" s="172"/>
      <c r="G142" s="172"/>
      <c r="H142" s="172"/>
      <c r="I142" s="172"/>
      <c r="J142" s="172"/>
      <c r="K142" s="172"/>
      <c r="L142" s="172"/>
      <c r="M142" s="170"/>
      <c r="N142" s="171"/>
    </row>
    <row r="143" spans="1:14" hidden="1">
      <c r="A143" s="191" t="s">
        <v>184</v>
      </c>
      <c r="B143" s="193" t="s">
        <v>174</v>
      </c>
      <c r="C143" s="193" t="s">
        <v>14</v>
      </c>
      <c r="D143" s="186"/>
      <c r="E143" s="188"/>
      <c r="F143" s="180">
        <v>0</v>
      </c>
      <c r="G143" s="180">
        <v>0</v>
      </c>
      <c r="H143" s="180">
        <v>0</v>
      </c>
      <c r="I143" s="180">
        <v>0</v>
      </c>
      <c r="J143" s="180">
        <v>0</v>
      </c>
      <c r="K143" s="180">
        <v>0</v>
      </c>
      <c r="L143" s="180">
        <v>0</v>
      </c>
      <c r="M143" s="176">
        <f t="shared" ref="M143" si="45">AVERAGE(F143:L145)</f>
        <v>0</v>
      </c>
      <c r="N143" s="171" t="s">
        <v>183</v>
      </c>
    </row>
    <row r="144" spans="1:14" ht="12.75" hidden="1" customHeight="1">
      <c r="A144" s="192"/>
      <c r="B144" s="174"/>
      <c r="C144" s="174"/>
      <c r="D144" s="186"/>
      <c r="E144" s="188"/>
      <c r="F144" s="180"/>
      <c r="G144" s="180"/>
      <c r="H144" s="180"/>
      <c r="I144" s="180"/>
      <c r="J144" s="180"/>
      <c r="K144" s="180"/>
      <c r="L144" s="180"/>
      <c r="M144" s="176"/>
      <c r="N144" s="171"/>
    </row>
    <row r="145" spans="1:14" ht="12.75" hidden="1" customHeight="1">
      <c r="A145" s="192"/>
      <c r="B145" s="174"/>
      <c r="C145" s="174"/>
      <c r="D145" s="189"/>
      <c r="E145" s="190"/>
      <c r="F145" s="181"/>
      <c r="G145" s="181"/>
      <c r="H145" s="181"/>
      <c r="I145" s="181"/>
      <c r="J145" s="181"/>
      <c r="K145" s="181"/>
      <c r="L145" s="181"/>
      <c r="M145" s="182"/>
      <c r="N145" s="171"/>
    </row>
    <row r="146" spans="1:14" hidden="1">
      <c r="A146" s="173"/>
      <c r="B146" s="186"/>
      <c r="C146" s="188"/>
      <c r="D146" s="187"/>
      <c r="E146" s="187"/>
      <c r="F146" s="179">
        <v>0</v>
      </c>
      <c r="G146" s="179">
        <v>0</v>
      </c>
      <c r="H146" s="179">
        <v>0</v>
      </c>
      <c r="I146" s="179">
        <v>0</v>
      </c>
      <c r="J146" s="179">
        <v>0</v>
      </c>
      <c r="K146" s="179">
        <v>0</v>
      </c>
      <c r="L146" s="179">
        <v>0</v>
      </c>
      <c r="M146" s="175">
        <f t="shared" ref="M146" si="46">AVERAGE(F146:L148)</f>
        <v>0</v>
      </c>
      <c r="N146" s="177"/>
    </row>
    <row r="147" spans="1:14" hidden="1">
      <c r="A147" s="173"/>
      <c r="B147" s="186"/>
      <c r="C147" s="188"/>
      <c r="D147" s="188"/>
      <c r="E147" s="188"/>
      <c r="F147" s="180"/>
      <c r="G147" s="180"/>
      <c r="H147" s="180"/>
      <c r="I147" s="180"/>
      <c r="J147" s="180"/>
      <c r="K147" s="180"/>
      <c r="L147" s="180"/>
      <c r="M147" s="176"/>
      <c r="N147" s="178"/>
    </row>
    <row r="148" spans="1:14" hidden="1">
      <c r="A148" s="173"/>
      <c r="B148" s="189"/>
      <c r="C148" s="190"/>
      <c r="D148" s="190"/>
      <c r="E148" s="190"/>
      <c r="F148" s="181"/>
      <c r="G148" s="181"/>
      <c r="H148" s="181"/>
      <c r="I148" s="181"/>
      <c r="J148" s="181"/>
      <c r="K148" s="181"/>
      <c r="L148" s="181"/>
      <c r="M148" s="182"/>
      <c r="N148" s="183"/>
    </row>
    <row r="149" spans="1:14" hidden="1">
      <c r="A149" s="173"/>
      <c r="B149" s="185"/>
      <c r="C149" s="187"/>
      <c r="D149" s="187"/>
      <c r="E149" s="187"/>
      <c r="F149" s="179">
        <v>0</v>
      </c>
      <c r="G149" s="179">
        <v>0</v>
      </c>
      <c r="H149" s="179">
        <v>0</v>
      </c>
      <c r="I149" s="179">
        <v>0</v>
      </c>
      <c r="J149" s="179">
        <v>0</v>
      </c>
      <c r="K149" s="179">
        <v>0</v>
      </c>
      <c r="L149" s="179">
        <v>0</v>
      </c>
      <c r="M149" s="175">
        <f t="shared" ref="M149" si="47">AVERAGE(F149:L151)</f>
        <v>0</v>
      </c>
      <c r="N149" s="177"/>
    </row>
    <row r="150" spans="1:14" hidden="1">
      <c r="A150" s="173"/>
      <c r="B150" s="186"/>
      <c r="C150" s="188"/>
      <c r="D150" s="188"/>
      <c r="E150" s="188"/>
      <c r="F150" s="180"/>
      <c r="G150" s="180"/>
      <c r="H150" s="180"/>
      <c r="I150" s="180"/>
      <c r="J150" s="180"/>
      <c r="K150" s="180"/>
      <c r="L150" s="180"/>
      <c r="M150" s="176"/>
      <c r="N150" s="178"/>
    </row>
    <row r="151" spans="1:14" hidden="1">
      <c r="A151" s="173"/>
      <c r="B151" s="189"/>
      <c r="C151" s="190"/>
      <c r="D151" s="190"/>
      <c r="E151" s="190"/>
      <c r="F151" s="181"/>
      <c r="G151" s="181"/>
      <c r="H151" s="181"/>
      <c r="I151" s="181"/>
      <c r="J151" s="181"/>
      <c r="K151" s="181"/>
      <c r="L151" s="181"/>
      <c r="M151" s="182"/>
      <c r="N151" s="183"/>
    </row>
    <row r="152" spans="1:14" hidden="1">
      <c r="A152" s="173"/>
      <c r="B152" s="185"/>
      <c r="C152" s="187"/>
      <c r="D152" s="187"/>
      <c r="E152" s="187"/>
      <c r="F152" s="179">
        <v>0</v>
      </c>
      <c r="G152" s="179">
        <v>0</v>
      </c>
      <c r="H152" s="179">
        <v>0</v>
      </c>
      <c r="I152" s="179">
        <v>0</v>
      </c>
      <c r="J152" s="179">
        <v>0</v>
      </c>
      <c r="K152" s="179">
        <v>0</v>
      </c>
      <c r="L152" s="179">
        <v>0</v>
      </c>
      <c r="M152" s="175">
        <f t="shared" ref="M152" si="48">AVERAGE(F152:L154)</f>
        <v>0</v>
      </c>
      <c r="N152" s="177"/>
    </row>
    <row r="153" spans="1:14" hidden="1">
      <c r="A153" s="173"/>
      <c r="B153" s="186"/>
      <c r="C153" s="188"/>
      <c r="D153" s="188"/>
      <c r="E153" s="188"/>
      <c r="F153" s="180"/>
      <c r="G153" s="180"/>
      <c r="H153" s="180"/>
      <c r="I153" s="180"/>
      <c r="J153" s="180"/>
      <c r="K153" s="180"/>
      <c r="L153" s="180"/>
      <c r="M153" s="176"/>
      <c r="N153" s="178"/>
    </row>
    <row r="154" spans="1:14" hidden="1">
      <c r="A154" s="173"/>
      <c r="B154" s="189"/>
      <c r="C154" s="190"/>
      <c r="D154" s="190"/>
      <c r="E154" s="190"/>
      <c r="F154" s="181"/>
      <c r="G154" s="181"/>
      <c r="H154" s="181"/>
      <c r="I154" s="181"/>
      <c r="J154" s="181"/>
      <c r="K154" s="181"/>
      <c r="L154" s="181"/>
      <c r="M154" s="182"/>
      <c r="N154" s="183"/>
    </row>
    <row r="155" spans="1:14" hidden="1">
      <c r="A155" s="173"/>
      <c r="B155" s="185"/>
      <c r="C155" s="187"/>
      <c r="D155" s="187"/>
      <c r="E155" s="187"/>
      <c r="F155" s="179">
        <v>0</v>
      </c>
      <c r="G155" s="179">
        <v>0</v>
      </c>
      <c r="H155" s="179">
        <v>0</v>
      </c>
      <c r="I155" s="179">
        <v>0</v>
      </c>
      <c r="J155" s="179">
        <v>0</v>
      </c>
      <c r="K155" s="179">
        <v>0</v>
      </c>
      <c r="L155" s="179">
        <v>0</v>
      </c>
      <c r="M155" s="175">
        <f t="shared" ref="M155" si="49">AVERAGE(F155:L157)</f>
        <v>0</v>
      </c>
      <c r="N155" s="177"/>
    </row>
    <row r="156" spans="1:14" hidden="1">
      <c r="A156" s="173"/>
      <c r="B156" s="186"/>
      <c r="C156" s="188"/>
      <c r="D156" s="188"/>
      <c r="E156" s="188"/>
      <c r="F156" s="180"/>
      <c r="G156" s="180"/>
      <c r="H156" s="180"/>
      <c r="I156" s="180"/>
      <c r="J156" s="180"/>
      <c r="K156" s="180"/>
      <c r="L156" s="180"/>
      <c r="M156" s="176"/>
      <c r="N156" s="178"/>
    </row>
    <row r="157" spans="1:14" hidden="1">
      <c r="A157" s="173"/>
      <c r="B157" s="189"/>
      <c r="C157" s="190"/>
      <c r="D157" s="190"/>
      <c r="E157" s="190"/>
      <c r="F157" s="181"/>
      <c r="G157" s="181"/>
      <c r="H157" s="181"/>
      <c r="I157" s="181"/>
      <c r="J157" s="181"/>
      <c r="K157" s="181"/>
      <c r="L157" s="181"/>
      <c r="M157" s="182"/>
      <c r="N157" s="183"/>
    </row>
    <row r="158" spans="1:14" hidden="1">
      <c r="A158" s="173"/>
      <c r="B158" s="185"/>
      <c r="C158" s="187"/>
      <c r="D158" s="187"/>
      <c r="E158" s="187"/>
      <c r="F158" s="179">
        <v>0</v>
      </c>
      <c r="G158" s="179">
        <v>0</v>
      </c>
      <c r="H158" s="179">
        <v>0</v>
      </c>
      <c r="I158" s="179">
        <v>0</v>
      </c>
      <c r="J158" s="179">
        <v>0</v>
      </c>
      <c r="K158" s="179">
        <v>0</v>
      </c>
      <c r="L158" s="179">
        <v>0</v>
      </c>
      <c r="M158" s="175">
        <f t="shared" ref="M158" si="50">AVERAGE(F158:L160)</f>
        <v>0</v>
      </c>
      <c r="N158" s="177"/>
    </row>
    <row r="159" spans="1:14" hidden="1">
      <c r="A159" s="173"/>
      <c r="B159" s="186"/>
      <c r="C159" s="188"/>
      <c r="D159" s="188"/>
      <c r="E159" s="188"/>
      <c r="F159" s="180"/>
      <c r="G159" s="180"/>
      <c r="H159" s="180"/>
      <c r="I159" s="180"/>
      <c r="J159" s="180"/>
      <c r="K159" s="180"/>
      <c r="L159" s="180"/>
      <c r="M159" s="176"/>
      <c r="N159" s="178"/>
    </row>
    <row r="160" spans="1:14" hidden="1">
      <c r="A160" s="173"/>
      <c r="B160" s="189"/>
      <c r="C160" s="190"/>
      <c r="D160" s="190"/>
      <c r="E160" s="190"/>
      <c r="F160" s="181"/>
      <c r="G160" s="181"/>
      <c r="H160" s="181"/>
      <c r="I160" s="181"/>
      <c r="J160" s="181"/>
      <c r="K160" s="181"/>
      <c r="L160" s="181"/>
      <c r="M160" s="182"/>
      <c r="N160" s="183"/>
    </row>
    <row r="161" spans="1:14" hidden="1">
      <c r="A161" s="173"/>
      <c r="B161" s="185"/>
      <c r="C161" s="187"/>
      <c r="D161" s="187"/>
      <c r="E161" s="187"/>
      <c r="F161" s="179">
        <v>0</v>
      </c>
      <c r="G161" s="179">
        <v>0</v>
      </c>
      <c r="H161" s="179">
        <v>0</v>
      </c>
      <c r="I161" s="179">
        <v>0</v>
      </c>
      <c r="J161" s="179">
        <v>0</v>
      </c>
      <c r="K161" s="179">
        <v>0</v>
      </c>
      <c r="L161" s="179">
        <v>0</v>
      </c>
      <c r="M161" s="175">
        <f t="shared" ref="M161" si="51">AVERAGE(F161:L163)</f>
        <v>0</v>
      </c>
      <c r="N161" s="177"/>
    </row>
    <row r="162" spans="1:14" hidden="1">
      <c r="A162" s="173"/>
      <c r="B162" s="186"/>
      <c r="C162" s="188"/>
      <c r="D162" s="188"/>
      <c r="E162" s="188"/>
      <c r="F162" s="180"/>
      <c r="G162" s="180"/>
      <c r="H162" s="180"/>
      <c r="I162" s="180"/>
      <c r="J162" s="180"/>
      <c r="K162" s="180"/>
      <c r="L162" s="180"/>
      <c r="M162" s="176"/>
      <c r="N162" s="178"/>
    </row>
    <row r="163" spans="1:14" hidden="1">
      <c r="A163" s="173"/>
      <c r="B163" s="189"/>
      <c r="C163" s="190"/>
      <c r="D163" s="190"/>
      <c r="E163" s="190"/>
      <c r="F163" s="181"/>
      <c r="G163" s="181"/>
      <c r="H163" s="181"/>
      <c r="I163" s="181"/>
      <c r="J163" s="181"/>
      <c r="K163" s="181"/>
      <c r="L163" s="181"/>
      <c r="M163" s="182"/>
      <c r="N163" s="183"/>
    </row>
    <row r="164" spans="1:14" hidden="1">
      <c r="A164" s="173"/>
      <c r="B164" s="185"/>
      <c r="C164" s="187"/>
      <c r="D164" s="187"/>
      <c r="E164" s="187"/>
      <c r="F164" s="179">
        <v>0</v>
      </c>
      <c r="G164" s="179">
        <v>0</v>
      </c>
      <c r="H164" s="179">
        <v>0</v>
      </c>
      <c r="I164" s="179">
        <v>0</v>
      </c>
      <c r="J164" s="179">
        <v>0</v>
      </c>
      <c r="K164" s="179">
        <v>0</v>
      </c>
      <c r="L164" s="179">
        <v>0</v>
      </c>
      <c r="M164" s="175">
        <f t="shared" ref="M164" si="52">AVERAGE(F164:L166)</f>
        <v>0</v>
      </c>
      <c r="N164" s="177"/>
    </row>
    <row r="165" spans="1:14" hidden="1">
      <c r="A165" s="173"/>
      <c r="B165" s="186"/>
      <c r="C165" s="188"/>
      <c r="D165" s="188"/>
      <c r="E165" s="188"/>
      <c r="F165" s="180"/>
      <c r="G165" s="180"/>
      <c r="H165" s="180"/>
      <c r="I165" s="180"/>
      <c r="J165" s="180"/>
      <c r="K165" s="180"/>
      <c r="L165" s="180"/>
      <c r="M165" s="176"/>
      <c r="N165" s="178"/>
    </row>
    <row r="166" spans="1:14" hidden="1">
      <c r="A166" s="173"/>
      <c r="B166" s="189"/>
      <c r="C166" s="190"/>
      <c r="D166" s="190"/>
      <c r="E166" s="190"/>
      <c r="F166" s="181"/>
      <c r="G166" s="181"/>
      <c r="H166" s="181"/>
      <c r="I166" s="181"/>
      <c r="J166" s="181"/>
      <c r="K166" s="181"/>
      <c r="L166" s="181"/>
      <c r="M166" s="182"/>
      <c r="N166" s="183"/>
    </row>
    <row r="167" spans="1:14" hidden="1">
      <c r="A167" s="173"/>
      <c r="B167" s="185"/>
      <c r="C167" s="187"/>
      <c r="D167" s="187"/>
      <c r="E167" s="187"/>
      <c r="F167" s="179">
        <v>0</v>
      </c>
      <c r="G167" s="179">
        <v>0</v>
      </c>
      <c r="H167" s="179">
        <v>0</v>
      </c>
      <c r="I167" s="179">
        <v>0</v>
      </c>
      <c r="J167" s="179">
        <v>0</v>
      </c>
      <c r="K167" s="179">
        <v>0</v>
      </c>
      <c r="L167" s="179">
        <v>0</v>
      </c>
      <c r="M167" s="175">
        <f t="shared" ref="M167" si="53">AVERAGE(F167:L169)</f>
        <v>0</v>
      </c>
      <c r="N167" s="177"/>
    </row>
    <row r="168" spans="1:14" hidden="1">
      <c r="A168" s="173"/>
      <c r="B168" s="186"/>
      <c r="C168" s="188"/>
      <c r="D168" s="188"/>
      <c r="E168" s="188"/>
      <c r="F168" s="180"/>
      <c r="G168" s="180"/>
      <c r="H168" s="180"/>
      <c r="I168" s="180"/>
      <c r="J168" s="180"/>
      <c r="K168" s="180"/>
      <c r="L168" s="180"/>
      <c r="M168" s="176"/>
      <c r="N168" s="178"/>
    </row>
    <row r="169" spans="1:14" hidden="1">
      <c r="A169" s="173"/>
      <c r="B169" s="189"/>
      <c r="C169" s="190"/>
      <c r="D169" s="190"/>
      <c r="E169" s="190"/>
      <c r="F169" s="181"/>
      <c r="G169" s="181"/>
      <c r="H169" s="181"/>
      <c r="I169" s="181"/>
      <c r="J169" s="181"/>
      <c r="K169" s="181"/>
      <c r="L169" s="181"/>
      <c r="M169" s="182"/>
      <c r="N169" s="183"/>
    </row>
    <row r="170" spans="1:14" hidden="1">
      <c r="A170" s="173"/>
      <c r="B170" s="185"/>
      <c r="C170" s="187"/>
      <c r="D170" s="187"/>
      <c r="E170" s="187"/>
      <c r="F170" s="179">
        <v>0</v>
      </c>
      <c r="G170" s="179">
        <v>0</v>
      </c>
      <c r="H170" s="179">
        <v>0</v>
      </c>
      <c r="I170" s="179">
        <v>0</v>
      </c>
      <c r="J170" s="179">
        <v>0</v>
      </c>
      <c r="K170" s="179">
        <v>0</v>
      </c>
      <c r="L170" s="179">
        <v>0</v>
      </c>
      <c r="M170" s="175">
        <f t="shared" ref="M170" si="54">AVERAGE(F170:L172)</f>
        <v>0</v>
      </c>
      <c r="N170" s="177"/>
    </row>
    <row r="171" spans="1:14" hidden="1">
      <c r="A171" s="173"/>
      <c r="B171" s="186"/>
      <c r="C171" s="188"/>
      <c r="D171" s="188"/>
      <c r="E171" s="188"/>
      <c r="F171" s="180"/>
      <c r="G171" s="180"/>
      <c r="H171" s="180"/>
      <c r="I171" s="180"/>
      <c r="J171" s="180"/>
      <c r="K171" s="180"/>
      <c r="L171" s="180"/>
      <c r="M171" s="176"/>
      <c r="N171" s="178"/>
    </row>
    <row r="172" spans="1:14" hidden="1">
      <c r="A172" s="173"/>
      <c r="B172" s="189"/>
      <c r="C172" s="190"/>
      <c r="D172" s="190"/>
      <c r="E172" s="190"/>
      <c r="F172" s="181"/>
      <c r="G172" s="181"/>
      <c r="H172" s="181"/>
      <c r="I172" s="181"/>
      <c r="J172" s="181"/>
      <c r="K172" s="181"/>
      <c r="L172" s="181"/>
      <c r="M172" s="182"/>
      <c r="N172" s="183"/>
    </row>
    <row r="173" spans="1:14" hidden="1">
      <c r="A173" s="173"/>
      <c r="B173" s="185"/>
      <c r="C173" s="187"/>
      <c r="D173" s="187"/>
      <c r="E173" s="187"/>
      <c r="F173" s="179">
        <v>0</v>
      </c>
      <c r="G173" s="179">
        <v>0</v>
      </c>
      <c r="H173" s="179">
        <v>0</v>
      </c>
      <c r="I173" s="179">
        <v>0</v>
      </c>
      <c r="J173" s="179">
        <v>0</v>
      </c>
      <c r="K173" s="179">
        <v>0</v>
      </c>
      <c r="L173" s="179">
        <v>0</v>
      </c>
      <c r="M173" s="175">
        <f t="shared" ref="M173" si="55">AVERAGE(F173:L175)</f>
        <v>0</v>
      </c>
      <c r="N173" s="177"/>
    </row>
    <row r="174" spans="1:14" hidden="1">
      <c r="A174" s="173"/>
      <c r="B174" s="186"/>
      <c r="C174" s="188"/>
      <c r="D174" s="188"/>
      <c r="E174" s="188"/>
      <c r="F174" s="180"/>
      <c r="G174" s="180"/>
      <c r="H174" s="180"/>
      <c r="I174" s="180"/>
      <c r="J174" s="180"/>
      <c r="K174" s="180"/>
      <c r="L174" s="180"/>
      <c r="M174" s="176"/>
      <c r="N174" s="178"/>
    </row>
    <row r="175" spans="1:14" hidden="1">
      <c r="A175" s="173"/>
      <c r="B175" s="189"/>
      <c r="C175" s="190"/>
      <c r="D175" s="190"/>
      <c r="E175" s="190"/>
      <c r="F175" s="181"/>
      <c r="G175" s="181"/>
      <c r="H175" s="181"/>
      <c r="I175" s="181"/>
      <c r="J175" s="181"/>
      <c r="K175" s="181"/>
      <c r="L175" s="181"/>
      <c r="M175" s="182"/>
      <c r="N175" s="183"/>
    </row>
    <row r="176" spans="1:14" hidden="1">
      <c r="A176" s="173"/>
      <c r="B176" s="185"/>
      <c r="C176" s="187"/>
      <c r="D176" s="187"/>
      <c r="E176" s="187"/>
      <c r="F176" s="179">
        <v>0</v>
      </c>
      <c r="G176" s="179">
        <v>0</v>
      </c>
      <c r="H176" s="179">
        <v>0</v>
      </c>
      <c r="I176" s="179">
        <v>0</v>
      </c>
      <c r="J176" s="179">
        <v>0</v>
      </c>
      <c r="K176" s="179">
        <v>0</v>
      </c>
      <c r="L176" s="179">
        <v>0</v>
      </c>
      <c r="M176" s="175">
        <f t="shared" ref="M176" si="56">AVERAGE(F176:L178)</f>
        <v>0</v>
      </c>
      <c r="N176" s="177"/>
    </row>
    <row r="177" spans="1:14" hidden="1">
      <c r="A177" s="173"/>
      <c r="B177" s="186"/>
      <c r="C177" s="188"/>
      <c r="D177" s="188"/>
      <c r="E177" s="188"/>
      <c r="F177" s="180"/>
      <c r="G177" s="180"/>
      <c r="H177" s="180"/>
      <c r="I177" s="180"/>
      <c r="J177" s="180"/>
      <c r="K177" s="180"/>
      <c r="L177" s="180"/>
      <c r="M177" s="176"/>
      <c r="N177" s="178"/>
    </row>
    <row r="178" spans="1:14" hidden="1">
      <c r="A178" s="173"/>
      <c r="B178" s="189"/>
      <c r="C178" s="190"/>
      <c r="D178" s="190"/>
      <c r="E178" s="190"/>
      <c r="F178" s="181"/>
      <c r="G178" s="181"/>
      <c r="H178" s="181"/>
      <c r="I178" s="181"/>
      <c r="J178" s="181"/>
      <c r="K178" s="181"/>
      <c r="L178" s="181"/>
      <c r="M178" s="182"/>
      <c r="N178" s="183"/>
    </row>
    <row r="179" spans="1:14" hidden="1">
      <c r="A179" s="173"/>
      <c r="B179" s="185"/>
      <c r="C179" s="187"/>
      <c r="D179" s="187"/>
      <c r="E179" s="187"/>
      <c r="F179" s="179">
        <v>0</v>
      </c>
      <c r="G179" s="179">
        <v>0</v>
      </c>
      <c r="H179" s="179">
        <v>0</v>
      </c>
      <c r="I179" s="179">
        <v>0</v>
      </c>
      <c r="J179" s="179">
        <v>0</v>
      </c>
      <c r="K179" s="179">
        <v>0</v>
      </c>
      <c r="L179" s="179">
        <v>0</v>
      </c>
      <c r="M179" s="175">
        <f t="shared" ref="M179" si="57">AVERAGE(F179:L181)</f>
        <v>0</v>
      </c>
      <c r="N179" s="177"/>
    </row>
    <row r="180" spans="1:14" hidden="1">
      <c r="A180" s="173"/>
      <c r="B180" s="186"/>
      <c r="C180" s="188"/>
      <c r="D180" s="188"/>
      <c r="E180" s="188"/>
      <c r="F180" s="180"/>
      <c r="G180" s="180"/>
      <c r="H180" s="180"/>
      <c r="I180" s="180"/>
      <c r="J180" s="180"/>
      <c r="K180" s="180"/>
      <c r="L180" s="180"/>
      <c r="M180" s="176"/>
      <c r="N180" s="178"/>
    </row>
    <row r="181" spans="1:14" hidden="1">
      <c r="A181" s="173"/>
      <c r="B181" s="189"/>
      <c r="C181" s="190"/>
      <c r="D181" s="190"/>
      <c r="E181" s="190"/>
      <c r="F181" s="181"/>
      <c r="G181" s="181"/>
      <c r="H181" s="181"/>
      <c r="I181" s="181"/>
      <c r="J181" s="181"/>
      <c r="K181" s="181"/>
      <c r="L181" s="181"/>
      <c r="M181" s="182"/>
      <c r="N181" s="183"/>
    </row>
    <row r="182" spans="1:14" hidden="1">
      <c r="A182" s="173"/>
      <c r="B182" s="185"/>
      <c r="C182" s="187"/>
      <c r="D182" s="187"/>
      <c r="E182" s="187"/>
      <c r="F182" s="179">
        <v>0</v>
      </c>
      <c r="G182" s="179">
        <v>0</v>
      </c>
      <c r="H182" s="179">
        <v>0</v>
      </c>
      <c r="I182" s="179">
        <v>0</v>
      </c>
      <c r="J182" s="179">
        <v>0</v>
      </c>
      <c r="K182" s="179">
        <v>0</v>
      </c>
      <c r="L182" s="179">
        <v>0</v>
      </c>
      <c r="M182" s="175">
        <f t="shared" ref="M182" si="58">AVERAGE(F182:L184)</f>
        <v>0</v>
      </c>
      <c r="N182" s="177"/>
    </row>
    <row r="183" spans="1:14" hidden="1">
      <c r="A183" s="173"/>
      <c r="B183" s="186"/>
      <c r="C183" s="188"/>
      <c r="D183" s="188"/>
      <c r="E183" s="188"/>
      <c r="F183" s="180"/>
      <c r="G183" s="180"/>
      <c r="H183" s="180"/>
      <c r="I183" s="180"/>
      <c r="J183" s="180"/>
      <c r="K183" s="180"/>
      <c r="L183" s="180"/>
      <c r="M183" s="176"/>
      <c r="N183" s="178"/>
    </row>
    <row r="184" spans="1:14" hidden="1">
      <c r="A184" s="173"/>
      <c r="B184" s="189"/>
      <c r="C184" s="190"/>
      <c r="D184" s="190"/>
      <c r="E184" s="190"/>
      <c r="F184" s="181"/>
      <c r="G184" s="181"/>
      <c r="H184" s="181"/>
      <c r="I184" s="181"/>
      <c r="J184" s="181"/>
      <c r="K184" s="181"/>
      <c r="L184" s="181"/>
      <c r="M184" s="182"/>
      <c r="N184" s="183"/>
    </row>
    <row r="185" spans="1:14" hidden="1">
      <c r="A185" s="173"/>
      <c r="B185" s="185"/>
      <c r="C185" s="187"/>
      <c r="D185" s="187"/>
      <c r="E185" s="187"/>
      <c r="F185" s="179">
        <v>0</v>
      </c>
      <c r="G185" s="179">
        <v>0</v>
      </c>
      <c r="H185" s="179">
        <v>0</v>
      </c>
      <c r="I185" s="179">
        <v>0</v>
      </c>
      <c r="J185" s="179">
        <v>0</v>
      </c>
      <c r="K185" s="179">
        <v>0</v>
      </c>
      <c r="L185" s="179">
        <v>0</v>
      </c>
      <c r="M185" s="175">
        <f t="shared" ref="M185" si="59">AVERAGE(F185:L187)</f>
        <v>0</v>
      </c>
      <c r="N185" s="177"/>
    </row>
    <row r="186" spans="1:14" hidden="1">
      <c r="A186" s="173"/>
      <c r="B186" s="186"/>
      <c r="C186" s="188"/>
      <c r="D186" s="188"/>
      <c r="E186" s="188"/>
      <c r="F186" s="180"/>
      <c r="G186" s="180"/>
      <c r="H186" s="180"/>
      <c r="I186" s="180"/>
      <c r="J186" s="180"/>
      <c r="K186" s="180"/>
      <c r="L186" s="180"/>
      <c r="M186" s="176"/>
      <c r="N186" s="178"/>
    </row>
    <row r="187" spans="1:14" hidden="1">
      <c r="A187" s="184"/>
      <c r="B187" s="186"/>
      <c r="C187" s="188"/>
      <c r="D187" s="188"/>
      <c r="E187" s="188"/>
      <c r="F187" s="180"/>
      <c r="G187" s="180"/>
      <c r="H187" s="180"/>
      <c r="I187" s="180"/>
      <c r="J187" s="180"/>
      <c r="K187" s="180"/>
      <c r="L187" s="180"/>
      <c r="M187" s="176"/>
      <c r="N187" s="178"/>
    </row>
    <row r="188" spans="1:14" hidden="1">
      <c r="A188" s="173"/>
      <c r="B188" s="174"/>
      <c r="C188" s="174"/>
      <c r="D188" s="174"/>
      <c r="E188" s="174"/>
      <c r="F188" s="172">
        <v>0</v>
      </c>
      <c r="G188" s="172">
        <v>0</v>
      </c>
      <c r="H188" s="172">
        <v>0</v>
      </c>
      <c r="I188" s="172">
        <v>0</v>
      </c>
      <c r="J188" s="172">
        <v>0</v>
      </c>
      <c r="K188" s="172">
        <v>0</v>
      </c>
      <c r="L188" s="172">
        <v>0</v>
      </c>
      <c r="M188" s="170">
        <f t="shared" ref="M188" si="60">AVERAGE(F188:L190)</f>
        <v>0</v>
      </c>
      <c r="N188" s="171"/>
    </row>
    <row r="189" spans="1:14" hidden="1">
      <c r="A189" s="173"/>
      <c r="B189" s="174"/>
      <c r="C189" s="174"/>
      <c r="D189" s="174"/>
      <c r="E189" s="174"/>
      <c r="F189" s="172"/>
      <c r="G189" s="172"/>
      <c r="H189" s="172"/>
      <c r="I189" s="172"/>
      <c r="J189" s="172"/>
      <c r="K189" s="172"/>
      <c r="L189" s="172"/>
      <c r="M189" s="170"/>
      <c r="N189" s="171"/>
    </row>
    <row r="190" spans="1:14" hidden="1">
      <c r="A190" s="173"/>
      <c r="B190" s="174"/>
      <c r="C190" s="174"/>
      <c r="D190" s="174"/>
      <c r="E190" s="174"/>
      <c r="F190" s="172"/>
      <c r="G190" s="172"/>
      <c r="H190" s="172"/>
      <c r="I190" s="172"/>
      <c r="J190" s="172"/>
      <c r="K190" s="172"/>
      <c r="L190" s="172"/>
      <c r="M190" s="170"/>
      <c r="N190" s="171"/>
    </row>
    <row r="191" spans="1:14" hidden="1">
      <c r="A191" s="173"/>
      <c r="B191" s="174"/>
      <c r="C191" s="174"/>
      <c r="D191" s="174"/>
      <c r="E191" s="174"/>
      <c r="F191" s="172">
        <v>0</v>
      </c>
      <c r="G191" s="172">
        <v>0</v>
      </c>
      <c r="H191" s="172">
        <v>0</v>
      </c>
      <c r="I191" s="172">
        <v>0</v>
      </c>
      <c r="J191" s="172">
        <v>0</v>
      </c>
      <c r="K191" s="172">
        <v>0</v>
      </c>
      <c r="L191" s="172">
        <v>0</v>
      </c>
      <c r="M191" s="170">
        <f t="shared" ref="M191" si="61">AVERAGE(F191:L193)</f>
        <v>0</v>
      </c>
      <c r="N191" s="171"/>
    </row>
    <row r="192" spans="1:14" hidden="1">
      <c r="A192" s="173"/>
      <c r="B192" s="174"/>
      <c r="C192" s="174"/>
      <c r="D192" s="174"/>
      <c r="E192" s="174"/>
      <c r="F192" s="172"/>
      <c r="G192" s="172"/>
      <c r="H192" s="172"/>
      <c r="I192" s="172"/>
      <c r="J192" s="172"/>
      <c r="K192" s="172"/>
      <c r="L192" s="172"/>
      <c r="M192" s="170"/>
      <c r="N192" s="171"/>
    </row>
    <row r="193" spans="1:14" hidden="1">
      <c r="A193" s="173"/>
      <c r="B193" s="174"/>
      <c r="C193" s="174"/>
      <c r="D193" s="174"/>
      <c r="E193" s="174"/>
      <c r="F193" s="172"/>
      <c r="G193" s="172"/>
      <c r="H193" s="172"/>
      <c r="I193" s="172"/>
      <c r="J193" s="172"/>
      <c r="K193" s="172"/>
      <c r="L193" s="172"/>
      <c r="M193" s="170"/>
      <c r="N193" s="171"/>
    </row>
    <row r="194" spans="1:14" hidden="1">
      <c r="A194" s="173"/>
      <c r="B194" s="174"/>
      <c r="C194" s="174"/>
      <c r="D194" s="174"/>
      <c r="E194" s="174"/>
      <c r="F194" s="172">
        <v>0</v>
      </c>
      <c r="G194" s="172">
        <v>0</v>
      </c>
      <c r="H194" s="172">
        <v>0</v>
      </c>
      <c r="I194" s="172">
        <v>0</v>
      </c>
      <c r="J194" s="172">
        <v>0</v>
      </c>
      <c r="K194" s="172">
        <v>0</v>
      </c>
      <c r="L194" s="172">
        <v>0</v>
      </c>
      <c r="M194" s="170">
        <f t="shared" ref="M194" si="62">AVERAGE(F194:L196)</f>
        <v>0</v>
      </c>
      <c r="N194" s="171"/>
    </row>
    <row r="195" spans="1:14" hidden="1">
      <c r="A195" s="173"/>
      <c r="B195" s="174"/>
      <c r="C195" s="174"/>
      <c r="D195" s="174"/>
      <c r="E195" s="174"/>
      <c r="F195" s="172"/>
      <c r="G195" s="172"/>
      <c r="H195" s="172"/>
      <c r="I195" s="172"/>
      <c r="J195" s="172"/>
      <c r="K195" s="172"/>
      <c r="L195" s="172"/>
      <c r="M195" s="170"/>
      <c r="N195" s="171"/>
    </row>
    <row r="196" spans="1:14" hidden="1">
      <c r="A196" s="173"/>
      <c r="B196" s="174"/>
      <c r="C196" s="174"/>
      <c r="D196" s="174"/>
      <c r="E196" s="174"/>
      <c r="F196" s="172"/>
      <c r="G196" s="172"/>
      <c r="H196" s="172"/>
      <c r="I196" s="172"/>
      <c r="J196" s="172"/>
      <c r="K196" s="172"/>
      <c r="L196" s="172"/>
      <c r="M196" s="170"/>
      <c r="N196" s="171"/>
    </row>
    <row r="197" spans="1:14" hidden="1">
      <c r="A197" s="173"/>
      <c r="B197" s="174"/>
      <c r="C197" s="174"/>
      <c r="D197" s="174"/>
      <c r="E197" s="174"/>
      <c r="F197" s="172">
        <v>0</v>
      </c>
      <c r="G197" s="172">
        <v>0</v>
      </c>
      <c r="H197" s="172">
        <v>0</v>
      </c>
      <c r="I197" s="172">
        <v>0</v>
      </c>
      <c r="J197" s="172">
        <v>0</v>
      </c>
      <c r="K197" s="172">
        <v>0</v>
      </c>
      <c r="L197" s="172">
        <v>0</v>
      </c>
      <c r="M197" s="170">
        <f t="shared" ref="M197" si="63">AVERAGE(F197:L199)</f>
        <v>0</v>
      </c>
      <c r="N197" s="171"/>
    </row>
    <row r="198" spans="1:14" hidden="1">
      <c r="A198" s="173"/>
      <c r="B198" s="174"/>
      <c r="C198" s="174"/>
      <c r="D198" s="174"/>
      <c r="E198" s="174"/>
      <c r="F198" s="172"/>
      <c r="G198" s="172"/>
      <c r="H198" s="172"/>
      <c r="I198" s="172"/>
      <c r="J198" s="172"/>
      <c r="K198" s="172"/>
      <c r="L198" s="172"/>
      <c r="M198" s="170"/>
      <c r="N198" s="171"/>
    </row>
    <row r="199" spans="1:14" hidden="1">
      <c r="A199" s="173"/>
      <c r="B199" s="174"/>
      <c r="C199" s="174"/>
      <c r="D199" s="174"/>
      <c r="E199" s="174"/>
      <c r="F199" s="172"/>
      <c r="G199" s="172"/>
      <c r="H199" s="172"/>
      <c r="I199" s="172"/>
      <c r="J199" s="172"/>
      <c r="K199" s="172"/>
      <c r="L199" s="172"/>
      <c r="M199" s="170"/>
      <c r="N199" s="171"/>
    </row>
    <row r="200" spans="1:14" hidden="1">
      <c r="A200" s="173"/>
      <c r="B200" s="174"/>
      <c r="C200" s="174"/>
      <c r="D200" s="174"/>
      <c r="E200" s="174"/>
      <c r="F200" s="172">
        <v>0</v>
      </c>
      <c r="G200" s="172">
        <v>0</v>
      </c>
      <c r="H200" s="172">
        <v>0</v>
      </c>
      <c r="I200" s="172">
        <v>0</v>
      </c>
      <c r="J200" s="172">
        <v>0</v>
      </c>
      <c r="K200" s="172">
        <v>0</v>
      </c>
      <c r="L200" s="172">
        <v>0</v>
      </c>
      <c r="M200" s="170">
        <f t="shared" ref="M200" si="64">AVERAGE(F200:L202)</f>
        <v>0</v>
      </c>
      <c r="N200" s="171"/>
    </row>
    <row r="201" spans="1:14" hidden="1">
      <c r="A201" s="173"/>
      <c r="B201" s="174"/>
      <c r="C201" s="174"/>
      <c r="D201" s="174"/>
      <c r="E201" s="174"/>
      <c r="F201" s="172"/>
      <c r="G201" s="172"/>
      <c r="H201" s="172"/>
      <c r="I201" s="172"/>
      <c r="J201" s="172"/>
      <c r="K201" s="172"/>
      <c r="L201" s="172"/>
      <c r="M201" s="170"/>
      <c r="N201" s="171"/>
    </row>
    <row r="202" spans="1:14" hidden="1">
      <c r="A202" s="173"/>
      <c r="B202" s="174"/>
      <c r="C202" s="174"/>
      <c r="D202" s="174"/>
      <c r="E202" s="174"/>
      <c r="F202" s="172"/>
      <c r="G202" s="172"/>
      <c r="H202" s="172"/>
      <c r="I202" s="172"/>
      <c r="J202" s="172"/>
      <c r="K202" s="172"/>
      <c r="L202" s="172"/>
      <c r="M202" s="170"/>
      <c r="N202" s="171"/>
    </row>
    <row r="203" spans="1:14" hidden="1">
      <c r="A203" s="173"/>
      <c r="B203" s="174"/>
      <c r="C203" s="174"/>
      <c r="D203" s="174"/>
      <c r="E203" s="174"/>
      <c r="F203" s="172">
        <v>0</v>
      </c>
      <c r="G203" s="172">
        <v>0</v>
      </c>
      <c r="H203" s="172">
        <v>0</v>
      </c>
      <c r="I203" s="172">
        <v>0</v>
      </c>
      <c r="J203" s="172">
        <v>0</v>
      </c>
      <c r="K203" s="172">
        <v>0</v>
      </c>
      <c r="L203" s="172">
        <v>0</v>
      </c>
      <c r="M203" s="170">
        <f t="shared" ref="M203" si="65">AVERAGE(F203:L205)</f>
        <v>0</v>
      </c>
      <c r="N203" s="171"/>
    </row>
    <row r="204" spans="1:14" hidden="1">
      <c r="A204" s="173"/>
      <c r="B204" s="174"/>
      <c r="C204" s="174"/>
      <c r="D204" s="174"/>
      <c r="E204" s="174"/>
      <c r="F204" s="172"/>
      <c r="G204" s="172"/>
      <c r="H204" s="172"/>
      <c r="I204" s="172"/>
      <c r="J204" s="172"/>
      <c r="K204" s="172"/>
      <c r="L204" s="172"/>
      <c r="M204" s="170"/>
      <c r="N204" s="171"/>
    </row>
    <row r="205" spans="1:14" hidden="1">
      <c r="A205" s="173"/>
      <c r="B205" s="174"/>
      <c r="C205" s="174"/>
      <c r="D205" s="174"/>
      <c r="E205" s="174"/>
      <c r="F205" s="172"/>
      <c r="G205" s="172"/>
      <c r="H205" s="172"/>
      <c r="I205" s="172"/>
      <c r="J205" s="172"/>
      <c r="K205" s="172"/>
      <c r="L205" s="172"/>
      <c r="M205" s="170"/>
      <c r="N205" s="171"/>
    </row>
    <row r="206" spans="1:14" hidden="1">
      <c r="A206" s="173"/>
      <c r="B206" s="174"/>
      <c r="C206" s="174"/>
      <c r="D206" s="174"/>
      <c r="E206" s="174"/>
      <c r="F206" s="172">
        <v>0</v>
      </c>
      <c r="G206" s="172">
        <v>0</v>
      </c>
      <c r="H206" s="172">
        <v>0</v>
      </c>
      <c r="I206" s="172">
        <v>0</v>
      </c>
      <c r="J206" s="172">
        <v>0</v>
      </c>
      <c r="K206" s="172">
        <v>0</v>
      </c>
      <c r="L206" s="172">
        <v>0</v>
      </c>
      <c r="M206" s="170">
        <f t="shared" ref="M206" si="66">AVERAGE(F206:L208)</f>
        <v>0</v>
      </c>
      <c r="N206" s="171"/>
    </row>
    <row r="207" spans="1:14" hidden="1">
      <c r="A207" s="173"/>
      <c r="B207" s="174"/>
      <c r="C207" s="174"/>
      <c r="D207" s="174"/>
      <c r="E207" s="174"/>
      <c r="F207" s="172"/>
      <c r="G207" s="172"/>
      <c r="H207" s="172"/>
      <c r="I207" s="172"/>
      <c r="J207" s="172"/>
      <c r="K207" s="172"/>
      <c r="L207" s="172"/>
      <c r="M207" s="170"/>
      <c r="N207" s="171"/>
    </row>
    <row r="208" spans="1:14" hidden="1">
      <c r="A208" s="173"/>
      <c r="B208" s="174"/>
      <c r="C208" s="174"/>
      <c r="D208" s="174"/>
      <c r="E208" s="174"/>
      <c r="F208" s="172"/>
      <c r="G208" s="172"/>
      <c r="H208" s="172"/>
      <c r="I208" s="172"/>
      <c r="J208" s="172"/>
      <c r="K208" s="172"/>
      <c r="L208" s="172"/>
      <c r="M208" s="170"/>
      <c r="N208" s="171"/>
    </row>
    <row r="209" spans="1:14" hidden="1">
      <c r="A209" s="173"/>
      <c r="B209" s="174"/>
      <c r="C209" s="174"/>
      <c r="D209" s="174"/>
      <c r="E209" s="174"/>
      <c r="F209" s="172">
        <v>0</v>
      </c>
      <c r="G209" s="172">
        <v>0</v>
      </c>
      <c r="H209" s="172">
        <v>0</v>
      </c>
      <c r="I209" s="172">
        <v>0</v>
      </c>
      <c r="J209" s="172">
        <v>0</v>
      </c>
      <c r="K209" s="172">
        <v>0</v>
      </c>
      <c r="L209" s="172">
        <v>0</v>
      </c>
      <c r="M209" s="170">
        <f t="shared" ref="M209" si="67">AVERAGE(F209:L211)</f>
        <v>0</v>
      </c>
      <c r="N209" s="171"/>
    </row>
    <row r="210" spans="1:14" hidden="1">
      <c r="A210" s="173"/>
      <c r="B210" s="174"/>
      <c r="C210" s="174"/>
      <c r="D210" s="174"/>
      <c r="E210" s="174"/>
      <c r="F210" s="172"/>
      <c r="G210" s="172"/>
      <c r="H210" s="172"/>
      <c r="I210" s="172"/>
      <c r="J210" s="172"/>
      <c r="K210" s="172"/>
      <c r="L210" s="172"/>
      <c r="M210" s="170"/>
      <c r="N210" s="171"/>
    </row>
    <row r="211" spans="1:14" hidden="1">
      <c r="A211" s="173"/>
      <c r="B211" s="174"/>
      <c r="C211" s="174"/>
      <c r="D211" s="174"/>
      <c r="E211" s="174"/>
      <c r="F211" s="172"/>
      <c r="G211" s="172"/>
      <c r="H211" s="172"/>
      <c r="I211" s="172"/>
      <c r="J211" s="172"/>
      <c r="K211" s="172"/>
      <c r="L211" s="172"/>
      <c r="M211" s="170"/>
      <c r="N211" s="171"/>
    </row>
    <row r="212" spans="1:14" hidden="1">
      <c r="A212" s="173"/>
      <c r="B212" s="174"/>
      <c r="C212" s="174"/>
      <c r="D212" s="174"/>
      <c r="E212" s="174"/>
      <c r="F212" s="172">
        <v>0</v>
      </c>
      <c r="G212" s="172">
        <v>0</v>
      </c>
      <c r="H212" s="172">
        <v>0</v>
      </c>
      <c r="I212" s="172">
        <v>0</v>
      </c>
      <c r="J212" s="172">
        <v>0</v>
      </c>
      <c r="K212" s="172">
        <v>0</v>
      </c>
      <c r="L212" s="172">
        <v>0</v>
      </c>
      <c r="M212" s="170">
        <f t="shared" ref="M212" si="68">AVERAGE(F212:L214)</f>
        <v>0</v>
      </c>
      <c r="N212" s="171"/>
    </row>
    <row r="213" spans="1:14" hidden="1">
      <c r="A213" s="173"/>
      <c r="B213" s="174"/>
      <c r="C213" s="174"/>
      <c r="D213" s="174"/>
      <c r="E213" s="174"/>
      <c r="F213" s="172"/>
      <c r="G213" s="172"/>
      <c r="H213" s="172"/>
      <c r="I213" s="172"/>
      <c r="J213" s="172"/>
      <c r="K213" s="172"/>
      <c r="L213" s="172"/>
      <c r="M213" s="170"/>
      <c r="N213" s="171"/>
    </row>
    <row r="214" spans="1:14" hidden="1">
      <c r="A214" s="173"/>
      <c r="B214" s="174"/>
      <c r="C214" s="174"/>
      <c r="D214" s="174"/>
      <c r="E214" s="174"/>
      <c r="F214" s="172"/>
      <c r="G214" s="172"/>
      <c r="H214" s="172"/>
      <c r="I214" s="172"/>
      <c r="J214" s="172"/>
      <c r="K214" s="172"/>
      <c r="L214" s="172"/>
      <c r="M214" s="170"/>
      <c r="N214" s="171"/>
    </row>
    <row r="215" spans="1:14" hidden="1">
      <c r="A215" s="173"/>
      <c r="B215" s="174"/>
      <c r="C215" s="174"/>
      <c r="D215" s="174"/>
      <c r="E215" s="174"/>
      <c r="F215" s="172">
        <v>0</v>
      </c>
      <c r="G215" s="172">
        <v>0</v>
      </c>
      <c r="H215" s="172">
        <v>0</v>
      </c>
      <c r="I215" s="172">
        <v>0</v>
      </c>
      <c r="J215" s="172">
        <v>0</v>
      </c>
      <c r="K215" s="172">
        <v>0</v>
      </c>
      <c r="L215" s="172">
        <v>0</v>
      </c>
      <c r="M215" s="170">
        <f t="shared" ref="M215" si="69">AVERAGE(F215:L217)</f>
        <v>0</v>
      </c>
      <c r="N215" s="171"/>
    </row>
    <row r="216" spans="1:14" hidden="1">
      <c r="A216" s="173"/>
      <c r="B216" s="174"/>
      <c r="C216" s="174"/>
      <c r="D216" s="174"/>
      <c r="E216" s="174"/>
      <c r="F216" s="172"/>
      <c r="G216" s="172"/>
      <c r="H216" s="172"/>
      <c r="I216" s="172"/>
      <c r="J216" s="172"/>
      <c r="K216" s="172"/>
      <c r="L216" s="172"/>
      <c r="M216" s="170"/>
      <c r="N216" s="171"/>
    </row>
    <row r="217" spans="1:14" hidden="1">
      <c r="A217" s="173"/>
      <c r="B217" s="174"/>
      <c r="C217" s="174"/>
      <c r="D217" s="174"/>
      <c r="E217" s="174"/>
      <c r="F217" s="172"/>
      <c r="G217" s="172"/>
      <c r="H217" s="172"/>
      <c r="I217" s="172"/>
      <c r="J217" s="172"/>
      <c r="K217" s="172"/>
      <c r="L217" s="172"/>
      <c r="M217" s="170"/>
      <c r="N217" s="171"/>
    </row>
    <row r="218" spans="1:14" hidden="1">
      <c r="A218" s="173"/>
      <c r="B218" s="174"/>
      <c r="C218" s="174"/>
      <c r="D218" s="174"/>
      <c r="E218" s="174"/>
      <c r="F218" s="172">
        <v>0</v>
      </c>
      <c r="G218" s="172">
        <v>0</v>
      </c>
      <c r="H218" s="172">
        <v>0</v>
      </c>
      <c r="I218" s="172">
        <v>0</v>
      </c>
      <c r="J218" s="172">
        <v>0</v>
      </c>
      <c r="K218" s="172">
        <v>0</v>
      </c>
      <c r="L218" s="172">
        <v>0</v>
      </c>
      <c r="M218" s="170">
        <f t="shared" ref="M218" si="70">AVERAGE(F218:L220)</f>
        <v>0</v>
      </c>
      <c r="N218" s="171"/>
    </row>
    <row r="219" spans="1:14" hidden="1">
      <c r="A219" s="173"/>
      <c r="B219" s="174"/>
      <c r="C219" s="174"/>
      <c r="D219" s="174"/>
      <c r="E219" s="174"/>
      <c r="F219" s="172"/>
      <c r="G219" s="172"/>
      <c r="H219" s="172"/>
      <c r="I219" s="172"/>
      <c r="J219" s="172"/>
      <c r="K219" s="172"/>
      <c r="L219" s="172"/>
      <c r="M219" s="170"/>
      <c r="N219" s="171"/>
    </row>
    <row r="220" spans="1:14" hidden="1">
      <c r="A220" s="173"/>
      <c r="B220" s="174"/>
      <c r="C220" s="174"/>
      <c r="D220" s="174"/>
      <c r="E220" s="174"/>
      <c r="F220" s="172"/>
      <c r="G220" s="172"/>
      <c r="H220" s="172"/>
      <c r="I220" s="172"/>
      <c r="J220" s="172"/>
      <c r="K220" s="172"/>
      <c r="L220" s="172"/>
      <c r="M220" s="170"/>
      <c r="N220" s="171"/>
    </row>
    <row r="221" spans="1:14" hidden="1">
      <c r="A221" s="173"/>
      <c r="B221" s="174"/>
      <c r="C221" s="174"/>
      <c r="D221" s="174"/>
      <c r="E221" s="174"/>
      <c r="F221" s="172">
        <v>0</v>
      </c>
      <c r="G221" s="172">
        <v>0</v>
      </c>
      <c r="H221" s="172">
        <v>0</v>
      </c>
      <c r="I221" s="172">
        <v>0</v>
      </c>
      <c r="J221" s="172">
        <v>0</v>
      </c>
      <c r="K221" s="172">
        <v>0</v>
      </c>
      <c r="L221" s="172">
        <v>0</v>
      </c>
      <c r="M221" s="170">
        <f t="shared" ref="M221" si="71">AVERAGE(F221:L223)</f>
        <v>0</v>
      </c>
      <c r="N221" s="171"/>
    </row>
    <row r="222" spans="1:14" hidden="1">
      <c r="A222" s="173"/>
      <c r="B222" s="174"/>
      <c r="C222" s="174"/>
      <c r="D222" s="174"/>
      <c r="E222" s="174"/>
      <c r="F222" s="172"/>
      <c r="G222" s="172"/>
      <c r="H222" s="172"/>
      <c r="I222" s="172"/>
      <c r="J222" s="172"/>
      <c r="K222" s="172"/>
      <c r="L222" s="172"/>
      <c r="M222" s="170"/>
      <c r="N222" s="171"/>
    </row>
    <row r="223" spans="1:14" hidden="1">
      <c r="A223" s="173"/>
      <c r="B223" s="174"/>
      <c r="C223" s="174"/>
      <c r="D223" s="174"/>
      <c r="E223" s="174"/>
      <c r="F223" s="172"/>
      <c r="G223" s="172"/>
      <c r="H223" s="172"/>
      <c r="I223" s="172"/>
      <c r="J223" s="172"/>
      <c r="K223" s="172"/>
      <c r="L223" s="172"/>
      <c r="M223" s="170"/>
      <c r="N223" s="171"/>
    </row>
    <row r="224" spans="1:14" hidden="1">
      <c r="A224" s="173"/>
      <c r="B224" s="174"/>
      <c r="C224" s="174"/>
      <c r="D224" s="174"/>
      <c r="E224" s="174"/>
      <c r="F224" s="172">
        <v>0</v>
      </c>
      <c r="G224" s="172">
        <v>0</v>
      </c>
      <c r="H224" s="172">
        <v>0</v>
      </c>
      <c r="I224" s="172">
        <v>0</v>
      </c>
      <c r="J224" s="172">
        <v>0</v>
      </c>
      <c r="K224" s="172">
        <v>0</v>
      </c>
      <c r="L224" s="172">
        <v>0</v>
      </c>
      <c r="M224" s="170">
        <f t="shared" ref="M224" si="72">AVERAGE(F224:L226)</f>
        <v>0</v>
      </c>
      <c r="N224" s="171"/>
    </row>
    <row r="225" spans="1:14" hidden="1">
      <c r="A225" s="173"/>
      <c r="B225" s="174"/>
      <c r="C225" s="174"/>
      <c r="D225" s="174"/>
      <c r="E225" s="174"/>
      <c r="F225" s="172"/>
      <c r="G225" s="172"/>
      <c r="H225" s="172"/>
      <c r="I225" s="172"/>
      <c r="J225" s="172"/>
      <c r="K225" s="172"/>
      <c r="L225" s="172"/>
      <c r="M225" s="170"/>
      <c r="N225" s="171"/>
    </row>
    <row r="226" spans="1:14" hidden="1">
      <c r="A226" s="173"/>
      <c r="B226" s="174"/>
      <c r="C226" s="174"/>
      <c r="D226" s="174"/>
      <c r="E226" s="174"/>
      <c r="F226" s="172"/>
      <c r="G226" s="172"/>
      <c r="H226" s="172"/>
      <c r="I226" s="172"/>
      <c r="J226" s="172"/>
      <c r="K226" s="172"/>
      <c r="L226" s="172"/>
      <c r="M226" s="170"/>
      <c r="N226" s="171"/>
    </row>
    <row r="227" spans="1:14" hidden="1">
      <c r="A227" s="173"/>
      <c r="B227" s="174"/>
      <c r="C227" s="174"/>
      <c r="D227" s="174"/>
      <c r="E227" s="174"/>
      <c r="F227" s="172">
        <v>0</v>
      </c>
      <c r="G227" s="172">
        <v>0</v>
      </c>
      <c r="H227" s="172">
        <v>0</v>
      </c>
      <c r="I227" s="172">
        <v>0</v>
      </c>
      <c r="J227" s="172">
        <v>0</v>
      </c>
      <c r="K227" s="172">
        <v>0</v>
      </c>
      <c r="L227" s="172">
        <v>0</v>
      </c>
      <c r="M227" s="170">
        <f t="shared" ref="M227" si="73">AVERAGE(F227:L229)</f>
        <v>0</v>
      </c>
      <c r="N227" s="171"/>
    </row>
    <row r="228" spans="1:14" hidden="1">
      <c r="A228" s="173"/>
      <c r="B228" s="174"/>
      <c r="C228" s="174"/>
      <c r="D228" s="174"/>
      <c r="E228" s="174"/>
      <c r="F228" s="172"/>
      <c r="G228" s="172"/>
      <c r="H228" s="172"/>
      <c r="I228" s="172"/>
      <c r="J228" s="172"/>
      <c r="K228" s="172"/>
      <c r="L228" s="172"/>
      <c r="M228" s="170"/>
      <c r="N228" s="171"/>
    </row>
    <row r="229" spans="1:14" hidden="1">
      <c r="A229" s="173"/>
      <c r="B229" s="174"/>
      <c r="C229" s="174"/>
      <c r="D229" s="174"/>
      <c r="E229" s="174"/>
      <c r="F229" s="172"/>
      <c r="G229" s="172"/>
      <c r="H229" s="172"/>
      <c r="I229" s="172"/>
      <c r="J229" s="172"/>
      <c r="K229" s="172"/>
      <c r="L229" s="172"/>
      <c r="M229" s="170"/>
      <c r="N229" s="171"/>
    </row>
    <row r="230" spans="1:14" hidden="1">
      <c r="A230" s="173"/>
      <c r="B230" s="174"/>
      <c r="C230" s="174"/>
      <c r="D230" s="174"/>
      <c r="E230" s="174"/>
      <c r="F230" s="172">
        <v>0</v>
      </c>
      <c r="G230" s="172">
        <v>0</v>
      </c>
      <c r="H230" s="172">
        <v>0</v>
      </c>
      <c r="I230" s="172">
        <v>0</v>
      </c>
      <c r="J230" s="172">
        <v>0</v>
      </c>
      <c r="K230" s="172">
        <v>0</v>
      </c>
      <c r="L230" s="172">
        <v>0</v>
      </c>
      <c r="M230" s="170">
        <f t="shared" ref="M230" si="74">AVERAGE(F230:L232)</f>
        <v>0</v>
      </c>
      <c r="N230" s="171"/>
    </row>
    <row r="231" spans="1:14" hidden="1">
      <c r="A231" s="173"/>
      <c r="B231" s="174"/>
      <c r="C231" s="174"/>
      <c r="D231" s="174"/>
      <c r="E231" s="174"/>
      <c r="F231" s="172"/>
      <c r="G231" s="172"/>
      <c r="H231" s="172"/>
      <c r="I231" s="172"/>
      <c r="J231" s="172"/>
      <c r="K231" s="172"/>
      <c r="L231" s="172"/>
      <c r="M231" s="170"/>
      <c r="N231" s="171"/>
    </row>
    <row r="232" spans="1:14" hidden="1">
      <c r="A232" s="173"/>
      <c r="B232" s="174"/>
      <c r="C232" s="174"/>
      <c r="D232" s="174"/>
      <c r="E232" s="174"/>
      <c r="F232" s="172"/>
      <c r="G232" s="172"/>
      <c r="H232" s="172"/>
      <c r="I232" s="172"/>
      <c r="J232" s="172"/>
      <c r="K232" s="172"/>
      <c r="L232" s="172"/>
      <c r="M232" s="170"/>
      <c r="N232" s="171"/>
    </row>
    <row r="233" spans="1:14" hidden="1">
      <c r="A233" s="173"/>
      <c r="B233" s="174"/>
      <c r="C233" s="174"/>
      <c r="D233" s="174"/>
      <c r="E233" s="174"/>
      <c r="F233" s="172">
        <v>0</v>
      </c>
      <c r="G233" s="172">
        <v>0</v>
      </c>
      <c r="H233" s="172">
        <v>0</v>
      </c>
      <c r="I233" s="172">
        <v>0</v>
      </c>
      <c r="J233" s="172">
        <v>0</v>
      </c>
      <c r="K233" s="172">
        <v>0</v>
      </c>
      <c r="L233" s="172">
        <v>0</v>
      </c>
      <c r="M233" s="170">
        <f t="shared" ref="M233" si="75">AVERAGE(F233:L235)</f>
        <v>0</v>
      </c>
      <c r="N233" s="171"/>
    </row>
    <row r="234" spans="1:14" hidden="1">
      <c r="A234" s="173"/>
      <c r="B234" s="174"/>
      <c r="C234" s="174"/>
      <c r="D234" s="174"/>
      <c r="E234" s="174"/>
      <c r="F234" s="172"/>
      <c r="G234" s="172"/>
      <c r="H234" s="172"/>
      <c r="I234" s="172"/>
      <c r="J234" s="172"/>
      <c r="K234" s="172"/>
      <c r="L234" s="172"/>
      <c r="M234" s="170"/>
      <c r="N234" s="171"/>
    </row>
    <row r="235" spans="1:14" hidden="1">
      <c r="A235" s="173"/>
      <c r="B235" s="174"/>
      <c r="C235" s="174"/>
      <c r="D235" s="174"/>
      <c r="E235" s="174"/>
      <c r="F235" s="172"/>
      <c r="G235" s="172"/>
      <c r="H235" s="172"/>
      <c r="I235" s="172"/>
      <c r="J235" s="172"/>
      <c r="K235" s="172"/>
      <c r="L235" s="172"/>
      <c r="M235" s="170"/>
      <c r="N235" s="171"/>
    </row>
    <row r="236" spans="1:14" hidden="1">
      <c r="A236" s="173"/>
      <c r="B236" s="174"/>
      <c r="C236" s="174"/>
      <c r="D236" s="174"/>
      <c r="E236" s="174"/>
      <c r="F236" s="172">
        <v>0</v>
      </c>
      <c r="G236" s="172">
        <v>0</v>
      </c>
      <c r="H236" s="172">
        <v>0</v>
      </c>
      <c r="I236" s="172">
        <v>0</v>
      </c>
      <c r="J236" s="172">
        <v>0</v>
      </c>
      <c r="K236" s="172">
        <v>0</v>
      </c>
      <c r="L236" s="172">
        <v>0</v>
      </c>
      <c r="M236" s="170">
        <f t="shared" ref="M236" si="76">AVERAGE(F236:L238)</f>
        <v>0</v>
      </c>
      <c r="N236" s="171"/>
    </row>
    <row r="237" spans="1:14" hidden="1">
      <c r="A237" s="173"/>
      <c r="B237" s="174"/>
      <c r="C237" s="174"/>
      <c r="D237" s="174"/>
      <c r="E237" s="174"/>
      <c r="F237" s="172"/>
      <c r="G237" s="172"/>
      <c r="H237" s="172"/>
      <c r="I237" s="172"/>
      <c r="J237" s="172"/>
      <c r="K237" s="172"/>
      <c r="L237" s="172"/>
      <c r="M237" s="170"/>
      <c r="N237" s="171"/>
    </row>
    <row r="238" spans="1:14" hidden="1">
      <c r="A238" s="173"/>
      <c r="B238" s="174"/>
      <c r="C238" s="174"/>
      <c r="D238" s="174"/>
      <c r="E238" s="174"/>
      <c r="F238" s="172"/>
      <c r="G238" s="172"/>
      <c r="H238" s="172"/>
      <c r="I238" s="172"/>
      <c r="J238" s="172"/>
      <c r="K238" s="172"/>
      <c r="L238" s="172"/>
      <c r="M238" s="170"/>
      <c r="N238" s="171"/>
    </row>
    <row r="239" spans="1:14" hidden="1">
      <c r="A239" s="173"/>
      <c r="B239" s="174"/>
      <c r="C239" s="174"/>
      <c r="D239" s="174"/>
      <c r="E239" s="174"/>
      <c r="F239" s="172">
        <v>0</v>
      </c>
      <c r="G239" s="172">
        <v>0</v>
      </c>
      <c r="H239" s="172">
        <v>0</v>
      </c>
      <c r="I239" s="172">
        <v>0</v>
      </c>
      <c r="J239" s="172">
        <v>0</v>
      </c>
      <c r="K239" s="172">
        <v>0</v>
      </c>
      <c r="L239" s="172">
        <v>0</v>
      </c>
      <c r="M239" s="170">
        <f t="shared" ref="M239" si="77">AVERAGE(F239:L241)</f>
        <v>0</v>
      </c>
      <c r="N239" s="171"/>
    </row>
    <row r="240" spans="1:14" hidden="1">
      <c r="A240" s="173"/>
      <c r="B240" s="174"/>
      <c r="C240" s="174"/>
      <c r="D240" s="174"/>
      <c r="E240" s="174"/>
      <c r="F240" s="172"/>
      <c r="G240" s="172"/>
      <c r="H240" s="172"/>
      <c r="I240" s="172"/>
      <c r="J240" s="172"/>
      <c r="K240" s="172"/>
      <c r="L240" s="172"/>
      <c r="M240" s="170"/>
      <c r="N240" s="171"/>
    </row>
    <row r="241" spans="1:14" hidden="1">
      <c r="A241" s="173"/>
      <c r="B241" s="174"/>
      <c r="C241" s="174"/>
      <c r="D241" s="174"/>
      <c r="E241" s="174"/>
      <c r="F241" s="172"/>
      <c r="G241" s="172"/>
      <c r="H241" s="172"/>
      <c r="I241" s="172"/>
      <c r="J241" s="172"/>
      <c r="K241" s="172"/>
      <c r="L241" s="172"/>
      <c r="M241" s="170"/>
      <c r="N241" s="171"/>
    </row>
    <row r="242" spans="1:14" hidden="1">
      <c r="A242" s="173"/>
      <c r="B242" s="174"/>
      <c r="C242" s="174"/>
      <c r="D242" s="174"/>
      <c r="E242" s="174"/>
      <c r="F242" s="172">
        <v>0</v>
      </c>
      <c r="G242" s="172">
        <v>0</v>
      </c>
      <c r="H242" s="172">
        <v>0</v>
      </c>
      <c r="I242" s="172">
        <v>0</v>
      </c>
      <c r="J242" s="172">
        <v>0</v>
      </c>
      <c r="K242" s="172">
        <v>0</v>
      </c>
      <c r="L242" s="172">
        <v>0</v>
      </c>
      <c r="M242" s="170">
        <f t="shared" ref="M242" si="78">AVERAGE(F242:L244)</f>
        <v>0</v>
      </c>
      <c r="N242" s="171"/>
    </row>
    <row r="243" spans="1:14" hidden="1">
      <c r="A243" s="173"/>
      <c r="B243" s="174"/>
      <c r="C243" s="174"/>
      <c r="D243" s="174"/>
      <c r="E243" s="174"/>
      <c r="F243" s="172"/>
      <c r="G243" s="172"/>
      <c r="H243" s="172"/>
      <c r="I243" s="172"/>
      <c r="J243" s="172"/>
      <c r="K243" s="172"/>
      <c r="L243" s="172"/>
      <c r="M243" s="170"/>
      <c r="N243" s="171"/>
    </row>
    <row r="244" spans="1:14" hidden="1">
      <c r="A244" s="173"/>
      <c r="B244" s="174"/>
      <c r="C244" s="174"/>
      <c r="D244" s="174"/>
      <c r="E244" s="174"/>
      <c r="F244" s="172"/>
      <c r="G244" s="172"/>
      <c r="H244" s="172"/>
      <c r="I244" s="172"/>
      <c r="J244" s="172"/>
      <c r="K244" s="172"/>
      <c r="L244" s="172"/>
      <c r="M244" s="170"/>
      <c r="N244" s="171"/>
    </row>
    <row r="245" spans="1:14" hidden="1">
      <c r="A245" s="173"/>
      <c r="B245" s="174"/>
      <c r="C245" s="174"/>
      <c r="D245" s="174"/>
      <c r="E245" s="174"/>
      <c r="F245" s="172">
        <v>0</v>
      </c>
      <c r="G245" s="172">
        <v>0</v>
      </c>
      <c r="H245" s="172">
        <v>0</v>
      </c>
      <c r="I245" s="172">
        <v>0</v>
      </c>
      <c r="J245" s="172">
        <v>0</v>
      </c>
      <c r="K245" s="172">
        <v>0</v>
      </c>
      <c r="L245" s="172">
        <v>0</v>
      </c>
      <c r="M245" s="170">
        <f t="shared" ref="M245" si="79">AVERAGE(F245:L247)</f>
        <v>0</v>
      </c>
      <c r="N245" s="171"/>
    </row>
    <row r="246" spans="1:14" hidden="1">
      <c r="A246" s="173"/>
      <c r="B246" s="174"/>
      <c r="C246" s="174"/>
      <c r="D246" s="174"/>
      <c r="E246" s="174"/>
      <c r="F246" s="172"/>
      <c r="G246" s="172"/>
      <c r="H246" s="172"/>
      <c r="I246" s="172"/>
      <c r="J246" s="172"/>
      <c r="K246" s="172"/>
      <c r="L246" s="172"/>
      <c r="M246" s="170"/>
      <c r="N246" s="171"/>
    </row>
    <row r="247" spans="1:14" hidden="1">
      <c r="A247" s="173"/>
      <c r="B247" s="174"/>
      <c r="C247" s="174"/>
      <c r="D247" s="174"/>
      <c r="E247" s="174"/>
      <c r="F247" s="172"/>
      <c r="G247" s="172"/>
      <c r="H247" s="172"/>
      <c r="I247" s="172"/>
      <c r="J247" s="172"/>
      <c r="K247" s="172"/>
      <c r="L247" s="172"/>
      <c r="M247" s="170"/>
      <c r="N247" s="171"/>
    </row>
    <row r="248" spans="1:14" hidden="1">
      <c r="A248" s="173"/>
      <c r="B248" s="174"/>
      <c r="C248" s="174"/>
      <c r="D248" s="174"/>
      <c r="E248" s="174"/>
      <c r="F248" s="172">
        <v>0</v>
      </c>
      <c r="G248" s="172">
        <v>0</v>
      </c>
      <c r="H248" s="172">
        <v>0</v>
      </c>
      <c r="I248" s="172">
        <v>0</v>
      </c>
      <c r="J248" s="172">
        <v>0</v>
      </c>
      <c r="K248" s="172">
        <v>0</v>
      </c>
      <c r="L248" s="172">
        <v>5</v>
      </c>
      <c r="M248" s="170">
        <f t="shared" ref="M248" si="80">AVERAGE(F248:L250)</f>
        <v>0.7142857142857143</v>
      </c>
      <c r="N248" s="171"/>
    </row>
    <row r="249" spans="1:14" hidden="1">
      <c r="A249" s="173"/>
      <c r="B249" s="174"/>
      <c r="C249" s="174"/>
      <c r="D249" s="174"/>
      <c r="E249" s="174"/>
      <c r="F249" s="172"/>
      <c r="G249" s="172"/>
      <c r="H249" s="172"/>
      <c r="I249" s="172"/>
      <c r="J249" s="172"/>
      <c r="K249" s="172"/>
      <c r="L249" s="172"/>
      <c r="M249" s="170"/>
      <c r="N249" s="171"/>
    </row>
    <row r="250" spans="1:14" hidden="1">
      <c r="A250" s="173"/>
      <c r="B250" s="174"/>
      <c r="C250" s="174"/>
      <c r="D250" s="174"/>
      <c r="E250" s="174"/>
      <c r="F250" s="172"/>
      <c r="G250" s="172"/>
      <c r="H250" s="172"/>
      <c r="I250" s="172"/>
      <c r="J250" s="172"/>
      <c r="K250" s="172"/>
      <c r="L250" s="172"/>
      <c r="M250" s="170"/>
      <c r="N250" s="171"/>
    </row>
  </sheetData>
  <autoFilter ref="A2:M250" xr:uid="{056EC301-52F8-4B26-BE2B-A63499BADF67}">
    <filterColumn colId="1">
      <filters>
        <filter val="Eddy"/>
        <filter val="Elsa"/>
        <filter val="Tiffany"/>
      </filters>
    </filterColumn>
  </autoFilter>
  <mergeCells count="1158">
    <mergeCell ref="F131:F133"/>
    <mergeCell ref="G131:G133"/>
    <mergeCell ref="H131:H133"/>
    <mergeCell ref="I131:I133"/>
    <mergeCell ref="J131:J133"/>
    <mergeCell ref="K131:K133"/>
    <mergeCell ref="L131:L133"/>
    <mergeCell ref="D53:D55"/>
    <mergeCell ref="D56:D58"/>
    <mergeCell ref="E45:E46"/>
    <mergeCell ref="D77:D79"/>
    <mergeCell ref="A71:A73"/>
    <mergeCell ref="B71:B73"/>
    <mergeCell ref="D42:D44"/>
    <mergeCell ref="F128:F130"/>
    <mergeCell ref="G128:G130"/>
    <mergeCell ref="H128:H130"/>
    <mergeCell ref="I128:I130"/>
    <mergeCell ref="J128:J130"/>
    <mergeCell ref="K128:K130"/>
    <mergeCell ref="L128:L130"/>
    <mergeCell ref="G125:G127"/>
    <mergeCell ref="H125:H127"/>
    <mergeCell ref="I125:I127"/>
    <mergeCell ref="J125:J127"/>
    <mergeCell ref="K125:K127"/>
    <mergeCell ref="L125:L127"/>
    <mergeCell ref="C50:C52"/>
    <mergeCell ref="E50:E52"/>
    <mergeCell ref="L47:L49"/>
    <mergeCell ref="D45:D46"/>
    <mergeCell ref="D47:D49"/>
    <mergeCell ref="A42:A44"/>
    <mergeCell ref="B42:B44"/>
    <mergeCell ref="C42:C44"/>
    <mergeCell ref="E42:E44"/>
    <mergeCell ref="M3:M5"/>
    <mergeCell ref="A6:A8"/>
    <mergeCell ref="B6:B8"/>
    <mergeCell ref="C6:C8"/>
    <mergeCell ref="E6:E8"/>
    <mergeCell ref="F6:F8"/>
    <mergeCell ref="G6:G8"/>
    <mergeCell ref="H6:H8"/>
    <mergeCell ref="I6:I8"/>
    <mergeCell ref="J6:J8"/>
    <mergeCell ref="K6:K8"/>
    <mergeCell ref="L6:L8"/>
    <mergeCell ref="M6:M8"/>
    <mergeCell ref="L3:L5"/>
    <mergeCell ref="K9:K11"/>
    <mergeCell ref="A9:A11"/>
    <mergeCell ref="B9:B11"/>
    <mergeCell ref="C9:C11"/>
    <mergeCell ref="E9:E11"/>
    <mergeCell ref="F9:F11"/>
    <mergeCell ref="D9:D11"/>
    <mergeCell ref="D12:D14"/>
    <mergeCell ref="K15:K17"/>
    <mergeCell ref="L15:L17"/>
    <mergeCell ref="M15:M17"/>
    <mergeCell ref="A18:A20"/>
    <mergeCell ref="B18:B20"/>
    <mergeCell ref="C18:C20"/>
    <mergeCell ref="J1:L1"/>
    <mergeCell ref="H3:H5"/>
    <mergeCell ref="I3:I5"/>
    <mergeCell ref="J3:J5"/>
    <mergeCell ref="K3:K5"/>
    <mergeCell ref="H1:I1"/>
    <mergeCell ref="A3:A5"/>
    <mergeCell ref="B3:B5"/>
    <mergeCell ref="C3:C5"/>
    <mergeCell ref="E3:E5"/>
    <mergeCell ref="F3:F5"/>
    <mergeCell ref="G3:G5"/>
    <mergeCell ref="D3:D5"/>
    <mergeCell ref="D6:D8"/>
    <mergeCell ref="L9:L11"/>
    <mergeCell ref="M9:M11"/>
    <mergeCell ref="A12:A14"/>
    <mergeCell ref="B12:B14"/>
    <mergeCell ref="C12:C14"/>
    <mergeCell ref="E12:E14"/>
    <mergeCell ref="F12:F14"/>
    <mergeCell ref="G12:G14"/>
    <mergeCell ref="H12:H14"/>
    <mergeCell ref="I12:I14"/>
    <mergeCell ref="J12:J14"/>
    <mergeCell ref="K12:K14"/>
    <mergeCell ref="L12:L14"/>
    <mergeCell ref="M12:M14"/>
    <mergeCell ref="G9:G11"/>
    <mergeCell ref="H9:H11"/>
    <mergeCell ref="I9:I11"/>
    <mergeCell ref="J9:J11"/>
    <mergeCell ref="E18:E20"/>
    <mergeCell ref="F18:F20"/>
    <mergeCell ref="G18:G20"/>
    <mergeCell ref="H18:H20"/>
    <mergeCell ref="I18:I20"/>
    <mergeCell ref="J18:J20"/>
    <mergeCell ref="K18:K20"/>
    <mergeCell ref="L18:L20"/>
    <mergeCell ref="M18:M20"/>
    <mergeCell ref="F15:F17"/>
    <mergeCell ref="G15:G17"/>
    <mergeCell ref="H15:H17"/>
    <mergeCell ref="I15:I17"/>
    <mergeCell ref="J15:J17"/>
    <mergeCell ref="D15:D17"/>
    <mergeCell ref="D18:D20"/>
    <mergeCell ref="A15:A17"/>
    <mergeCell ref="B15:B17"/>
    <mergeCell ref="C15:C17"/>
    <mergeCell ref="E15:E17"/>
    <mergeCell ref="L21:L23"/>
    <mergeCell ref="M21:M23"/>
    <mergeCell ref="A24:A26"/>
    <mergeCell ref="B24:B26"/>
    <mergeCell ref="C24:C26"/>
    <mergeCell ref="E24:E26"/>
    <mergeCell ref="F24:F26"/>
    <mergeCell ref="G24:G26"/>
    <mergeCell ref="H24:H26"/>
    <mergeCell ref="I24:I26"/>
    <mergeCell ref="J24:J26"/>
    <mergeCell ref="K24:K26"/>
    <mergeCell ref="L24:L26"/>
    <mergeCell ref="M24:M26"/>
    <mergeCell ref="G21:G23"/>
    <mergeCell ref="H21:H23"/>
    <mergeCell ref="I21:I23"/>
    <mergeCell ref="J21:J23"/>
    <mergeCell ref="K21:K23"/>
    <mergeCell ref="A21:A23"/>
    <mergeCell ref="B21:B23"/>
    <mergeCell ref="C21:C23"/>
    <mergeCell ref="E21:E23"/>
    <mergeCell ref="F21:F23"/>
    <mergeCell ref="D21:D23"/>
    <mergeCell ref="D24:D26"/>
    <mergeCell ref="K27:K29"/>
    <mergeCell ref="L27:L29"/>
    <mergeCell ref="M27:M29"/>
    <mergeCell ref="A30:A32"/>
    <mergeCell ref="B30:B32"/>
    <mergeCell ref="C30:C32"/>
    <mergeCell ref="E30:E32"/>
    <mergeCell ref="F30:F32"/>
    <mergeCell ref="G30:G32"/>
    <mergeCell ref="H30:H32"/>
    <mergeCell ref="I30:I32"/>
    <mergeCell ref="J30:J32"/>
    <mergeCell ref="K30:K32"/>
    <mergeCell ref="L30:L32"/>
    <mergeCell ref="M30:M32"/>
    <mergeCell ref="F27:F29"/>
    <mergeCell ref="G27:G29"/>
    <mergeCell ref="H27:H29"/>
    <mergeCell ref="I27:I29"/>
    <mergeCell ref="J27:J29"/>
    <mergeCell ref="D27:D29"/>
    <mergeCell ref="D30:D32"/>
    <mergeCell ref="A27:A29"/>
    <mergeCell ref="B27:B29"/>
    <mergeCell ref="C27:C29"/>
    <mergeCell ref="E27:E29"/>
    <mergeCell ref="L33:L35"/>
    <mergeCell ref="M33:M35"/>
    <mergeCell ref="A36:A38"/>
    <mergeCell ref="B36:B38"/>
    <mergeCell ref="C36:C38"/>
    <mergeCell ref="E36:E38"/>
    <mergeCell ref="F36:F38"/>
    <mergeCell ref="G36:G38"/>
    <mergeCell ref="H36:H38"/>
    <mergeCell ref="I36:I38"/>
    <mergeCell ref="J36:J38"/>
    <mergeCell ref="K36:K38"/>
    <mergeCell ref="L36:L38"/>
    <mergeCell ref="M36:M38"/>
    <mergeCell ref="G33:G35"/>
    <mergeCell ref="H33:H35"/>
    <mergeCell ref="I33:I35"/>
    <mergeCell ref="J33:J35"/>
    <mergeCell ref="K33:K35"/>
    <mergeCell ref="A33:A35"/>
    <mergeCell ref="B33:B35"/>
    <mergeCell ref="C33:C35"/>
    <mergeCell ref="E33:E35"/>
    <mergeCell ref="F33:F35"/>
    <mergeCell ref="D33:D35"/>
    <mergeCell ref="D36:D38"/>
    <mergeCell ref="K45:K46"/>
    <mergeCell ref="A45:A46"/>
    <mergeCell ref="B45:B46"/>
    <mergeCell ref="C45:C46"/>
    <mergeCell ref="D39:D41"/>
    <mergeCell ref="J42:J44"/>
    <mergeCell ref="K42:K44"/>
    <mergeCell ref="F42:F44"/>
    <mergeCell ref="G42:G44"/>
    <mergeCell ref="H42:H44"/>
    <mergeCell ref="E65:E67"/>
    <mergeCell ref="F65:F67"/>
    <mergeCell ref="G65:G67"/>
    <mergeCell ref="A53:A55"/>
    <mergeCell ref="B53:B55"/>
    <mergeCell ref="C53:C55"/>
    <mergeCell ref="E53:E55"/>
    <mergeCell ref="F53:F55"/>
    <mergeCell ref="G53:G55"/>
    <mergeCell ref="H53:H55"/>
    <mergeCell ref="I53:I55"/>
    <mergeCell ref="J53:J55"/>
    <mergeCell ref="K53:K55"/>
    <mergeCell ref="A59:A61"/>
    <mergeCell ref="B59:B61"/>
    <mergeCell ref="F39:F41"/>
    <mergeCell ref="G39:G41"/>
    <mergeCell ref="H39:H41"/>
    <mergeCell ref="A39:A41"/>
    <mergeCell ref="B39:B41"/>
    <mergeCell ref="C39:C41"/>
    <mergeCell ref="E39:E41"/>
    <mergeCell ref="A68:A70"/>
    <mergeCell ref="I39:I41"/>
    <mergeCell ref="J39:J41"/>
    <mergeCell ref="A47:A49"/>
    <mergeCell ref="B47:B49"/>
    <mergeCell ref="C47:C49"/>
    <mergeCell ref="E47:E49"/>
    <mergeCell ref="F47:F49"/>
    <mergeCell ref="G47:G49"/>
    <mergeCell ref="H47:H49"/>
    <mergeCell ref="I47:I49"/>
    <mergeCell ref="J47:J49"/>
    <mergeCell ref="K47:K49"/>
    <mergeCell ref="A50:A52"/>
    <mergeCell ref="B50:B52"/>
    <mergeCell ref="M65:M67"/>
    <mergeCell ref="M53:M55"/>
    <mergeCell ref="D50:D52"/>
    <mergeCell ref="F50:F52"/>
    <mergeCell ref="G50:G52"/>
    <mergeCell ref="H50:H52"/>
    <mergeCell ref="I50:I52"/>
    <mergeCell ref="J50:J52"/>
    <mergeCell ref="L56:L58"/>
    <mergeCell ref="M56:M58"/>
    <mergeCell ref="L59:L61"/>
    <mergeCell ref="M59:M61"/>
    <mergeCell ref="L50:L52"/>
    <mergeCell ref="I42:I44"/>
    <mergeCell ref="G45:G46"/>
    <mergeCell ref="H45:H46"/>
    <mergeCell ref="I45:I46"/>
    <mergeCell ref="C59:C61"/>
    <mergeCell ref="E59:E61"/>
    <mergeCell ref="F59:F61"/>
    <mergeCell ref="D59:D61"/>
    <mergeCell ref="C65:C67"/>
    <mergeCell ref="A56:A58"/>
    <mergeCell ref="B56:B58"/>
    <mergeCell ref="C56:C58"/>
    <mergeCell ref="E56:E58"/>
    <mergeCell ref="F56:F58"/>
    <mergeCell ref="G56:G58"/>
    <mergeCell ref="H56:H58"/>
    <mergeCell ref="I56:I58"/>
    <mergeCell ref="J56:J58"/>
    <mergeCell ref="K56:K58"/>
    <mergeCell ref="K50:K52"/>
    <mergeCell ref="D65:D67"/>
    <mergeCell ref="A65:A67"/>
    <mergeCell ref="B65:B67"/>
    <mergeCell ref="N77:N79"/>
    <mergeCell ref="N39:N41"/>
    <mergeCell ref="N42:N44"/>
    <mergeCell ref="N45:N46"/>
    <mergeCell ref="N47:N49"/>
    <mergeCell ref="N50:N52"/>
    <mergeCell ref="F77:F79"/>
    <mergeCell ref="G77:G79"/>
    <mergeCell ref="H77:H79"/>
    <mergeCell ref="I77:I79"/>
    <mergeCell ref="J77:J79"/>
    <mergeCell ref="K77:K79"/>
    <mergeCell ref="L77:L79"/>
    <mergeCell ref="M77:M79"/>
    <mergeCell ref="G59:G61"/>
    <mergeCell ref="H59:H61"/>
    <mergeCell ref="I59:I61"/>
    <mergeCell ref="J59:J61"/>
    <mergeCell ref="K59:K61"/>
    <mergeCell ref="L53:L55"/>
    <mergeCell ref="L42:L44"/>
    <mergeCell ref="M42:M44"/>
    <mergeCell ref="M47:M49"/>
    <mergeCell ref="H65:H67"/>
    <mergeCell ref="I65:I67"/>
    <mergeCell ref="J65:J67"/>
    <mergeCell ref="K65:K67"/>
    <mergeCell ref="L65:L67"/>
    <mergeCell ref="N65:N67"/>
    <mergeCell ref="J71:J73"/>
    <mergeCell ref="F45:F46"/>
    <mergeCell ref="J45:J46"/>
    <mergeCell ref="J83:J85"/>
    <mergeCell ref="K83:K85"/>
    <mergeCell ref="L83:L85"/>
    <mergeCell ref="M83:M85"/>
    <mergeCell ref="N3:N5"/>
    <mergeCell ref="N6:N8"/>
    <mergeCell ref="N9:N11"/>
    <mergeCell ref="N12:N14"/>
    <mergeCell ref="N15:N17"/>
    <mergeCell ref="N18:N20"/>
    <mergeCell ref="N21:N23"/>
    <mergeCell ref="N24:N26"/>
    <mergeCell ref="N27:N29"/>
    <mergeCell ref="N30:N32"/>
    <mergeCell ref="N33:N35"/>
    <mergeCell ref="N36:N38"/>
    <mergeCell ref="M50:M52"/>
    <mergeCell ref="L45:L46"/>
    <mergeCell ref="M45:M46"/>
    <mergeCell ref="K39:K41"/>
    <mergeCell ref="L39:L41"/>
    <mergeCell ref="M39:M41"/>
    <mergeCell ref="N80:N82"/>
    <mergeCell ref="N83:N85"/>
    <mergeCell ref="M71:M73"/>
    <mergeCell ref="N71:N73"/>
    <mergeCell ref="M68:M70"/>
    <mergeCell ref="N68:N70"/>
    <mergeCell ref="M80:M82"/>
    <mergeCell ref="N53:N55"/>
    <mergeCell ref="N56:N58"/>
    <mergeCell ref="N59:N61"/>
    <mergeCell ref="F80:F82"/>
    <mergeCell ref="G80:G82"/>
    <mergeCell ref="H80:H82"/>
    <mergeCell ref="I80:I82"/>
    <mergeCell ref="A62:A64"/>
    <mergeCell ref="B62:B64"/>
    <mergeCell ref="C62:C64"/>
    <mergeCell ref="D62:D64"/>
    <mergeCell ref="E62:E64"/>
    <mergeCell ref="F62:F64"/>
    <mergeCell ref="M62:M64"/>
    <mergeCell ref="N62:N64"/>
    <mergeCell ref="E83:E85"/>
    <mergeCell ref="F83:F85"/>
    <mergeCell ref="G83:G85"/>
    <mergeCell ref="H83:H85"/>
    <mergeCell ref="I83:I85"/>
    <mergeCell ref="D80:D82"/>
    <mergeCell ref="D83:D85"/>
    <mergeCell ref="A83:A85"/>
    <mergeCell ref="B83:B85"/>
    <mergeCell ref="C83:C85"/>
    <mergeCell ref="A77:A79"/>
    <mergeCell ref="B77:B79"/>
    <mergeCell ref="F71:F73"/>
    <mergeCell ref="G71:G73"/>
    <mergeCell ref="H71:H73"/>
    <mergeCell ref="I71:I73"/>
    <mergeCell ref="K80:K82"/>
    <mergeCell ref="L80:L82"/>
    <mergeCell ref="K71:K73"/>
    <mergeCell ref="L71:L73"/>
    <mergeCell ref="A86:A88"/>
    <mergeCell ref="B86:B88"/>
    <mergeCell ref="C86:C88"/>
    <mergeCell ref="D86:D88"/>
    <mergeCell ref="E86:E88"/>
    <mergeCell ref="F86:F88"/>
    <mergeCell ref="G86:G88"/>
    <mergeCell ref="H86:H88"/>
    <mergeCell ref="I86:I88"/>
    <mergeCell ref="J86:J88"/>
    <mergeCell ref="K86:K88"/>
    <mergeCell ref="L86:L88"/>
    <mergeCell ref="B68:B70"/>
    <mergeCell ref="C68:C70"/>
    <mergeCell ref="D68:D70"/>
    <mergeCell ref="E68:E70"/>
    <mergeCell ref="F68:F70"/>
    <mergeCell ref="G68:G70"/>
    <mergeCell ref="H68:H70"/>
    <mergeCell ref="I68:I70"/>
    <mergeCell ref="J68:J70"/>
    <mergeCell ref="K68:K70"/>
    <mergeCell ref="L68:L70"/>
    <mergeCell ref="C71:C73"/>
    <mergeCell ref="D71:D73"/>
    <mergeCell ref="E71:E73"/>
    <mergeCell ref="B80:B82"/>
    <mergeCell ref="C80:C82"/>
    <mergeCell ref="E80:E82"/>
    <mergeCell ref="C77:C79"/>
    <mergeCell ref="E77:E79"/>
    <mergeCell ref="J80:J82"/>
    <mergeCell ref="A80:A82"/>
    <mergeCell ref="J98:J100"/>
    <mergeCell ref="A98:A100"/>
    <mergeCell ref="B98:B100"/>
    <mergeCell ref="C98:C100"/>
    <mergeCell ref="D98:D100"/>
    <mergeCell ref="E98:E100"/>
    <mergeCell ref="M86:M88"/>
    <mergeCell ref="N86:N88"/>
    <mergeCell ref="A89:A91"/>
    <mergeCell ref="B89:B91"/>
    <mergeCell ref="C89:C91"/>
    <mergeCell ref="D89:D91"/>
    <mergeCell ref="E89:E91"/>
    <mergeCell ref="F89:F91"/>
    <mergeCell ref="G89:G91"/>
    <mergeCell ref="H89:H91"/>
    <mergeCell ref="I89:I91"/>
    <mergeCell ref="J89:J91"/>
    <mergeCell ref="K89:K91"/>
    <mergeCell ref="L89:L91"/>
    <mergeCell ref="M89:M91"/>
    <mergeCell ref="N89:N91"/>
    <mergeCell ref="M92:M94"/>
    <mergeCell ref="N92:N94"/>
    <mergeCell ref="A95:A97"/>
    <mergeCell ref="B95:B97"/>
    <mergeCell ref="C95:C97"/>
    <mergeCell ref="D95:D97"/>
    <mergeCell ref="E95:E97"/>
    <mergeCell ref="F95:F97"/>
    <mergeCell ref="G95:G97"/>
    <mergeCell ref="H95:H97"/>
    <mergeCell ref="I95:I97"/>
    <mergeCell ref="J95:J97"/>
    <mergeCell ref="K95:K97"/>
    <mergeCell ref="L95:L97"/>
    <mergeCell ref="M95:M97"/>
    <mergeCell ref="N95:N97"/>
    <mergeCell ref="M101:M103"/>
    <mergeCell ref="N101:N103"/>
    <mergeCell ref="A92:A94"/>
    <mergeCell ref="B92:B94"/>
    <mergeCell ref="C92:C94"/>
    <mergeCell ref="D92:D94"/>
    <mergeCell ref="E92:E94"/>
    <mergeCell ref="F92:F94"/>
    <mergeCell ref="G92:G94"/>
    <mergeCell ref="H92:H94"/>
    <mergeCell ref="I92:I94"/>
    <mergeCell ref="J92:J94"/>
    <mergeCell ref="K92:K94"/>
    <mergeCell ref="L92:L94"/>
    <mergeCell ref="F98:F100"/>
    <mergeCell ref="G98:G100"/>
    <mergeCell ref="A104:A106"/>
    <mergeCell ref="B104:B106"/>
    <mergeCell ref="C104:C106"/>
    <mergeCell ref="D104:D106"/>
    <mergeCell ref="E104:E106"/>
    <mergeCell ref="F104:F106"/>
    <mergeCell ref="G104:G106"/>
    <mergeCell ref="H104:H106"/>
    <mergeCell ref="I104:I106"/>
    <mergeCell ref="J104:J106"/>
    <mergeCell ref="K104:K106"/>
    <mergeCell ref="L104:L106"/>
    <mergeCell ref="M104:M106"/>
    <mergeCell ref="N104:N106"/>
    <mergeCell ref="K98:K100"/>
    <mergeCell ref="L98:L100"/>
    <mergeCell ref="M98:M100"/>
    <mergeCell ref="N98:N100"/>
    <mergeCell ref="A101:A103"/>
    <mergeCell ref="B101:B103"/>
    <mergeCell ref="C101:C103"/>
    <mergeCell ref="D101:D103"/>
    <mergeCell ref="E101:E103"/>
    <mergeCell ref="F101:F103"/>
    <mergeCell ref="G101:G103"/>
    <mergeCell ref="H101:H103"/>
    <mergeCell ref="I101:I103"/>
    <mergeCell ref="J101:J103"/>
    <mergeCell ref="K101:K103"/>
    <mergeCell ref="L101:L103"/>
    <mergeCell ref="H98:H100"/>
    <mergeCell ref="I98:I100"/>
    <mergeCell ref="K107:K109"/>
    <mergeCell ref="L107:L109"/>
    <mergeCell ref="M107:M109"/>
    <mergeCell ref="N107:N109"/>
    <mergeCell ref="A110:A112"/>
    <mergeCell ref="B110:B112"/>
    <mergeCell ref="C110:C112"/>
    <mergeCell ref="D110:D112"/>
    <mergeCell ref="E110:E112"/>
    <mergeCell ref="F110:F112"/>
    <mergeCell ref="G110:G112"/>
    <mergeCell ref="H110:H112"/>
    <mergeCell ref="I110:I112"/>
    <mergeCell ref="J110:J112"/>
    <mergeCell ref="K110:K112"/>
    <mergeCell ref="L110:L112"/>
    <mergeCell ref="F107:F109"/>
    <mergeCell ref="G107:G109"/>
    <mergeCell ref="H107:H109"/>
    <mergeCell ref="I107:I109"/>
    <mergeCell ref="J107:J109"/>
    <mergeCell ref="A107:A109"/>
    <mergeCell ref="B107:B109"/>
    <mergeCell ref="C107:C109"/>
    <mergeCell ref="D107:D109"/>
    <mergeCell ref="E107:E109"/>
    <mergeCell ref="F113:F115"/>
    <mergeCell ref="G113:G115"/>
    <mergeCell ref="H113:H115"/>
    <mergeCell ref="I113:I115"/>
    <mergeCell ref="J113:J115"/>
    <mergeCell ref="A113:A115"/>
    <mergeCell ref="B113:B115"/>
    <mergeCell ref="C113:C115"/>
    <mergeCell ref="D113:D115"/>
    <mergeCell ref="E113:E115"/>
    <mergeCell ref="M110:M112"/>
    <mergeCell ref="N110:N112"/>
    <mergeCell ref="M116:M118"/>
    <mergeCell ref="N116:N118"/>
    <mergeCell ref="A119:A121"/>
    <mergeCell ref="B119:B121"/>
    <mergeCell ref="C119:C121"/>
    <mergeCell ref="D119:D121"/>
    <mergeCell ref="E119:E121"/>
    <mergeCell ref="F119:F121"/>
    <mergeCell ref="G119:G121"/>
    <mergeCell ref="H119:H121"/>
    <mergeCell ref="I119:I121"/>
    <mergeCell ref="J119:J121"/>
    <mergeCell ref="K119:K121"/>
    <mergeCell ref="L119:L121"/>
    <mergeCell ref="M119:M121"/>
    <mergeCell ref="N119:N121"/>
    <mergeCell ref="K113:K115"/>
    <mergeCell ref="L113:L115"/>
    <mergeCell ref="M113:M115"/>
    <mergeCell ref="N113:N115"/>
    <mergeCell ref="A116:A118"/>
    <mergeCell ref="B116:B118"/>
    <mergeCell ref="C116:C118"/>
    <mergeCell ref="D116:D118"/>
    <mergeCell ref="E116:E118"/>
    <mergeCell ref="F116:F118"/>
    <mergeCell ref="G116:G118"/>
    <mergeCell ref="H116:H118"/>
    <mergeCell ref="I116:I118"/>
    <mergeCell ref="J116:J118"/>
    <mergeCell ref="K116:K118"/>
    <mergeCell ref="L116:L118"/>
    <mergeCell ref="C131:C133"/>
    <mergeCell ref="D131:D133"/>
    <mergeCell ref="E131:E133"/>
    <mergeCell ref="M125:M127"/>
    <mergeCell ref="N125:N127"/>
    <mergeCell ref="A128:A130"/>
    <mergeCell ref="B128:B130"/>
    <mergeCell ref="C128:C130"/>
    <mergeCell ref="D128:D130"/>
    <mergeCell ref="E128:E130"/>
    <mergeCell ref="M128:M130"/>
    <mergeCell ref="N128:N130"/>
    <mergeCell ref="K122:K124"/>
    <mergeCell ref="L122:L124"/>
    <mergeCell ref="M122:M124"/>
    <mergeCell ref="N122:N124"/>
    <mergeCell ref="A125:A127"/>
    <mergeCell ref="B125:B127"/>
    <mergeCell ref="C125:C127"/>
    <mergeCell ref="D125:D127"/>
    <mergeCell ref="E125:E127"/>
    <mergeCell ref="F125:F127"/>
    <mergeCell ref="F122:F124"/>
    <mergeCell ref="G122:G124"/>
    <mergeCell ref="H122:H124"/>
    <mergeCell ref="I122:I124"/>
    <mergeCell ref="J122:J124"/>
    <mergeCell ref="A122:A124"/>
    <mergeCell ref="B122:B124"/>
    <mergeCell ref="C122:C124"/>
    <mergeCell ref="D122:D124"/>
    <mergeCell ref="E122:E124"/>
    <mergeCell ref="M134:M136"/>
    <mergeCell ref="N134:N136"/>
    <mergeCell ref="A74:A76"/>
    <mergeCell ref="B74:B76"/>
    <mergeCell ref="C74:C76"/>
    <mergeCell ref="D74:D76"/>
    <mergeCell ref="E74:E76"/>
    <mergeCell ref="F74:F76"/>
    <mergeCell ref="G74:G76"/>
    <mergeCell ref="H74:H76"/>
    <mergeCell ref="I74:I76"/>
    <mergeCell ref="J74:J76"/>
    <mergeCell ref="K74:K76"/>
    <mergeCell ref="L74:L76"/>
    <mergeCell ref="M74:M76"/>
    <mergeCell ref="N74:N76"/>
    <mergeCell ref="M131:M133"/>
    <mergeCell ref="N131:N133"/>
    <mergeCell ref="A134:A136"/>
    <mergeCell ref="B134:B136"/>
    <mergeCell ref="C134:C136"/>
    <mergeCell ref="D134:D136"/>
    <mergeCell ref="E134:E136"/>
    <mergeCell ref="F134:F136"/>
    <mergeCell ref="G134:G136"/>
    <mergeCell ref="H134:H136"/>
    <mergeCell ref="I134:I136"/>
    <mergeCell ref="J134:J136"/>
    <mergeCell ref="K134:K136"/>
    <mergeCell ref="L134:L136"/>
    <mergeCell ref="A131:A133"/>
    <mergeCell ref="B131:B133"/>
    <mergeCell ref="M137:M139"/>
    <mergeCell ref="N137:N139"/>
    <mergeCell ref="A140:A142"/>
    <mergeCell ref="B140:B142"/>
    <mergeCell ref="C140:C142"/>
    <mergeCell ref="D140:D142"/>
    <mergeCell ref="E140:E142"/>
    <mergeCell ref="F140:F142"/>
    <mergeCell ref="G140:G142"/>
    <mergeCell ref="H140:H142"/>
    <mergeCell ref="I140:I142"/>
    <mergeCell ref="J140:J142"/>
    <mergeCell ref="K140:K142"/>
    <mergeCell ref="L140:L142"/>
    <mergeCell ref="F137:F139"/>
    <mergeCell ref="A137:A139"/>
    <mergeCell ref="B137:B139"/>
    <mergeCell ref="C137:C139"/>
    <mergeCell ref="D137:D139"/>
    <mergeCell ref="E137:E139"/>
    <mergeCell ref="G137:G139"/>
    <mergeCell ref="H137:H139"/>
    <mergeCell ref="I137:I139"/>
    <mergeCell ref="J137:J139"/>
    <mergeCell ref="K137:K139"/>
    <mergeCell ref="L137:L139"/>
    <mergeCell ref="F146:F148"/>
    <mergeCell ref="G146:G148"/>
    <mergeCell ref="H146:H148"/>
    <mergeCell ref="I146:I148"/>
    <mergeCell ref="J146:J148"/>
    <mergeCell ref="A146:A148"/>
    <mergeCell ref="B146:B148"/>
    <mergeCell ref="C146:C148"/>
    <mergeCell ref="D146:D148"/>
    <mergeCell ref="E146:E148"/>
    <mergeCell ref="M140:M142"/>
    <mergeCell ref="N140:N142"/>
    <mergeCell ref="A143:A145"/>
    <mergeCell ref="B143:B145"/>
    <mergeCell ref="C143:C145"/>
    <mergeCell ref="D143:D145"/>
    <mergeCell ref="E143:E145"/>
    <mergeCell ref="F143:F145"/>
    <mergeCell ref="G143:G145"/>
    <mergeCell ref="H143:H145"/>
    <mergeCell ref="I143:I145"/>
    <mergeCell ref="J143:J145"/>
    <mergeCell ref="K143:K145"/>
    <mergeCell ref="L143:L145"/>
    <mergeCell ref="M143:M145"/>
    <mergeCell ref="N143:N145"/>
    <mergeCell ref="M149:M151"/>
    <mergeCell ref="N149:N151"/>
    <mergeCell ref="A152:A154"/>
    <mergeCell ref="B152:B154"/>
    <mergeCell ref="C152:C154"/>
    <mergeCell ref="D152:D154"/>
    <mergeCell ref="E152:E154"/>
    <mergeCell ref="F152:F154"/>
    <mergeCell ref="G152:G154"/>
    <mergeCell ref="H152:H154"/>
    <mergeCell ref="I152:I154"/>
    <mergeCell ref="J152:J154"/>
    <mergeCell ref="K152:K154"/>
    <mergeCell ref="L152:L154"/>
    <mergeCell ref="M152:M154"/>
    <mergeCell ref="N152:N154"/>
    <mergeCell ref="K146:K148"/>
    <mergeCell ref="L146:L148"/>
    <mergeCell ref="M146:M148"/>
    <mergeCell ref="N146:N148"/>
    <mergeCell ref="A149:A151"/>
    <mergeCell ref="B149:B151"/>
    <mergeCell ref="C149:C151"/>
    <mergeCell ref="D149:D151"/>
    <mergeCell ref="E149:E151"/>
    <mergeCell ref="F149:F151"/>
    <mergeCell ref="G149:G151"/>
    <mergeCell ref="H149:H151"/>
    <mergeCell ref="I149:I151"/>
    <mergeCell ref="J149:J151"/>
    <mergeCell ref="K149:K151"/>
    <mergeCell ref="L149:L151"/>
    <mergeCell ref="K155:K157"/>
    <mergeCell ref="L155:L157"/>
    <mergeCell ref="M155:M157"/>
    <mergeCell ref="N155:N157"/>
    <mergeCell ref="A158:A160"/>
    <mergeCell ref="B158:B160"/>
    <mergeCell ref="C158:C160"/>
    <mergeCell ref="D158:D160"/>
    <mergeCell ref="E158:E160"/>
    <mergeCell ref="F158:F160"/>
    <mergeCell ref="G158:G160"/>
    <mergeCell ref="H158:H160"/>
    <mergeCell ref="I158:I160"/>
    <mergeCell ref="J158:J160"/>
    <mergeCell ref="K158:K160"/>
    <mergeCell ref="L158:L160"/>
    <mergeCell ref="F155:F157"/>
    <mergeCell ref="G155:G157"/>
    <mergeCell ref="H155:H157"/>
    <mergeCell ref="I155:I157"/>
    <mergeCell ref="J155:J157"/>
    <mergeCell ref="A155:A157"/>
    <mergeCell ref="B155:B157"/>
    <mergeCell ref="C155:C157"/>
    <mergeCell ref="D155:D157"/>
    <mergeCell ref="E155:E157"/>
    <mergeCell ref="F164:F166"/>
    <mergeCell ref="G164:G166"/>
    <mergeCell ref="H164:H166"/>
    <mergeCell ref="I164:I166"/>
    <mergeCell ref="J164:J166"/>
    <mergeCell ref="A164:A166"/>
    <mergeCell ref="B164:B166"/>
    <mergeCell ref="C164:C166"/>
    <mergeCell ref="D164:D166"/>
    <mergeCell ref="E164:E166"/>
    <mergeCell ref="M158:M160"/>
    <mergeCell ref="N158:N160"/>
    <mergeCell ref="A161:A163"/>
    <mergeCell ref="B161:B163"/>
    <mergeCell ref="C161:C163"/>
    <mergeCell ref="D161:D163"/>
    <mergeCell ref="E161:E163"/>
    <mergeCell ref="F161:F163"/>
    <mergeCell ref="G161:G163"/>
    <mergeCell ref="H161:H163"/>
    <mergeCell ref="I161:I163"/>
    <mergeCell ref="J161:J163"/>
    <mergeCell ref="K161:K163"/>
    <mergeCell ref="L161:L163"/>
    <mergeCell ref="M161:M163"/>
    <mergeCell ref="N161:N163"/>
    <mergeCell ref="M167:M169"/>
    <mergeCell ref="N167:N169"/>
    <mergeCell ref="A170:A172"/>
    <mergeCell ref="B170:B172"/>
    <mergeCell ref="C170:C172"/>
    <mergeCell ref="D170:D172"/>
    <mergeCell ref="E170:E172"/>
    <mergeCell ref="F170:F172"/>
    <mergeCell ref="G170:G172"/>
    <mergeCell ref="H170:H172"/>
    <mergeCell ref="I170:I172"/>
    <mergeCell ref="J170:J172"/>
    <mergeCell ref="K170:K172"/>
    <mergeCell ref="L170:L172"/>
    <mergeCell ref="M170:M172"/>
    <mergeCell ref="N170:N172"/>
    <mergeCell ref="K164:K166"/>
    <mergeCell ref="L164:L166"/>
    <mergeCell ref="M164:M166"/>
    <mergeCell ref="N164:N166"/>
    <mergeCell ref="A167:A169"/>
    <mergeCell ref="B167:B169"/>
    <mergeCell ref="C167:C169"/>
    <mergeCell ref="D167:D169"/>
    <mergeCell ref="E167:E169"/>
    <mergeCell ref="F167:F169"/>
    <mergeCell ref="G167:G169"/>
    <mergeCell ref="H167:H169"/>
    <mergeCell ref="I167:I169"/>
    <mergeCell ref="J167:J169"/>
    <mergeCell ref="K167:K169"/>
    <mergeCell ref="L167:L169"/>
    <mergeCell ref="K173:K175"/>
    <mergeCell ref="L173:L175"/>
    <mergeCell ref="M173:M175"/>
    <mergeCell ref="N173:N175"/>
    <mergeCell ref="A176:A178"/>
    <mergeCell ref="B176:B178"/>
    <mergeCell ref="C176:C178"/>
    <mergeCell ref="D176:D178"/>
    <mergeCell ref="E176:E178"/>
    <mergeCell ref="F176:F178"/>
    <mergeCell ref="G176:G178"/>
    <mergeCell ref="H176:H178"/>
    <mergeCell ref="I176:I178"/>
    <mergeCell ref="J176:J178"/>
    <mergeCell ref="K176:K178"/>
    <mergeCell ref="L176:L178"/>
    <mergeCell ref="F173:F175"/>
    <mergeCell ref="G173:G175"/>
    <mergeCell ref="H173:H175"/>
    <mergeCell ref="I173:I175"/>
    <mergeCell ref="J173:J175"/>
    <mergeCell ref="A173:A175"/>
    <mergeCell ref="B173:B175"/>
    <mergeCell ref="C173:C175"/>
    <mergeCell ref="D173:D175"/>
    <mergeCell ref="E173:E175"/>
    <mergeCell ref="F182:F184"/>
    <mergeCell ref="G182:G184"/>
    <mergeCell ref="H182:H184"/>
    <mergeCell ref="I182:I184"/>
    <mergeCell ref="J182:J184"/>
    <mergeCell ref="A182:A184"/>
    <mergeCell ref="B182:B184"/>
    <mergeCell ref="C182:C184"/>
    <mergeCell ref="D182:D184"/>
    <mergeCell ref="E182:E184"/>
    <mergeCell ref="M176:M178"/>
    <mergeCell ref="N176:N178"/>
    <mergeCell ref="A179:A181"/>
    <mergeCell ref="B179:B181"/>
    <mergeCell ref="C179:C181"/>
    <mergeCell ref="D179:D181"/>
    <mergeCell ref="E179:E181"/>
    <mergeCell ref="F179:F181"/>
    <mergeCell ref="G179:G181"/>
    <mergeCell ref="H179:H181"/>
    <mergeCell ref="I179:I181"/>
    <mergeCell ref="J179:J181"/>
    <mergeCell ref="K179:K181"/>
    <mergeCell ref="L179:L181"/>
    <mergeCell ref="M179:M181"/>
    <mergeCell ref="N179:N181"/>
    <mergeCell ref="M185:M187"/>
    <mergeCell ref="N185:N187"/>
    <mergeCell ref="A188:A190"/>
    <mergeCell ref="B188:B190"/>
    <mergeCell ref="C188:C190"/>
    <mergeCell ref="D188:D190"/>
    <mergeCell ref="E188:E190"/>
    <mergeCell ref="F188:F190"/>
    <mergeCell ref="G188:G190"/>
    <mergeCell ref="H188:H190"/>
    <mergeCell ref="I188:I190"/>
    <mergeCell ref="J188:J190"/>
    <mergeCell ref="K188:K190"/>
    <mergeCell ref="L188:L190"/>
    <mergeCell ref="M188:M190"/>
    <mergeCell ref="N188:N190"/>
    <mergeCell ref="K182:K184"/>
    <mergeCell ref="L182:L184"/>
    <mergeCell ref="M182:M184"/>
    <mergeCell ref="N182:N184"/>
    <mergeCell ref="A185:A187"/>
    <mergeCell ref="B185:B187"/>
    <mergeCell ref="C185:C187"/>
    <mergeCell ref="D185:D187"/>
    <mergeCell ref="E185:E187"/>
    <mergeCell ref="F185:F187"/>
    <mergeCell ref="G185:G187"/>
    <mergeCell ref="H185:H187"/>
    <mergeCell ref="I185:I187"/>
    <mergeCell ref="J185:J187"/>
    <mergeCell ref="K185:K187"/>
    <mergeCell ref="L185:L187"/>
    <mergeCell ref="K191:K193"/>
    <mergeCell ref="L191:L193"/>
    <mergeCell ref="M191:M193"/>
    <mergeCell ref="N191:N193"/>
    <mergeCell ref="A194:A196"/>
    <mergeCell ref="B194:B196"/>
    <mergeCell ref="C194:C196"/>
    <mergeCell ref="D194:D196"/>
    <mergeCell ref="E194:E196"/>
    <mergeCell ref="F194:F196"/>
    <mergeCell ref="G194:G196"/>
    <mergeCell ref="H194:H196"/>
    <mergeCell ref="I194:I196"/>
    <mergeCell ref="J194:J196"/>
    <mergeCell ref="K194:K196"/>
    <mergeCell ref="L194:L196"/>
    <mergeCell ref="F191:F193"/>
    <mergeCell ref="G191:G193"/>
    <mergeCell ref="H191:H193"/>
    <mergeCell ref="I191:I193"/>
    <mergeCell ref="J191:J193"/>
    <mergeCell ref="A191:A193"/>
    <mergeCell ref="B191:B193"/>
    <mergeCell ref="C191:C193"/>
    <mergeCell ref="D191:D193"/>
    <mergeCell ref="E191:E193"/>
    <mergeCell ref="F200:F202"/>
    <mergeCell ref="G200:G202"/>
    <mergeCell ref="H200:H202"/>
    <mergeCell ref="I200:I202"/>
    <mergeCell ref="J200:J202"/>
    <mergeCell ref="A200:A202"/>
    <mergeCell ref="B200:B202"/>
    <mergeCell ref="C200:C202"/>
    <mergeCell ref="D200:D202"/>
    <mergeCell ref="E200:E202"/>
    <mergeCell ref="M194:M196"/>
    <mergeCell ref="N194:N196"/>
    <mergeCell ref="A197:A199"/>
    <mergeCell ref="B197:B199"/>
    <mergeCell ref="C197:C199"/>
    <mergeCell ref="D197:D199"/>
    <mergeCell ref="E197:E199"/>
    <mergeCell ref="F197:F199"/>
    <mergeCell ref="G197:G199"/>
    <mergeCell ref="H197:H199"/>
    <mergeCell ref="I197:I199"/>
    <mergeCell ref="J197:J199"/>
    <mergeCell ref="K197:K199"/>
    <mergeCell ref="L197:L199"/>
    <mergeCell ref="M197:M199"/>
    <mergeCell ref="N197:N199"/>
    <mergeCell ref="M203:M205"/>
    <mergeCell ref="N203:N205"/>
    <mergeCell ref="A206:A208"/>
    <mergeCell ref="B206:B208"/>
    <mergeCell ref="C206:C208"/>
    <mergeCell ref="D206:D208"/>
    <mergeCell ref="E206:E208"/>
    <mergeCell ref="F206:F208"/>
    <mergeCell ref="G206:G208"/>
    <mergeCell ref="H206:H208"/>
    <mergeCell ref="I206:I208"/>
    <mergeCell ref="J206:J208"/>
    <mergeCell ref="K206:K208"/>
    <mergeCell ref="L206:L208"/>
    <mergeCell ref="M206:M208"/>
    <mergeCell ref="N206:N208"/>
    <mergeCell ref="K200:K202"/>
    <mergeCell ref="L200:L202"/>
    <mergeCell ref="M200:M202"/>
    <mergeCell ref="N200:N202"/>
    <mergeCell ref="A203:A205"/>
    <mergeCell ref="B203:B205"/>
    <mergeCell ref="C203:C205"/>
    <mergeCell ref="D203:D205"/>
    <mergeCell ref="E203:E205"/>
    <mergeCell ref="F203:F205"/>
    <mergeCell ref="G203:G205"/>
    <mergeCell ref="H203:H205"/>
    <mergeCell ref="I203:I205"/>
    <mergeCell ref="J203:J205"/>
    <mergeCell ref="K203:K205"/>
    <mergeCell ref="L203:L205"/>
    <mergeCell ref="K209:K211"/>
    <mergeCell ref="L209:L211"/>
    <mergeCell ref="M209:M211"/>
    <mergeCell ref="N209:N211"/>
    <mergeCell ref="A212:A214"/>
    <mergeCell ref="B212:B214"/>
    <mergeCell ref="C212:C214"/>
    <mergeCell ref="D212:D214"/>
    <mergeCell ref="E212:E214"/>
    <mergeCell ref="F212:F214"/>
    <mergeCell ref="G212:G214"/>
    <mergeCell ref="H212:H214"/>
    <mergeCell ref="I212:I214"/>
    <mergeCell ref="J212:J214"/>
    <mergeCell ref="K212:K214"/>
    <mergeCell ref="L212:L214"/>
    <mergeCell ref="F209:F211"/>
    <mergeCell ref="G209:G211"/>
    <mergeCell ref="H209:H211"/>
    <mergeCell ref="I209:I211"/>
    <mergeCell ref="J209:J211"/>
    <mergeCell ref="A209:A211"/>
    <mergeCell ref="B209:B211"/>
    <mergeCell ref="C209:C211"/>
    <mergeCell ref="D209:D211"/>
    <mergeCell ref="E209:E211"/>
    <mergeCell ref="F218:F220"/>
    <mergeCell ref="G218:G220"/>
    <mergeCell ref="H218:H220"/>
    <mergeCell ref="I218:I220"/>
    <mergeCell ref="J218:J220"/>
    <mergeCell ref="A218:A220"/>
    <mergeCell ref="B218:B220"/>
    <mergeCell ref="C218:C220"/>
    <mergeCell ref="D218:D220"/>
    <mergeCell ref="E218:E220"/>
    <mergeCell ref="M212:M214"/>
    <mergeCell ref="N212:N214"/>
    <mergeCell ref="A215:A217"/>
    <mergeCell ref="B215:B217"/>
    <mergeCell ref="C215:C217"/>
    <mergeCell ref="D215:D217"/>
    <mergeCell ref="E215:E217"/>
    <mergeCell ref="F215:F217"/>
    <mergeCell ref="G215:G217"/>
    <mergeCell ref="H215:H217"/>
    <mergeCell ref="I215:I217"/>
    <mergeCell ref="J215:J217"/>
    <mergeCell ref="K215:K217"/>
    <mergeCell ref="L215:L217"/>
    <mergeCell ref="M215:M217"/>
    <mergeCell ref="N215:N217"/>
    <mergeCell ref="M221:M223"/>
    <mergeCell ref="N221:N223"/>
    <mergeCell ref="A224:A226"/>
    <mergeCell ref="B224:B226"/>
    <mergeCell ref="C224:C226"/>
    <mergeCell ref="D224:D226"/>
    <mergeCell ref="E224:E226"/>
    <mergeCell ref="F224:F226"/>
    <mergeCell ref="G224:G226"/>
    <mergeCell ref="H224:H226"/>
    <mergeCell ref="I224:I226"/>
    <mergeCell ref="J224:J226"/>
    <mergeCell ref="K224:K226"/>
    <mergeCell ref="L224:L226"/>
    <mergeCell ref="M224:M226"/>
    <mergeCell ref="N224:N226"/>
    <mergeCell ref="K218:K220"/>
    <mergeCell ref="L218:L220"/>
    <mergeCell ref="M218:M220"/>
    <mergeCell ref="N218:N220"/>
    <mergeCell ref="A221:A223"/>
    <mergeCell ref="B221:B223"/>
    <mergeCell ref="C221:C223"/>
    <mergeCell ref="D221:D223"/>
    <mergeCell ref="E221:E223"/>
    <mergeCell ref="F221:F223"/>
    <mergeCell ref="G221:G223"/>
    <mergeCell ref="H221:H223"/>
    <mergeCell ref="I221:I223"/>
    <mergeCell ref="J221:J223"/>
    <mergeCell ref="K221:K223"/>
    <mergeCell ref="L221:L223"/>
    <mergeCell ref="K227:K229"/>
    <mergeCell ref="L227:L229"/>
    <mergeCell ref="M227:M229"/>
    <mergeCell ref="N227:N229"/>
    <mergeCell ref="A230:A232"/>
    <mergeCell ref="B230:B232"/>
    <mergeCell ref="C230:C232"/>
    <mergeCell ref="D230:D232"/>
    <mergeCell ref="E230:E232"/>
    <mergeCell ref="F230:F232"/>
    <mergeCell ref="G230:G232"/>
    <mergeCell ref="H230:H232"/>
    <mergeCell ref="I230:I232"/>
    <mergeCell ref="J230:J232"/>
    <mergeCell ref="K230:K232"/>
    <mergeCell ref="L230:L232"/>
    <mergeCell ref="F227:F229"/>
    <mergeCell ref="G227:G229"/>
    <mergeCell ref="H227:H229"/>
    <mergeCell ref="I227:I229"/>
    <mergeCell ref="J227:J229"/>
    <mergeCell ref="A227:A229"/>
    <mergeCell ref="B227:B229"/>
    <mergeCell ref="C227:C229"/>
    <mergeCell ref="D227:D229"/>
    <mergeCell ref="E227:E229"/>
    <mergeCell ref="F236:F238"/>
    <mergeCell ref="G236:G238"/>
    <mergeCell ref="H236:H238"/>
    <mergeCell ref="I236:I238"/>
    <mergeCell ref="J236:J238"/>
    <mergeCell ref="A236:A238"/>
    <mergeCell ref="B236:B238"/>
    <mergeCell ref="C236:C238"/>
    <mergeCell ref="D236:D238"/>
    <mergeCell ref="E236:E238"/>
    <mergeCell ref="M230:M232"/>
    <mergeCell ref="N230:N232"/>
    <mergeCell ref="A233:A235"/>
    <mergeCell ref="B233:B235"/>
    <mergeCell ref="C233:C235"/>
    <mergeCell ref="D233:D235"/>
    <mergeCell ref="E233:E235"/>
    <mergeCell ref="F233:F235"/>
    <mergeCell ref="G233:G235"/>
    <mergeCell ref="H233:H235"/>
    <mergeCell ref="I233:I235"/>
    <mergeCell ref="J233:J235"/>
    <mergeCell ref="K233:K235"/>
    <mergeCell ref="L233:L235"/>
    <mergeCell ref="M233:M235"/>
    <mergeCell ref="N233:N235"/>
    <mergeCell ref="M239:M241"/>
    <mergeCell ref="N239:N241"/>
    <mergeCell ref="A242:A244"/>
    <mergeCell ref="B242:B244"/>
    <mergeCell ref="C242:C244"/>
    <mergeCell ref="D242:D244"/>
    <mergeCell ref="E242:E244"/>
    <mergeCell ref="F242:F244"/>
    <mergeCell ref="G242:G244"/>
    <mergeCell ref="H242:H244"/>
    <mergeCell ref="I242:I244"/>
    <mergeCell ref="J242:J244"/>
    <mergeCell ref="K242:K244"/>
    <mergeCell ref="L242:L244"/>
    <mergeCell ref="M242:M244"/>
    <mergeCell ref="N242:N244"/>
    <mergeCell ref="K236:K238"/>
    <mergeCell ref="L236:L238"/>
    <mergeCell ref="M236:M238"/>
    <mergeCell ref="N236:N238"/>
    <mergeCell ref="A239:A241"/>
    <mergeCell ref="B239:B241"/>
    <mergeCell ref="C239:C241"/>
    <mergeCell ref="D239:D241"/>
    <mergeCell ref="E239:E241"/>
    <mergeCell ref="F239:F241"/>
    <mergeCell ref="G239:G241"/>
    <mergeCell ref="H239:H241"/>
    <mergeCell ref="I239:I241"/>
    <mergeCell ref="J239:J241"/>
    <mergeCell ref="K239:K241"/>
    <mergeCell ref="L239:L241"/>
    <mergeCell ref="M248:M250"/>
    <mergeCell ref="N248:N250"/>
    <mergeCell ref="K245:K247"/>
    <mergeCell ref="L245:L247"/>
    <mergeCell ref="M245:M247"/>
    <mergeCell ref="N245:N247"/>
    <mergeCell ref="A248:A250"/>
    <mergeCell ref="B248:B250"/>
    <mergeCell ref="C248:C250"/>
    <mergeCell ref="D248:D250"/>
    <mergeCell ref="E248:E250"/>
    <mergeCell ref="F248:F250"/>
    <mergeCell ref="G248:G250"/>
    <mergeCell ref="H248:H250"/>
    <mergeCell ref="I248:I250"/>
    <mergeCell ref="J248:J250"/>
    <mergeCell ref="K248:K250"/>
    <mergeCell ref="L248:L250"/>
    <mergeCell ref="F245:F247"/>
    <mergeCell ref="G245:G247"/>
    <mergeCell ref="H245:H247"/>
    <mergeCell ref="I245:I247"/>
    <mergeCell ref="J245:J247"/>
    <mergeCell ref="A245:A247"/>
    <mergeCell ref="B245:B247"/>
    <mergeCell ref="C245:C247"/>
    <mergeCell ref="D245:D247"/>
    <mergeCell ref="E245:E247"/>
  </mergeCells>
  <conditionalFormatting sqref="F3:M62 G63:M64 F65:M990">
    <cfRule type="colorScale" priority="15">
      <colorScale>
        <cfvo type="min"/>
        <cfvo type="percentile" val="50"/>
        <cfvo type="max"/>
        <color rgb="FF63BE7B"/>
        <color rgb="FFFFEB84"/>
        <color rgb="FFF8696B"/>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F8AB515-20FD-435B-A0C8-DE556E02E161}">
          <x14:formula1>
            <xm:f>'Guide suivi GDP '!$E$3:$E$8</xm:f>
          </x14:formula1>
          <xm:sqref>C3:C62 C65:C250</xm:sqref>
        </x14:dataValidation>
        <x14:dataValidation type="list" allowBlank="1" showInputMessage="1" showErrorMessage="1" xr:uid="{EB3B9004-AF67-4315-907B-6FA3B570C9FA}">
          <x14:formula1>
            <xm:f>'Guide suivi GDP '!$E$14:$E$19</xm:f>
          </x14:formula1>
          <xm:sqref>E3:E62 E65:E250</xm:sqref>
        </x14:dataValidation>
        <x14:dataValidation type="list" allowBlank="1" showInputMessage="1" showErrorMessage="1" xr:uid="{E9917C65-A030-47AD-8CE3-A6F84F41F49B}">
          <x14:formula1>
            <xm:f>'Guide suivi GDP '!$E$20:$E$24</xm:f>
          </x14:formula1>
          <xm:sqref>D3:D62 D65:D250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B71F-DFCA-43F7-9C86-B7E02D958097}">
  <sheetPr>
    <tabColor rgb="FF92D050"/>
  </sheetPr>
  <dimension ref="A1:P250"/>
  <sheetViews>
    <sheetView zoomScale="115" zoomScaleNormal="115" workbookViewId="0">
      <pane xSplit="1" ySplit="2" topLeftCell="B3" activePane="bottomRight" state="frozen"/>
      <selection pane="topRight"/>
      <selection pane="bottomLeft" activeCell="B1" sqref="B1"/>
      <selection pane="bottomRight"/>
    </sheetView>
  </sheetViews>
  <sheetFormatPr baseColWidth="10" defaultColWidth="9.140625" defaultRowHeight="12.75" outlineLevelCol="1"/>
  <cols>
    <col min="1" max="1" width="24" style="4" customWidth="1"/>
    <col min="2" max="2" width="12.28515625" style="5" customWidth="1"/>
    <col min="3" max="3" width="11.7109375" style="5" customWidth="1" outlineLevel="1"/>
    <col min="4" max="4" width="15.7109375" style="5" customWidth="1" outlineLevel="1"/>
    <col min="5" max="5" width="12.5703125" style="6" customWidth="1" outlineLevel="1"/>
    <col min="6" max="6" width="14.28515625" style="6" customWidth="1" outlineLevel="1"/>
    <col min="7" max="7" width="14.5703125" style="4" customWidth="1"/>
    <col min="8" max="8" width="12.7109375" style="4" customWidth="1"/>
    <col min="9" max="9" width="11" style="4" customWidth="1"/>
    <col min="10" max="10" width="8.85546875" style="4" customWidth="1"/>
    <col min="11" max="11" width="11.7109375" style="4" customWidth="1"/>
    <col min="12" max="12" width="12.28515625" style="4" customWidth="1"/>
    <col min="13" max="13" width="15.7109375" style="4" customWidth="1"/>
    <col min="14" max="14" width="10.5703125" style="7" bestFit="1" customWidth="1"/>
    <col min="15" max="15" width="42" style="4" customWidth="1"/>
    <col min="16" max="16384" width="9.140625" style="7"/>
  </cols>
  <sheetData>
    <row r="1" spans="1:15" ht="30">
      <c r="E1" s="5"/>
      <c r="F1" s="5"/>
      <c r="G1" s="9" t="s">
        <v>68</v>
      </c>
      <c r="H1" s="12" t="s">
        <v>69</v>
      </c>
      <c r="I1" s="199" t="s">
        <v>71</v>
      </c>
      <c r="J1" s="200"/>
      <c r="K1" s="196" t="s">
        <v>76</v>
      </c>
      <c r="L1" s="197"/>
      <c r="M1" s="198"/>
    </row>
    <row r="2" spans="1:15" ht="45">
      <c r="A2" s="2" t="s">
        <v>85</v>
      </c>
      <c r="B2" s="3" t="s">
        <v>86</v>
      </c>
      <c r="C2" s="3" t="s">
        <v>87</v>
      </c>
      <c r="D2" s="3" t="s">
        <v>88</v>
      </c>
      <c r="E2" s="3" t="s">
        <v>89</v>
      </c>
      <c r="F2" s="3" t="s">
        <v>185</v>
      </c>
      <c r="G2" s="9" t="s">
        <v>90</v>
      </c>
      <c r="H2" s="12" t="s">
        <v>91</v>
      </c>
      <c r="I2" s="10" t="s">
        <v>92</v>
      </c>
      <c r="J2" s="10" t="s">
        <v>93</v>
      </c>
      <c r="K2" s="11" t="s">
        <v>94</v>
      </c>
      <c r="L2" s="11" t="s">
        <v>95</v>
      </c>
      <c r="M2" s="11" t="s">
        <v>96</v>
      </c>
      <c r="N2" s="3" t="s">
        <v>80</v>
      </c>
      <c r="O2" s="2" t="s">
        <v>97</v>
      </c>
    </row>
    <row r="3" spans="1:15">
      <c r="A3" s="173" t="s">
        <v>98</v>
      </c>
      <c r="B3" s="185" t="s">
        <v>51</v>
      </c>
      <c r="C3" s="187" t="s">
        <v>26</v>
      </c>
      <c r="D3" s="187" t="s">
        <v>47</v>
      </c>
      <c r="E3" s="187" t="s">
        <v>39</v>
      </c>
      <c r="F3" s="149"/>
      <c r="G3" s="179">
        <v>2</v>
      </c>
      <c r="H3" s="179">
        <v>0</v>
      </c>
      <c r="I3" s="179">
        <v>0</v>
      </c>
      <c r="J3" s="179">
        <v>0</v>
      </c>
      <c r="K3" s="179">
        <v>0</v>
      </c>
      <c r="L3" s="179">
        <v>2</v>
      </c>
      <c r="M3" s="179">
        <v>1</v>
      </c>
      <c r="N3" s="175">
        <f>AVERAGE(G3:M5)</f>
        <v>0.7142857142857143</v>
      </c>
      <c r="O3" s="177" t="s">
        <v>99</v>
      </c>
    </row>
    <row r="4" spans="1:15">
      <c r="A4" s="173"/>
      <c r="B4" s="186"/>
      <c r="C4" s="188"/>
      <c r="D4" s="188"/>
      <c r="E4" s="188"/>
      <c r="F4" s="150"/>
      <c r="G4" s="180"/>
      <c r="H4" s="180"/>
      <c r="I4" s="180"/>
      <c r="J4" s="180"/>
      <c r="K4" s="180"/>
      <c r="L4" s="180"/>
      <c r="M4" s="180"/>
      <c r="N4" s="176"/>
      <c r="O4" s="178"/>
    </row>
    <row r="5" spans="1:15">
      <c r="A5" s="173"/>
      <c r="B5" s="189"/>
      <c r="C5" s="190"/>
      <c r="D5" s="190"/>
      <c r="E5" s="190"/>
      <c r="F5" s="151"/>
      <c r="G5" s="181"/>
      <c r="H5" s="181"/>
      <c r="I5" s="181"/>
      <c r="J5" s="181"/>
      <c r="K5" s="181"/>
      <c r="L5" s="181"/>
      <c r="M5" s="181"/>
      <c r="N5" s="182"/>
      <c r="O5" s="183"/>
    </row>
    <row r="6" spans="1:15">
      <c r="A6" s="173" t="s">
        <v>100</v>
      </c>
      <c r="B6" s="185" t="s">
        <v>51</v>
      </c>
      <c r="C6" s="187" t="s">
        <v>26</v>
      </c>
      <c r="D6" s="187" t="s">
        <v>45</v>
      </c>
      <c r="E6" s="187" t="s">
        <v>37</v>
      </c>
      <c r="F6" s="149"/>
      <c r="G6" s="179">
        <v>0</v>
      </c>
      <c r="H6" s="179">
        <v>0</v>
      </c>
      <c r="I6" s="179">
        <v>0</v>
      </c>
      <c r="J6" s="179">
        <v>0</v>
      </c>
      <c r="K6" s="179" t="s">
        <v>101</v>
      </c>
      <c r="L6" s="179">
        <v>0</v>
      </c>
      <c r="M6" s="179">
        <v>0</v>
      </c>
      <c r="N6" s="175">
        <f t="shared" ref="N6" si="0">AVERAGE(G6:M8)</f>
        <v>0</v>
      </c>
      <c r="O6" s="177" t="s">
        <v>102</v>
      </c>
    </row>
    <row r="7" spans="1:15">
      <c r="A7" s="173"/>
      <c r="B7" s="186"/>
      <c r="C7" s="188"/>
      <c r="D7" s="188"/>
      <c r="E7" s="188"/>
      <c r="F7" s="150"/>
      <c r="G7" s="180"/>
      <c r="H7" s="180"/>
      <c r="I7" s="180"/>
      <c r="J7" s="180"/>
      <c r="K7" s="180"/>
      <c r="L7" s="180"/>
      <c r="M7" s="180"/>
      <c r="N7" s="176"/>
      <c r="O7" s="178"/>
    </row>
    <row r="8" spans="1:15">
      <c r="A8" s="173"/>
      <c r="B8" s="189"/>
      <c r="C8" s="190"/>
      <c r="D8" s="190"/>
      <c r="E8" s="190"/>
      <c r="F8" s="151"/>
      <c r="G8" s="181"/>
      <c r="H8" s="181"/>
      <c r="I8" s="181"/>
      <c r="J8" s="181"/>
      <c r="K8" s="181"/>
      <c r="L8" s="181"/>
      <c r="M8" s="181"/>
      <c r="N8" s="182"/>
      <c r="O8" s="183"/>
    </row>
    <row r="9" spans="1:15">
      <c r="A9" s="173" t="s">
        <v>103</v>
      </c>
      <c r="B9" s="185" t="s">
        <v>51</v>
      </c>
      <c r="C9" s="187" t="s">
        <v>26</v>
      </c>
      <c r="D9" s="187" t="s">
        <v>48</v>
      </c>
      <c r="E9" s="187"/>
      <c r="F9" s="149"/>
      <c r="G9" s="179">
        <v>0</v>
      </c>
      <c r="H9" s="179" t="s">
        <v>104</v>
      </c>
      <c r="I9" s="179" t="s">
        <v>104</v>
      </c>
      <c r="J9" s="179" t="s">
        <v>104</v>
      </c>
      <c r="K9" s="179" t="s">
        <v>101</v>
      </c>
      <c r="L9" s="179" t="s">
        <v>101</v>
      </c>
      <c r="M9" s="179" t="s">
        <v>101</v>
      </c>
      <c r="N9" s="175">
        <f t="shared" ref="N9" si="1">AVERAGE(G9:M11)</f>
        <v>0</v>
      </c>
      <c r="O9" s="177" t="s">
        <v>186</v>
      </c>
    </row>
    <row r="10" spans="1:15">
      <c r="A10" s="173"/>
      <c r="B10" s="186"/>
      <c r="C10" s="188"/>
      <c r="D10" s="188"/>
      <c r="E10" s="188"/>
      <c r="F10" s="150"/>
      <c r="G10" s="180"/>
      <c r="H10" s="180"/>
      <c r="I10" s="180"/>
      <c r="J10" s="180"/>
      <c r="K10" s="180"/>
      <c r="L10" s="180"/>
      <c r="M10" s="180"/>
      <c r="N10" s="176"/>
      <c r="O10" s="178"/>
    </row>
    <row r="11" spans="1:15">
      <c r="A11" s="173"/>
      <c r="B11" s="189"/>
      <c r="C11" s="190"/>
      <c r="D11" s="190"/>
      <c r="E11" s="190"/>
      <c r="F11" s="151"/>
      <c r="G11" s="181"/>
      <c r="H11" s="181"/>
      <c r="I11" s="181"/>
      <c r="J11" s="181"/>
      <c r="K11" s="181"/>
      <c r="L11" s="181"/>
      <c r="M11" s="181"/>
      <c r="N11" s="182"/>
      <c r="O11" s="183"/>
    </row>
    <row r="12" spans="1:15">
      <c r="A12" s="173" t="s">
        <v>106</v>
      </c>
      <c r="B12" s="185" t="s">
        <v>51</v>
      </c>
      <c r="C12" s="187"/>
      <c r="D12" s="187"/>
      <c r="E12" s="187"/>
      <c r="F12" s="149"/>
      <c r="G12" s="179">
        <v>0</v>
      </c>
      <c r="H12" s="179" t="s">
        <v>101</v>
      </c>
      <c r="I12" s="179" t="s">
        <v>101</v>
      </c>
      <c r="J12" s="179" t="s">
        <v>104</v>
      </c>
      <c r="K12" s="179" t="s">
        <v>101</v>
      </c>
      <c r="L12" s="179" t="s">
        <v>101</v>
      </c>
      <c r="M12" s="179" t="s">
        <v>96</v>
      </c>
      <c r="N12" s="175">
        <f t="shared" ref="N12" si="2">AVERAGE(G12:M14)</f>
        <v>0</v>
      </c>
      <c r="O12" s="177" t="s">
        <v>107</v>
      </c>
    </row>
    <row r="13" spans="1:15">
      <c r="A13" s="173"/>
      <c r="B13" s="186"/>
      <c r="C13" s="188"/>
      <c r="D13" s="188"/>
      <c r="E13" s="188"/>
      <c r="F13" s="150"/>
      <c r="G13" s="180"/>
      <c r="H13" s="180"/>
      <c r="I13" s="180"/>
      <c r="J13" s="180"/>
      <c r="K13" s="180"/>
      <c r="L13" s="180"/>
      <c r="M13" s="180"/>
      <c r="N13" s="176"/>
      <c r="O13" s="178"/>
    </row>
    <row r="14" spans="1:15">
      <c r="A14" s="173"/>
      <c r="B14" s="189"/>
      <c r="C14" s="190"/>
      <c r="D14" s="190"/>
      <c r="E14" s="190"/>
      <c r="F14" s="151"/>
      <c r="G14" s="181"/>
      <c r="H14" s="181"/>
      <c r="I14" s="181"/>
      <c r="J14" s="181"/>
      <c r="K14" s="181"/>
      <c r="L14" s="181"/>
      <c r="M14" s="181"/>
      <c r="N14" s="182"/>
      <c r="O14" s="183"/>
    </row>
    <row r="15" spans="1:15">
      <c r="A15" s="173" t="s">
        <v>108</v>
      </c>
      <c r="B15" s="185" t="s">
        <v>51</v>
      </c>
      <c r="C15" s="187" t="s">
        <v>26</v>
      </c>
      <c r="D15" s="187" t="s">
        <v>47</v>
      </c>
      <c r="E15" s="187" t="s">
        <v>38</v>
      </c>
      <c r="F15" s="149"/>
      <c r="G15" s="179">
        <v>0</v>
      </c>
      <c r="H15" s="179">
        <v>0</v>
      </c>
      <c r="I15" s="179" t="s">
        <v>101</v>
      </c>
      <c r="J15" s="179">
        <v>2</v>
      </c>
      <c r="K15" s="179">
        <v>0</v>
      </c>
      <c r="L15" s="179">
        <v>0</v>
      </c>
      <c r="M15" s="179">
        <v>0</v>
      </c>
      <c r="N15" s="175">
        <f t="shared" ref="N15" si="3">AVERAGE(G15:M17)</f>
        <v>0.33333333333333331</v>
      </c>
      <c r="O15" s="177" t="s">
        <v>187</v>
      </c>
    </row>
    <row r="16" spans="1:15">
      <c r="A16" s="173"/>
      <c r="B16" s="186"/>
      <c r="C16" s="188"/>
      <c r="D16" s="188"/>
      <c r="E16" s="188"/>
      <c r="F16" s="150"/>
      <c r="G16" s="180"/>
      <c r="H16" s="180"/>
      <c r="I16" s="180"/>
      <c r="J16" s="180"/>
      <c r="K16" s="180"/>
      <c r="L16" s="180"/>
      <c r="M16" s="180"/>
      <c r="N16" s="176"/>
      <c r="O16" s="178"/>
    </row>
    <row r="17" spans="1:15">
      <c r="A17" s="173"/>
      <c r="B17" s="189"/>
      <c r="C17" s="190"/>
      <c r="D17" s="190"/>
      <c r="E17" s="190"/>
      <c r="F17" s="151"/>
      <c r="G17" s="181"/>
      <c r="H17" s="181"/>
      <c r="I17" s="181"/>
      <c r="J17" s="181"/>
      <c r="K17" s="181"/>
      <c r="L17" s="181"/>
      <c r="M17" s="181"/>
      <c r="N17" s="182"/>
      <c r="O17" s="183"/>
    </row>
    <row r="18" spans="1:15">
      <c r="A18" s="173" t="s">
        <v>110</v>
      </c>
      <c r="B18" s="185" t="s">
        <v>51</v>
      </c>
      <c r="C18" s="187" t="s">
        <v>6</v>
      </c>
      <c r="D18" s="187"/>
      <c r="E18" s="187"/>
      <c r="F18" s="149"/>
      <c r="G18" s="179" t="s">
        <v>101</v>
      </c>
      <c r="H18" s="179" t="s">
        <v>101</v>
      </c>
      <c r="I18" s="179" t="s">
        <v>101</v>
      </c>
      <c r="J18" s="179" t="s">
        <v>104</v>
      </c>
      <c r="K18" s="179" t="s">
        <v>101</v>
      </c>
      <c r="L18" s="179" t="s">
        <v>101</v>
      </c>
      <c r="M18" s="179" t="s">
        <v>101</v>
      </c>
      <c r="N18" s="175" t="e">
        <f t="shared" ref="N18" si="4">AVERAGE(G18:M20)</f>
        <v>#DIV/0!</v>
      </c>
      <c r="O18" s="177" t="s">
        <v>107</v>
      </c>
    </row>
    <row r="19" spans="1:15">
      <c r="A19" s="173"/>
      <c r="B19" s="186"/>
      <c r="C19" s="188"/>
      <c r="D19" s="188"/>
      <c r="E19" s="188"/>
      <c r="F19" s="150"/>
      <c r="G19" s="180"/>
      <c r="H19" s="180"/>
      <c r="I19" s="180"/>
      <c r="J19" s="180"/>
      <c r="K19" s="180"/>
      <c r="L19" s="180"/>
      <c r="M19" s="180"/>
      <c r="N19" s="176"/>
      <c r="O19" s="178"/>
    </row>
    <row r="20" spans="1:15">
      <c r="A20" s="173"/>
      <c r="B20" s="189"/>
      <c r="C20" s="190"/>
      <c r="D20" s="190"/>
      <c r="E20" s="190"/>
      <c r="F20" s="151"/>
      <c r="G20" s="181"/>
      <c r="H20" s="181"/>
      <c r="I20" s="181"/>
      <c r="J20" s="181"/>
      <c r="K20" s="181"/>
      <c r="L20" s="181"/>
      <c r="M20" s="181"/>
      <c r="N20" s="182"/>
      <c r="O20" s="183"/>
    </row>
    <row r="21" spans="1:15">
      <c r="A21" s="173" t="s">
        <v>111</v>
      </c>
      <c r="B21" s="185" t="s">
        <v>51</v>
      </c>
      <c r="C21" s="187" t="s">
        <v>26</v>
      </c>
      <c r="D21" s="187" t="s">
        <v>45</v>
      </c>
      <c r="E21" s="187" t="s">
        <v>37</v>
      </c>
      <c r="F21" s="149"/>
      <c r="G21" s="179">
        <v>0</v>
      </c>
      <c r="H21" s="179">
        <v>0</v>
      </c>
      <c r="I21" s="179">
        <v>0</v>
      </c>
      <c r="J21" s="179">
        <v>0</v>
      </c>
      <c r="K21" s="179">
        <v>0</v>
      </c>
      <c r="L21" s="179">
        <v>0</v>
      </c>
      <c r="M21" s="179">
        <v>0</v>
      </c>
      <c r="N21" s="175">
        <f t="shared" ref="N21" si="5">AVERAGE(G21:M23)</f>
        <v>0</v>
      </c>
      <c r="O21" s="177" t="s">
        <v>112</v>
      </c>
    </row>
    <row r="22" spans="1:15">
      <c r="A22" s="173"/>
      <c r="B22" s="186"/>
      <c r="C22" s="188"/>
      <c r="D22" s="188"/>
      <c r="E22" s="188"/>
      <c r="F22" s="150"/>
      <c r="G22" s="180"/>
      <c r="H22" s="180"/>
      <c r="I22" s="180"/>
      <c r="J22" s="180"/>
      <c r="K22" s="180"/>
      <c r="L22" s="180"/>
      <c r="M22" s="180"/>
      <c r="N22" s="176"/>
      <c r="O22" s="178"/>
    </row>
    <row r="23" spans="1:15">
      <c r="A23" s="173"/>
      <c r="B23" s="189"/>
      <c r="C23" s="190"/>
      <c r="D23" s="190"/>
      <c r="E23" s="190"/>
      <c r="F23" s="151"/>
      <c r="G23" s="181"/>
      <c r="H23" s="181"/>
      <c r="I23" s="181"/>
      <c r="J23" s="181"/>
      <c r="K23" s="181"/>
      <c r="L23" s="181"/>
      <c r="M23" s="181"/>
      <c r="N23" s="182"/>
      <c r="O23" s="183"/>
    </row>
    <row r="24" spans="1:15">
      <c r="A24" s="173" t="s">
        <v>113</v>
      </c>
      <c r="B24" s="185" t="s">
        <v>51</v>
      </c>
      <c r="C24" s="187" t="s">
        <v>6</v>
      </c>
      <c r="D24" s="187" t="s">
        <v>44</v>
      </c>
      <c r="E24" s="187" t="s">
        <v>39</v>
      </c>
      <c r="F24" s="149"/>
      <c r="G24" s="179">
        <v>0</v>
      </c>
      <c r="H24" s="179">
        <v>0</v>
      </c>
      <c r="I24" s="179">
        <v>0</v>
      </c>
      <c r="J24" s="179">
        <v>0</v>
      </c>
      <c r="K24" s="179">
        <v>0</v>
      </c>
      <c r="L24" s="179">
        <v>0</v>
      </c>
      <c r="M24" s="179">
        <v>0</v>
      </c>
      <c r="N24" s="175">
        <f t="shared" ref="N24" si="6">AVERAGE(G24:M26)</f>
        <v>0</v>
      </c>
      <c r="O24" s="177" t="s">
        <v>188</v>
      </c>
    </row>
    <row r="25" spans="1:15">
      <c r="A25" s="173"/>
      <c r="B25" s="186"/>
      <c r="C25" s="188"/>
      <c r="D25" s="188"/>
      <c r="E25" s="188"/>
      <c r="F25" s="150"/>
      <c r="G25" s="180"/>
      <c r="H25" s="180"/>
      <c r="I25" s="180"/>
      <c r="J25" s="180"/>
      <c r="K25" s="180"/>
      <c r="L25" s="180"/>
      <c r="M25" s="180"/>
      <c r="N25" s="176"/>
      <c r="O25" s="178"/>
    </row>
    <row r="26" spans="1:15">
      <c r="A26" s="173"/>
      <c r="B26" s="189"/>
      <c r="C26" s="190"/>
      <c r="D26" s="190"/>
      <c r="E26" s="190"/>
      <c r="F26" s="151"/>
      <c r="G26" s="181"/>
      <c r="H26" s="181"/>
      <c r="I26" s="181"/>
      <c r="J26" s="181"/>
      <c r="K26" s="181"/>
      <c r="L26" s="181"/>
      <c r="M26" s="181"/>
      <c r="N26" s="182"/>
      <c r="O26" s="183"/>
    </row>
    <row r="27" spans="1:15">
      <c r="A27" s="173" t="s">
        <v>115</v>
      </c>
      <c r="B27" s="185" t="s">
        <v>51</v>
      </c>
      <c r="C27" s="187" t="s">
        <v>6</v>
      </c>
      <c r="D27" s="187" t="s">
        <v>44</v>
      </c>
      <c r="E27" s="187" t="s">
        <v>38</v>
      </c>
      <c r="F27" s="149"/>
      <c r="G27" s="179">
        <v>0</v>
      </c>
      <c r="H27" s="179">
        <v>0</v>
      </c>
      <c r="I27" s="179">
        <v>0</v>
      </c>
      <c r="J27" s="179">
        <v>0</v>
      </c>
      <c r="K27" s="179">
        <v>0</v>
      </c>
      <c r="L27" s="179">
        <v>0</v>
      </c>
      <c r="M27" s="179">
        <v>0</v>
      </c>
      <c r="N27" s="175">
        <f t="shared" ref="N27" si="7">AVERAGE(G27:M29)</f>
        <v>0</v>
      </c>
      <c r="O27" s="177" t="s">
        <v>189</v>
      </c>
    </row>
    <row r="28" spans="1:15">
      <c r="A28" s="173"/>
      <c r="B28" s="186"/>
      <c r="C28" s="188"/>
      <c r="D28" s="188"/>
      <c r="E28" s="188"/>
      <c r="F28" s="150"/>
      <c r="G28" s="180"/>
      <c r="H28" s="180"/>
      <c r="I28" s="180"/>
      <c r="J28" s="180"/>
      <c r="K28" s="180"/>
      <c r="L28" s="180"/>
      <c r="M28" s="180"/>
      <c r="N28" s="176"/>
      <c r="O28" s="178"/>
    </row>
    <row r="29" spans="1:15">
      <c r="A29" s="173"/>
      <c r="B29" s="189"/>
      <c r="C29" s="190"/>
      <c r="D29" s="190"/>
      <c r="E29" s="190"/>
      <c r="F29" s="151"/>
      <c r="G29" s="181"/>
      <c r="H29" s="181"/>
      <c r="I29" s="181"/>
      <c r="J29" s="181"/>
      <c r="K29" s="181"/>
      <c r="L29" s="181"/>
      <c r="M29" s="181"/>
      <c r="N29" s="182"/>
      <c r="O29" s="183"/>
    </row>
    <row r="30" spans="1:15">
      <c r="A30" s="173" t="s">
        <v>117</v>
      </c>
      <c r="B30" s="185" t="s">
        <v>51</v>
      </c>
      <c r="C30" s="187" t="s">
        <v>14</v>
      </c>
      <c r="D30" s="187" t="s">
        <v>45</v>
      </c>
      <c r="E30" s="187" t="s">
        <v>38</v>
      </c>
      <c r="F30" s="149"/>
      <c r="G30" s="179" t="s">
        <v>118</v>
      </c>
      <c r="H30" s="179" t="s">
        <v>118</v>
      </c>
      <c r="I30" s="179" t="s">
        <v>118</v>
      </c>
      <c r="J30" s="179" t="s">
        <v>118</v>
      </c>
      <c r="K30" s="179" t="s">
        <v>118</v>
      </c>
      <c r="L30" s="179" t="s">
        <v>118</v>
      </c>
      <c r="M30" s="179" t="s">
        <v>118</v>
      </c>
      <c r="N30" s="175" t="e">
        <f t="shared" ref="N30" si="8">AVERAGE(G30:M32)</f>
        <v>#DIV/0!</v>
      </c>
      <c r="O30" s="177" t="s">
        <v>119</v>
      </c>
    </row>
    <row r="31" spans="1:15">
      <c r="A31" s="173"/>
      <c r="B31" s="186"/>
      <c r="C31" s="188"/>
      <c r="D31" s="188"/>
      <c r="E31" s="188"/>
      <c r="F31" s="150"/>
      <c r="G31" s="180"/>
      <c r="H31" s="180"/>
      <c r="I31" s="180"/>
      <c r="J31" s="180"/>
      <c r="K31" s="180"/>
      <c r="L31" s="180"/>
      <c r="M31" s="180"/>
      <c r="N31" s="176"/>
      <c r="O31" s="178"/>
    </row>
    <row r="32" spans="1:15">
      <c r="A32" s="173"/>
      <c r="B32" s="189"/>
      <c r="C32" s="190"/>
      <c r="D32" s="190"/>
      <c r="E32" s="190"/>
      <c r="F32" s="151"/>
      <c r="G32" s="181"/>
      <c r="H32" s="181"/>
      <c r="I32" s="181"/>
      <c r="J32" s="181"/>
      <c r="K32" s="181"/>
      <c r="L32" s="181"/>
      <c r="M32" s="181"/>
      <c r="N32" s="182"/>
      <c r="O32" s="183"/>
    </row>
    <row r="33" spans="1:15">
      <c r="A33" s="173" t="s">
        <v>120</v>
      </c>
      <c r="B33" s="185" t="s">
        <v>51</v>
      </c>
      <c r="C33" s="187" t="s">
        <v>18</v>
      </c>
      <c r="D33" s="187" t="s">
        <v>44</v>
      </c>
      <c r="E33" s="187" t="s">
        <v>40</v>
      </c>
      <c r="F33" s="149"/>
      <c r="G33" s="179">
        <v>2</v>
      </c>
      <c r="H33" s="179">
        <v>4</v>
      </c>
      <c r="I33" s="179">
        <v>1</v>
      </c>
      <c r="J33" s="179">
        <v>4</v>
      </c>
      <c r="K33" s="179">
        <v>1</v>
      </c>
      <c r="L33" s="179">
        <v>2</v>
      </c>
      <c r="M33" s="179">
        <v>3</v>
      </c>
      <c r="N33" s="175">
        <f t="shared" ref="N33" si="9">AVERAGE(G33:M35)</f>
        <v>2.4285714285714284</v>
      </c>
      <c r="O33" s="177" t="s">
        <v>121</v>
      </c>
    </row>
    <row r="34" spans="1:15">
      <c r="A34" s="173"/>
      <c r="B34" s="186"/>
      <c r="C34" s="188"/>
      <c r="D34" s="188"/>
      <c r="E34" s="188"/>
      <c r="F34" s="150"/>
      <c r="G34" s="180"/>
      <c r="H34" s="180"/>
      <c r="I34" s="180"/>
      <c r="J34" s="180"/>
      <c r="K34" s="180"/>
      <c r="L34" s="180"/>
      <c r="M34" s="180"/>
      <c r="N34" s="176"/>
      <c r="O34" s="178"/>
    </row>
    <row r="35" spans="1:15">
      <c r="A35" s="173"/>
      <c r="B35" s="189"/>
      <c r="C35" s="190"/>
      <c r="D35" s="190"/>
      <c r="E35" s="190"/>
      <c r="F35" s="151"/>
      <c r="G35" s="181"/>
      <c r="H35" s="181"/>
      <c r="I35" s="181"/>
      <c r="J35" s="181"/>
      <c r="K35" s="181"/>
      <c r="L35" s="181"/>
      <c r="M35" s="181"/>
      <c r="N35" s="182"/>
      <c r="O35" s="183"/>
    </row>
    <row r="36" spans="1:15">
      <c r="A36" s="173" t="s">
        <v>122</v>
      </c>
      <c r="B36" s="185" t="s">
        <v>123</v>
      </c>
      <c r="C36" s="187" t="s">
        <v>14</v>
      </c>
      <c r="D36" s="187" t="s">
        <v>44</v>
      </c>
      <c r="E36" s="187" t="s">
        <v>40</v>
      </c>
      <c r="F36" s="149"/>
      <c r="G36" s="179">
        <v>3</v>
      </c>
      <c r="H36" s="179">
        <v>0</v>
      </c>
      <c r="I36" s="179">
        <v>4</v>
      </c>
      <c r="J36" s="179">
        <v>1</v>
      </c>
      <c r="K36" s="179" t="s">
        <v>118</v>
      </c>
      <c r="L36" s="179">
        <v>2</v>
      </c>
      <c r="M36" s="179" t="s">
        <v>118</v>
      </c>
      <c r="N36" s="175">
        <f t="shared" ref="N36" si="10">AVERAGE(G36:M38)</f>
        <v>2</v>
      </c>
      <c r="O36" s="177" t="s">
        <v>190</v>
      </c>
    </row>
    <row r="37" spans="1:15">
      <c r="A37" s="173"/>
      <c r="B37" s="186"/>
      <c r="C37" s="188"/>
      <c r="D37" s="188"/>
      <c r="E37" s="188"/>
      <c r="F37" s="150"/>
      <c r="G37" s="180"/>
      <c r="H37" s="180"/>
      <c r="I37" s="180"/>
      <c r="J37" s="180"/>
      <c r="K37" s="180"/>
      <c r="L37" s="180"/>
      <c r="M37" s="180"/>
      <c r="N37" s="176"/>
      <c r="O37" s="178"/>
    </row>
    <row r="38" spans="1:15">
      <c r="A38" s="173"/>
      <c r="B38" s="189"/>
      <c r="C38" s="190"/>
      <c r="D38" s="190"/>
      <c r="E38" s="190"/>
      <c r="F38" s="151"/>
      <c r="G38" s="181"/>
      <c r="H38" s="181"/>
      <c r="I38" s="181"/>
      <c r="J38" s="181"/>
      <c r="K38" s="181"/>
      <c r="L38" s="181"/>
      <c r="M38" s="181"/>
      <c r="N38" s="182"/>
      <c r="O38" s="183"/>
    </row>
    <row r="39" spans="1:15">
      <c r="A39" s="173" t="s">
        <v>125</v>
      </c>
      <c r="B39" s="185" t="s">
        <v>123</v>
      </c>
      <c r="C39" s="187" t="s">
        <v>14</v>
      </c>
      <c r="D39" s="187" t="s">
        <v>44</v>
      </c>
      <c r="E39" s="187" t="s">
        <v>41</v>
      </c>
      <c r="F39" s="149"/>
      <c r="G39" s="179">
        <v>2</v>
      </c>
      <c r="H39" s="179">
        <v>4</v>
      </c>
      <c r="I39" s="179">
        <v>1</v>
      </c>
      <c r="J39" s="179">
        <v>4</v>
      </c>
      <c r="K39" s="179">
        <v>2</v>
      </c>
      <c r="L39" s="179">
        <v>2</v>
      </c>
      <c r="M39" s="179">
        <v>1</v>
      </c>
      <c r="N39" s="175">
        <f t="shared" ref="N39" si="11">AVERAGE(G39:M41)</f>
        <v>2.2857142857142856</v>
      </c>
      <c r="O39" s="177" t="s">
        <v>191</v>
      </c>
    </row>
    <row r="40" spans="1:15">
      <c r="A40" s="173"/>
      <c r="B40" s="186"/>
      <c r="C40" s="188"/>
      <c r="D40" s="188"/>
      <c r="E40" s="188"/>
      <c r="F40" s="150"/>
      <c r="G40" s="180"/>
      <c r="H40" s="180"/>
      <c r="I40" s="180"/>
      <c r="J40" s="180"/>
      <c r="K40" s="180"/>
      <c r="L40" s="180"/>
      <c r="M40" s="180"/>
      <c r="N40" s="176"/>
      <c r="O40" s="178"/>
    </row>
    <row r="41" spans="1:15">
      <c r="A41" s="173"/>
      <c r="B41" s="189"/>
      <c r="C41" s="190"/>
      <c r="D41" s="190"/>
      <c r="E41" s="190"/>
      <c r="F41" s="151"/>
      <c r="G41" s="181"/>
      <c r="H41" s="181"/>
      <c r="I41" s="181"/>
      <c r="J41" s="181"/>
      <c r="K41" s="181"/>
      <c r="L41" s="181"/>
      <c r="M41" s="181"/>
      <c r="N41" s="182"/>
      <c r="O41" s="183"/>
    </row>
    <row r="42" spans="1:15">
      <c r="A42" s="173" t="s">
        <v>127</v>
      </c>
      <c r="B42" s="185" t="s">
        <v>123</v>
      </c>
      <c r="C42" s="187" t="s">
        <v>26</v>
      </c>
      <c r="D42" s="187" t="s">
        <v>48</v>
      </c>
      <c r="E42" s="187"/>
      <c r="F42" s="149"/>
      <c r="G42" s="179">
        <v>1</v>
      </c>
      <c r="H42" s="179">
        <v>3</v>
      </c>
      <c r="I42" s="179">
        <v>3</v>
      </c>
      <c r="J42" s="179">
        <v>4</v>
      </c>
      <c r="K42" s="179">
        <v>3</v>
      </c>
      <c r="L42" s="179">
        <v>4</v>
      </c>
      <c r="M42" s="179">
        <v>1</v>
      </c>
      <c r="N42" s="175">
        <f t="shared" ref="N42" si="12">AVERAGE(G42:M44)</f>
        <v>2.7142857142857144</v>
      </c>
      <c r="O42" s="177" t="s">
        <v>192</v>
      </c>
    </row>
    <row r="43" spans="1:15">
      <c r="A43" s="173"/>
      <c r="B43" s="186"/>
      <c r="C43" s="188"/>
      <c r="D43" s="188"/>
      <c r="E43" s="188"/>
      <c r="F43" s="150"/>
      <c r="G43" s="180"/>
      <c r="H43" s="180"/>
      <c r="I43" s="180"/>
      <c r="J43" s="180"/>
      <c r="K43" s="180"/>
      <c r="L43" s="180"/>
      <c r="M43" s="180"/>
      <c r="N43" s="176"/>
      <c r="O43" s="178"/>
    </row>
    <row r="44" spans="1:15">
      <c r="A44" s="173"/>
      <c r="B44" s="189"/>
      <c r="C44" s="190"/>
      <c r="D44" s="190"/>
      <c r="E44" s="190"/>
      <c r="F44" s="151"/>
      <c r="G44" s="181"/>
      <c r="H44" s="181"/>
      <c r="I44" s="181"/>
      <c r="J44" s="181"/>
      <c r="K44" s="181"/>
      <c r="L44" s="181"/>
      <c r="M44" s="181"/>
      <c r="N44" s="182"/>
      <c r="O44" s="183"/>
    </row>
    <row r="45" spans="1:15">
      <c r="A45" s="173" t="s">
        <v>129</v>
      </c>
      <c r="B45" s="185" t="s">
        <v>123</v>
      </c>
      <c r="C45" s="187" t="s">
        <v>26</v>
      </c>
      <c r="D45" s="187" t="s">
        <v>47</v>
      </c>
      <c r="E45" s="187" t="s">
        <v>41</v>
      </c>
      <c r="F45" s="149"/>
      <c r="G45" s="179">
        <v>0</v>
      </c>
      <c r="H45" s="179">
        <v>0</v>
      </c>
      <c r="I45" s="179">
        <v>0</v>
      </c>
      <c r="J45" s="179">
        <v>0</v>
      </c>
      <c r="K45" s="179">
        <v>0</v>
      </c>
      <c r="L45" s="179">
        <v>0</v>
      </c>
      <c r="M45" s="179">
        <v>0</v>
      </c>
      <c r="N45" s="175">
        <f>AVERAGE(G45:M46)</f>
        <v>0</v>
      </c>
      <c r="O45" s="177" t="s">
        <v>107</v>
      </c>
    </row>
    <row r="46" spans="1:15">
      <c r="A46" s="173"/>
      <c r="B46" s="186"/>
      <c r="C46" s="188"/>
      <c r="D46" s="188"/>
      <c r="E46" s="188"/>
      <c r="F46" s="150"/>
      <c r="G46" s="180"/>
      <c r="H46" s="180"/>
      <c r="I46" s="180"/>
      <c r="J46" s="180"/>
      <c r="K46" s="180"/>
      <c r="L46" s="180"/>
      <c r="M46" s="180"/>
      <c r="N46" s="176"/>
      <c r="O46" s="178"/>
    </row>
    <row r="47" spans="1:15">
      <c r="A47" s="173" t="s">
        <v>130</v>
      </c>
      <c r="B47" s="185" t="s">
        <v>123</v>
      </c>
      <c r="C47" s="187" t="s">
        <v>18</v>
      </c>
      <c r="D47" s="187" t="s">
        <v>44</v>
      </c>
      <c r="E47" s="187" t="s">
        <v>40</v>
      </c>
      <c r="F47" s="149"/>
      <c r="G47" s="179">
        <v>1</v>
      </c>
      <c r="H47" s="179">
        <v>1</v>
      </c>
      <c r="I47" s="179">
        <v>1</v>
      </c>
      <c r="J47" s="179">
        <v>1</v>
      </c>
      <c r="K47" s="179">
        <v>1</v>
      </c>
      <c r="L47" s="179">
        <v>0</v>
      </c>
      <c r="M47" s="179">
        <v>0</v>
      </c>
      <c r="N47" s="175">
        <f t="shared" ref="N47" si="13">AVERAGE(G47:M49)</f>
        <v>0.7142857142857143</v>
      </c>
      <c r="O47" s="177" t="s">
        <v>193</v>
      </c>
    </row>
    <row r="48" spans="1:15">
      <c r="A48" s="173"/>
      <c r="B48" s="186"/>
      <c r="C48" s="188"/>
      <c r="D48" s="188"/>
      <c r="E48" s="188"/>
      <c r="F48" s="150"/>
      <c r="G48" s="180"/>
      <c r="H48" s="180"/>
      <c r="I48" s="180"/>
      <c r="J48" s="180"/>
      <c r="K48" s="180"/>
      <c r="L48" s="180"/>
      <c r="M48" s="180"/>
      <c r="N48" s="176"/>
      <c r="O48" s="178"/>
    </row>
    <row r="49" spans="1:15">
      <c r="A49" s="173"/>
      <c r="B49" s="189"/>
      <c r="C49" s="190"/>
      <c r="D49" s="190"/>
      <c r="E49" s="190"/>
      <c r="F49" s="151"/>
      <c r="G49" s="181"/>
      <c r="H49" s="181"/>
      <c r="I49" s="181"/>
      <c r="J49" s="181"/>
      <c r="K49" s="181"/>
      <c r="L49" s="181"/>
      <c r="M49" s="181"/>
      <c r="N49" s="182"/>
      <c r="O49" s="183"/>
    </row>
    <row r="50" spans="1:15">
      <c r="A50" s="173" t="s">
        <v>132</v>
      </c>
      <c r="B50" s="185" t="s">
        <v>123</v>
      </c>
      <c r="C50" s="187" t="s">
        <v>26</v>
      </c>
      <c r="D50" s="187" t="s">
        <v>48</v>
      </c>
      <c r="E50" s="187"/>
      <c r="F50" s="149"/>
      <c r="G50" s="179">
        <v>1</v>
      </c>
      <c r="H50" s="179">
        <v>2</v>
      </c>
      <c r="I50" s="179">
        <v>0</v>
      </c>
      <c r="J50" s="179">
        <v>0</v>
      </c>
      <c r="K50" s="179">
        <v>0</v>
      </c>
      <c r="L50" s="179">
        <v>0</v>
      </c>
      <c r="M50" s="179">
        <v>0</v>
      </c>
      <c r="N50" s="175">
        <f t="shared" ref="N50" si="14">AVERAGE(G50:M52)</f>
        <v>0.42857142857142855</v>
      </c>
      <c r="O50" s="177" t="s">
        <v>133</v>
      </c>
    </row>
    <row r="51" spans="1:15">
      <c r="A51" s="173"/>
      <c r="B51" s="186"/>
      <c r="C51" s="188"/>
      <c r="D51" s="188"/>
      <c r="E51" s="188"/>
      <c r="F51" s="150"/>
      <c r="G51" s="180"/>
      <c r="H51" s="180"/>
      <c r="I51" s="180"/>
      <c r="J51" s="180"/>
      <c r="K51" s="180"/>
      <c r="L51" s="180"/>
      <c r="M51" s="180"/>
      <c r="N51" s="176"/>
      <c r="O51" s="178"/>
    </row>
    <row r="52" spans="1:15">
      <c r="A52" s="173"/>
      <c r="B52" s="189"/>
      <c r="C52" s="190"/>
      <c r="D52" s="190"/>
      <c r="E52" s="190"/>
      <c r="F52" s="151"/>
      <c r="G52" s="181"/>
      <c r="H52" s="181"/>
      <c r="I52" s="181"/>
      <c r="J52" s="181"/>
      <c r="K52" s="181"/>
      <c r="L52" s="181"/>
      <c r="M52" s="181"/>
      <c r="N52" s="182"/>
      <c r="O52" s="183"/>
    </row>
    <row r="53" spans="1:15">
      <c r="A53" s="173" t="s">
        <v>134</v>
      </c>
      <c r="B53" s="185" t="s">
        <v>123</v>
      </c>
      <c r="C53" s="187" t="s">
        <v>14</v>
      </c>
      <c r="D53" s="187" t="s">
        <v>44</v>
      </c>
      <c r="E53" s="187" t="s">
        <v>38</v>
      </c>
      <c r="F53" s="149"/>
      <c r="G53" s="179">
        <v>1</v>
      </c>
      <c r="H53" s="179">
        <v>2</v>
      </c>
      <c r="I53" s="179">
        <v>1</v>
      </c>
      <c r="J53" s="179">
        <v>2</v>
      </c>
      <c r="K53" s="179">
        <v>0</v>
      </c>
      <c r="L53" s="179">
        <v>0</v>
      </c>
      <c r="M53" s="179">
        <v>1</v>
      </c>
      <c r="N53" s="175">
        <f t="shared" ref="N53" si="15">AVERAGE(G53:M55)</f>
        <v>1</v>
      </c>
      <c r="O53" s="177" t="s">
        <v>194</v>
      </c>
    </row>
    <row r="54" spans="1:15">
      <c r="A54" s="173"/>
      <c r="B54" s="186"/>
      <c r="C54" s="188"/>
      <c r="D54" s="188"/>
      <c r="E54" s="188"/>
      <c r="F54" s="150"/>
      <c r="G54" s="180"/>
      <c r="H54" s="180"/>
      <c r="I54" s="180"/>
      <c r="J54" s="180"/>
      <c r="K54" s="180"/>
      <c r="L54" s="180"/>
      <c r="M54" s="180"/>
      <c r="N54" s="176"/>
      <c r="O54" s="178"/>
    </row>
    <row r="55" spans="1:15">
      <c r="A55" s="173"/>
      <c r="B55" s="189"/>
      <c r="C55" s="190"/>
      <c r="D55" s="190"/>
      <c r="E55" s="190"/>
      <c r="F55" s="151"/>
      <c r="G55" s="181"/>
      <c r="H55" s="181"/>
      <c r="I55" s="181"/>
      <c r="J55" s="181"/>
      <c r="K55" s="181"/>
      <c r="L55" s="181"/>
      <c r="M55" s="181"/>
      <c r="N55" s="182"/>
      <c r="O55" s="183"/>
    </row>
    <row r="56" spans="1:15">
      <c r="A56" s="173" t="s">
        <v>136</v>
      </c>
      <c r="B56" s="185" t="s">
        <v>123</v>
      </c>
      <c r="C56" s="187" t="s">
        <v>10</v>
      </c>
      <c r="D56" s="187" t="s">
        <v>44</v>
      </c>
      <c r="E56" s="187" t="s">
        <v>38</v>
      </c>
      <c r="F56" s="149"/>
      <c r="G56" s="179">
        <v>3</v>
      </c>
      <c r="H56" s="179">
        <v>0</v>
      </c>
      <c r="I56" s="179">
        <v>1</v>
      </c>
      <c r="J56" s="179">
        <v>0</v>
      </c>
      <c r="K56" s="179">
        <v>0</v>
      </c>
      <c r="L56" s="179">
        <v>1</v>
      </c>
      <c r="M56" s="179">
        <v>0</v>
      </c>
      <c r="N56" s="175">
        <f t="shared" ref="N56" si="16">AVERAGE(G56:M58)</f>
        <v>0.7142857142857143</v>
      </c>
      <c r="O56" s="177" t="s">
        <v>195</v>
      </c>
    </row>
    <row r="57" spans="1:15">
      <c r="A57" s="173"/>
      <c r="B57" s="186"/>
      <c r="C57" s="188"/>
      <c r="D57" s="188"/>
      <c r="E57" s="188"/>
      <c r="F57" s="150"/>
      <c r="G57" s="180"/>
      <c r="H57" s="180"/>
      <c r="I57" s="180"/>
      <c r="J57" s="180"/>
      <c r="K57" s="180"/>
      <c r="L57" s="180"/>
      <c r="M57" s="180"/>
      <c r="N57" s="176"/>
      <c r="O57" s="178"/>
    </row>
    <row r="58" spans="1:15">
      <c r="A58" s="173"/>
      <c r="B58" s="189"/>
      <c r="C58" s="190"/>
      <c r="D58" s="190"/>
      <c r="E58" s="190"/>
      <c r="F58" s="151"/>
      <c r="G58" s="181"/>
      <c r="H58" s="181"/>
      <c r="I58" s="181"/>
      <c r="J58" s="181"/>
      <c r="K58" s="181"/>
      <c r="L58" s="181"/>
      <c r="M58" s="181"/>
      <c r="N58" s="182"/>
      <c r="O58" s="183"/>
    </row>
    <row r="59" spans="1:15">
      <c r="A59" s="173" t="s">
        <v>138</v>
      </c>
      <c r="B59" s="185" t="s">
        <v>123</v>
      </c>
      <c r="C59" s="187" t="s">
        <v>26</v>
      </c>
      <c r="D59" s="187" t="s">
        <v>48</v>
      </c>
      <c r="E59" s="187"/>
      <c r="F59" s="149"/>
      <c r="G59" s="179">
        <v>1</v>
      </c>
      <c r="H59" s="179">
        <v>0</v>
      </c>
      <c r="I59" s="179">
        <v>0</v>
      </c>
      <c r="J59" s="179">
        <v>0</v>
      </c>
      <c r="K59" s="179">
        <v>0</v>
      </c>
      <c r="L59" s="179">
        <v>1</v>
      </c>
      <c r="M59" s="179">
        <v>0</v>
      </c>
      <c r="N59" s="175">
        <f t="shared" ref="N59" si="17">AVERAGE(G59:M61)</f>
        <v>0.2857142857142857</v>
      </c>
      <c r="O59" s="177" t="s">
        <v>196</v>
      </c>
    </row>
    <row r="60" spans="1:15">
      <c r="A60" s="173"/>
      <c r="B60" s="186"/>
      <c r="C60" s="188"/>
      <c r="D60" s="188"/>
      <c r="E60" s="188"/>
      <c r="F60" s="150"/>
      <c r="G60" s="180"/>
      <c r="H60" s="180"/>
      <c r="I60" s="180"/>
      <c r="J60" s="180"/>
      <c r="K60" s="180"/>
      <c r="L60" s="180"/>
      <c r="M60" s="180"/>
      <c r="N60" s="176"/>
      <c r="O60" s="178"/>
    </row>
    <row r="61" spans="1:15">
      <c r="A61" s="173"/>
      <c r="B61" s="189"/>
      <c r="C61" s="190"/>
      <c r="D61" s="190"/>
      <c r="E61" s="190"/>
      <c r="F61" s="151"/>
      <c r="G61" s="181"/>
      <c r="H61" s="181"/>
      <c r="I61" s="181"/>
      <c r="J61" s="181"/>
      <c r="K61" s="181"/>
      <c r="L61" s="181"/>
      <c r="M61" s="181"/>
      <c r="N61" s="182"/>
      <c r="O61" s="183"/>
    </row>
    <row r="62" spans="1:15">
      <c r="A62" s="173" t="s">
        <v>139</v>
      </c>
      <c r="B62" s="185" t="s">
        <v>123</v>
      </c>
      <c r="C62" s="187" t="s">
        <v>26</v>
      </c>
      <c r="D62" s="187" t="s">
        <v>48</v>
      </c>
      <c r="E62" s="187"/>
      <c r="F62" s="149"/>
      <c r="G62" s="179">
        <v>2</v>
      </c>
      <c r="H62" s="179">
        <v>0</v>
      </c>
      <c r="I62" s="179">
        <v>0</v>
      </c>
      <c r="J62" s="179">
        <v>0</v>
      </c>
      <c r="K62" s="179">
        <v>0</v>
      </c>
      <c r="L62" s="179">
        <v>1</v>
      </c>
      <c r="M62" s="179">
        <v>0</v>
      </c>
      <c r="N62" s="175">
        <f t="shared" ref="N62" si="18">AVERAGE(G62:M64)</f>
        <v>0.42857142857142855</v>
      </c>
      <c r="O62" s="177" t="s">
        <v>197</v>
      </c>
    </row>
    <row r="63" spans="1:15">
      <c r="A63" s="173"/>
      <c r="B63" s="186"/>
      <c r="C63" s="188"/>
      <c r="D63" s="188"/>
      <c r="E63" s="188"/>
      <c r="F63" s="150"/>
      <c r="G63" s="180"/>
      <c r="H63" s="180"/>
      <c r="I63" s="180"/>
      <c r="J63" s="180"/>
      <c r="K63" s="180"/>
      <c r="L63" s="180"/>
      <c r="M63" s="180"/>
      <c r="N63" s="176"/>
      <c r="O63" s="178"/>
    </row>
    <row r="64" spans="1:15">
      <c r="A64" s="173"/>
      <c r="B64" s="189"/>
      <c r="C64" s="190"/>
      <c r="D64" s="190"/>
      <c r="E64" s="190"/>
      <c r="F64" s="151"/>
      <c r="G64" s="181"/>
      <c r="H64" s="181"/>
      <c r="I64" s="181"/>
      <c r="J64" s="181"/>
      <c r="K64" s="181"/>
      <c r="L64" s="181"/>
      <c r="M64" s="181"/>
      <c r="N64" s="182"/>
      <c r="O64" s="183"/>
    </row>
    <row r="65" spans="1:15">
      <c r="A65" s="173" t="s">
        <v>141</v>
      </c>
      <c r="B65" s="185" t="s">
        <v>123</v>
      </c>
      <c r="C65" s="187" t="s">
        <v>26</v>
      </c>
      <c r="D65" s="187" t="s">
        <v>48</v>
      </c>
      <c r="E65" s="187"/>
      <c r="F65" s="149"/>
      <c r="G65" s="179">
        <v>5</v>
      </c>
      <c r="H65" s="179">
        <v>3</v>
      </c>
      <c r="I65" s="179">
        <v>0</v>
      </c>
      <c r="J65" s="179">
        <v>0</v>
      </c>
      <c r="K65" s="179">
        <v>0</v>
      </c>
      <c r="L65" s="179">
        <v>3</v>
      </c>
      <c r="M65" s="179">
        <v>0</v>
      </c>
      <c r="N65" s="175">
        <f t="shared" ref="N65" si="19">AVERAGE(G65:M67)</f>
        <v>1.5714285714285714</v>
      </c>
      <c r="O65" s="177" t="s">
        <v>198</v>
      </c>
    </row>
    <row r="66" spans="1:15">
      <c r="A66" s="173"/>
      <c r="B66" s="186"/>
      <c r="C66" s="188"/>
      <c r="D66" s="188"/>
      <c r="E66" s="188"/>
      <c r="F66" s="150"/>
      <c r="G66" s="180"/>
      <c r="H66" s="180"/>
      <c r="I66" s="180"/>
      <c r="J66" s="180"/>
      <c r="K66" s="180"/>
      <c r="L66" s="180"/>
      <c r="M66" s="180"/>
      <c r="N66" s="176"/>
      <c r="O66" s="178"/>
    </row>
    <row r="67" spans="1:15">
      <c r="A67" s="173"/>
      <c r="B67" s="189"/>
      <c r="C67" s="190"/>
      <c r="D67" s="190"/>
      <c r="E67" s="190"/>
      <c r="F67" s="151"/>
      <c r="G67" s="181"/>
      <c r="H67" s="181"/>
      <c r="I67" s="181"/>
      <c r="J67" s="181"/>
      <c r="K67" s="181"/>
      <c r="L67" s="181"/>
      <c r="M67" s="181"/>
      <c r="N67" s="182"/>
      <c r="O67" s="183"/>
    </row>
    <row r="68" spans="1:15">
      <c r="A68" s="173" t="s">
        <v>143</v>
      </c>
      <c r="B68" s="185" t="s">
        <v>123</v>
      </c>
      <c r="C68" s="187" t="s">
        <v>26</v>
      </c>
      <c r="D68" s="187" t="s">
        <v>48</v>
      </c>
      <c r="E68" s="187"/>
      <c r="F68" s="149"/>
      <c r="G68" s="179">
        <v>0</v>
      </c>
      <c r="H68" s="179">
        <v>0</v>
      </c>
      <c r="I68" s="179">
        <v>0</v>
      </c>
      <c r="J68" s="179">
        <v>0</v>
      </c>
      <c r="K68" s="179">
        <v>0</v>
      </c>
      <c r="L68" s="179">
        <v>0</v>
      </c>
      <c r="M68" s="179">
        <v>0</v>
      </c>
      <c r="N68" s="175">
        <f t="shared" ref="N68" si="20">AVERAGE(G68:M70)</f>
        <v>0</v>
      </c>
      <c r="O68" s="177" t="s">
        <v>199</v>
      </c>
    </row>
    <row r="69" spans="1:15">
      <c r="A69" s="173"/>
      <c r="B69" s="186"/>
      <c r="C69" s="188"/>
      <c r="D69" s="188"/>
      <c r="E69" s="188"/>
      <c r="F69" s="150"/>
      <c r="G69" s="180"/>
      <c r="H69" s="180"/>
      <c r="I69" s="180"/>
      <c r="J69" s="180"/>
      <c r="K69" s="180"/>
      <c r="L69" s="180"/>
      <c r="M69" s="180"/>
      <c r="N69" s="176"/>
      <c r="O69" s="178"/>
    </row>
    <row r="70" spans="1:15">
      <c r="A70" s="173"/>
      <c r="B70" s="189"/>
      <c r="C70" s="190"/>
      <c r="D70" s="190"/>
      <c r="E70" s="190"/>
      <c r="F70" s="151"/>
      <c r="G70" s="181"/>
      <c r="H70" s="181"/>
      <c r="I70" s="181"/>
      <c r="J70" s="181"/>
      <c r="K70" s="181"/>
      <c r="L70" s="181"/>
      <c r="M70" s="181"/>
      <c r="N70" s="182"/>
      <c r="O70" s="183"/>
    </row>
    <row r="71" spans="1:15">
      <c r="A71" s="173" t="s">
        <v>145</v>
      </c>
      <c r="B71" s="185" t="s">
        <v>123</v>
      </c>
      <c r="C71" s="187" t="s">
        <v>6</v>
      </c>
      <c r="D71" s="187"/>
      <c r="E71" s="187" t="s">
        <v>37</v>
      </c>
      <c r="F71" s="149"/>
      <c r="G71" s="179">
        <v>0</v>
      </c>
      <c r="H71" s="179">
        <v>0</v>
      </c>
      <c r="I71" s="179">
        <v>0</v>
      </c>
      <c r="J71" s="179">
        <v>0</v>
      </c>
      <c r="K71" s="179">
        <v>0</v>
      </c>
      <c r="L71" s="179">
        <v>0</v>
      </c>
      <c r="M71" s="179">
        <v>0</v>
      </c>
      <c r="N71" s="175">
        <f t="shared" ref="N71" si="21">AVERAGE(G71:M73)</f>
        <v>0</v>
      </c>
      <c r="O71" s="177" t="s">
        <v>146</v>
      </c>
    </row>
    <row r="72" spans="1:15">
      <c r="A72" s="173"/>
      <c r="B72" s="186"/>
      <c r="C72" s="188"/>
      <c r="D72" s="188"/>
      <c r="E72" s="188"/>
      <c r="F72" s="150"/>
      <c r="G72" s="180"/>
      <c r="H72" s="180"/>
      <c r="I72" s="180"/>
      <c r="J72" s="180"/>
      <c r="K72" s="180"/>
      <c r="L72" s="180"/>
      <c r="M72" s="180"/>
      <c r="N72" s="176"/>
      <c r="O72" s="178"/>
    </row>
    <row r="73" spans="1:15">
      <c r="A73" s="173"/>
      <c r="B73" s="189"/>
      <c r="C73" s="190"/>
      <c r="D73" s="190"/>
      <c r="E73" s="190"/>
      <c r="F73" s="151"/>
      <c r="G73" s="181"/>
      <c r="H73" s="181"/>
      <c r="I73" s="181"/>
      <c r="J73" s="181"/>
      <c r="K73" s="181"/>
      <c r="L73" s="181"/>
      <c r="M73" s="181"/>
      <c r="N73" s="182"/>
      <c r="O73" s="183"/>
    </row>
    <row r="74" spans="1:15">
      <c r="A74" s="173" t="s">
        <v>147</v>
      </c>
      <c r="B74" s="174" t="s">
        <v>123</v>
      </c>
      <c r="C74" s="174" t="s">
        <v>6</v>
      </c>
      <c r="D74" s="174"/>
      <c r="E74" s="174" t="s">
        <v>39</v>
      </c>
      <c r="F74" s="141"/>
      <c r="G74" s="172">
        <v>3</v>
      </c>
      <c r="H74" s="172">
        <v>0</v>
      </c>
      <c r="I74" s="172">
        <v>0</v>
      </c>
      <c r="J74" s="172">
        <v>0</v>
      </c>
      <c r="K74" s="172">
        <v>0</v>
      </c>
      <c r="L74" s="172">
        <v>0</v>
      </c>
      <c r="M74" s="172">
        <v>0</v>
      </c>
      <c r="N74" s="170">
        <f t="shared" ref="N74" si="22">AVERAGE(G74:M76)</f>
        <v>0.42857142857142855</v>
      </c>
      <c r="O74" s="171" t="s">
        <v>148</v>
      </c>
    </row>
    <row r="75" spans="1:15">
      <c r="A75" s="173"/>
      <c r="B75" s="174"/>
      <c r="C75" s="174"/>
      <c r="D75" s="174"/>
      <c r="E75" s="174"/>
      <c r="F75" s="141"/>
      <c r="G75" s="172"/>
      <c r="H75" s="172"/>
      <c r="I75" s="172"/>
      <c r="J75" s="172"/>
      <c r="K75" s="172"/>
      <c r="L75" s="172"/>
      <c r="M75" s="172"/>
      <c r="N75" s="170"/>
      <c r="O75" s="171"/>
    </row>
    <row r="76" spans="1:15">
      <c r="A76" s="173"/>
      <c r="B76" s="174"/>
      <c r="C76" s="174"/>
      <c r="D76" s="174"/>
      <c r="E76" s="174"/>
      <c r="F76" s="141"/>
      <c r="G76" s="172"/>
      <c r="H76" s="172"/>
      <c r="I76" s="172"/>
      <c r="J76" s="172"/>
      <c r="K76" s="172"/>
      <c r="L76" s="172"/>
      <c r="M76" s="172"/>
      <c r="N76" s="170"/>
      <c r="O76" s="171"/>
    </row>
    <row r="77" spans="1:15">
      <c r="A77" s="173" t="s">
        <v>149</v>
      </c>
      <c r="B77" s="185" t="s">
        <v>150</v>
      </c>
      <c r="C77" s="187" t="s">
        <v>26</v>
      </c>
      <c r="D77" s="187" t="s">
        <v>44</v>
      </c>
      <c r="E77" s="187" t="s">
        <v>37</v>
      </c>
      <c r="F77" s="149"/>
      <c r="G77" s="179">
        <v>5</v>
      </c>
      <c r="H77" s="179">
        <v>5</v>
      </c>
      <c r="I77" s="179">
        <v>5</v>
      </c>
      <c r="J77" s="179">
        <v>5</v>
      </c>
      <c r="K77" s="179">
        <v>5</v>
      </c>
      <c r="L77" s="179">
        <v>5</v>
      </c>
      <c r="M77" s="179">
        <v>5</v>
      </c>
      <c r="N77" s="175">
        <f t="shared" ref="N77" si="23">AVERAGE(G77:M79)</f>
        <v>5</v>
      </c>
      <c r="O77" s="177" t="s">
        <v>151</v>
      </c>
    </row>
    <row r="78" spans="1:15">
      <c r="A78" s="173"/>
      <c r="B78" s="186"/>
      <c r="C78" s="188"/>
      <c r="D78" s="188"/>
      <c r="E78" s="188"/>
      <c r="F78" s="150"/>
      <c r="G78" s="180"/>
      <c r="H78" s="180"/>
      <c r="I78" s="180"/>
      <c r="J78" s="180"/>
      <c r="K78" s="180"/>
      <c r="L78" s="180"/>
      <c r="M78" s="180"/>
      <c r="N78" s="176"/>
      <c r="O78" s="178"/>
    </row>
    <row r="79" spans="1:15">
      <c r="A79" s="173"/>
      <c r="B79" s="189"/>
      <c r="C79" s="190"/>
      <c r="D79" s="190"/>
      <c r="E79" s="190"/>
      <c r="F79" s="151"/>
      <c r="G79" s="181"/>
      <c r="H79" s="181"/>
      <c r="I79" s="181"/>
      <c r="J79" s="181"/>
      <c r="K79" s="181"/>
      <c r="L79" s="181"/>
      <c r="M79" s="181"/>
      <c r="N79" s="182"/>
      <c r="O79" s="183"/>
    </row>
    <row r="80" spans="1:15">
      <c r="A80" s="173" t="s">
        <v>152</v>
      </c>
      <c r="B80" s="185" t="s">
        <v>150</v>
      </c>
      <c r="C80" s="187" t="s">
        <v>14</v>
      </c>
      <c r="D80" s="187" t="s">
        <v>45</v>
      </c>
      <c r="E80" s="187" t="s">
        <v>42</v>
      </c>
      <c r="F80" s="149"/>
      <c r="G80" s="179">
        <v>3</v>
      </c>
      <c r="H80" s="179">
        <v>5</v>
      </c>
      <c r="I80" s="179">
        <v>5</v>
      </c>
      <c r="J80" s="179">
        <v>4</v>
      </c>
      <c r="K80" s="179">
        <v>1</v>
      </c>
      <c r="L80" s="179">
        <v>1</v>
      </c>
      <c r="M80" s="179" t="s">
        <v>118</v>
      </c>
      <c r="N80" s="175">
        <f t="shared" ref="N80" si="24">AVERAGE(G80:M82)</f>
        <v>3.1666666666666665</v>
      </c>
      <c r="O80" s="177" t="s">
        <v>200</v>
      </c>
    </row>
    <row r="81" spans="1:16">
      <c r="A81" s="173"/>
      <c r="B81" s="186"/>
      <c r="C81" s="188"/>
      <c r="D81" s="188"/>
      <c r="E81" s="188"/>
      <c r="F81" s="150"/>
      <c r="G81" s="180"/>
      <c r="H81" s="180"/>
      <c r="I81" s="180"/>
      <c r="J81" s="180"/>
      <c r="K81" s="180"/>
      <c r="L81" s="180"/>
      <c r="M81" s="180"/>
      <c r="N81" s="176"/>
      <c r="O81" s="178"/>
    </row>
    <row r="82" spans="1:16">
      <c r="A82" s="173"/>
      <c r="B82" s="189"/>
      <c r="C82" s="190"/>
      <c r="D82" s="190"/>
      <c r="E82" s="190"/>
      <c r="F82" s="151"/>
      <c r="G82" s="181"/>
      <c r="H82" s="181"/>
      <c r="I82" s="181"/>
      <c r="J82" s="181"/>
      <c r="K82" s="181"/>
      <c r="L82" s="181"/>
      <c r="M82" s="181"/>
      <c r="N82" s="182"/>
      <c r="O82" s="183"/>
    </row>
    <row r="83" spans="1:16">
      <c r="A83" s="173" t="s">
        <v>154</v>
      </c>
      <c r="B83" s="185" t="s">
        <v>150</v>
      </c>
      <c r="C83" s="187" t="s">
        <v>26</v>
      </c>
      <c r="D83" s="187" t="s">
        <v>48</v>
      </c>
      <c r="E83" s="187"/>
      <c r="F83" s="149"/>
      <c r="G83" s="179">
        <v>0</v>
      </c>
      <c r="H83" s="179">
        <v>0</v>
      </c>
      <c r="I83" s="179">
        <v>2</v>
      </c>
      <c r="J83" s="179">
        <v>0</v>
      </c>
      <c r="K83" s="179">
        <v>0</v>
      </c>
      <c r="L83" s="179">
        <v>1</v>
      </c>
      <c r="M83" s="179">
        <v>0</v>
      </c>
      <c r="N83" s="175">
        <f t="shared" ref="N83" si="25">AVERAGE(G83:M85)</f>
        <v>0.42857142857142855</v>
      </c>
      <c r="O83" s="177" t="s">
        <v>201</v>
      </c>
      <c r="P83" s="7" t="s">
        <v>202</v>
      </c>
    </row>
    <row r="84" spans="1:16">
      <c r="A84" s="173"/>
      <c r="B84" s="186"/>
      <c r="C84" s="188"/>
      <c r="D84" s="188"/>
      <c r="E84" s="188"/>
      <c r="F84" s="150"/>
      <c r="G84" s="180"/>
      <c r="H84" s="180"/>
      <c r="I84" s="180"/>
      <c r="J84" s="180"/>
      <c r="K84" s="180"/>
      <c r="L84" s="180"/>
      <c r="M84" s="180"/>
      <c r="N84" s="176"/>
      <c r="O84" s="178"/>
    </row>
    <row r="85" spans="1:16">
      <c r="A85" s="173"/>
      <c r="B85" s="189"/>
      <c r="C85" s="190"/>
      <c r="D85" s="190"/>
      <c r="E85" s="190"/>
      <c r="F85" s="151"/>
      <c r="G85" s="181"/>
      <c r="H85" s="181"/>
      <c r="I85" s="181"/>
      <c r="J85" s="181"/>
      <c r="K85" s="181"/>
      <c r="L85" s="181"/>
      <c r="M85" s="181"/>
      <c r="N85" s="182"/>
      <c r="O85" s="183"/>
    </row>
    <row r="86" spans="1:16">
      <c r="A86" s="173" t="s">
        <v>156</v>
      </c>
      <c r="B86" s="185" t="s">
        <v>150</v>
      </c>
      <c r="C86" s="187" t="s">
        <v>14</v>
      </c>
      <c r="D86" s="187" t="s">
        <v>44</v>
      </c>
      <c r="E86" s="187" t="s">
        <v>39</v>
      </c>
      <c r="F86" s="149"/>
      <c r="G86" s="179">
        <v>2</v>
      </c>
      <c r="H86" s="179">
        <v>0</v>
      </c>
      <c r="I86" s="179">
        <v>4</v>
      </c>
      <c r="J86" s="179">
        <v>4</v>
      </c>
      <c r="K86" s="179">
        <v>0</v>
      </c>
      <c r="L86" s="179">
        <v>2</v>
      </c>
      <c r="M86" s="179">
        <v>3</v>
      </c>
      <c r="N86" s="175">
        <f t="shared" ref="N86" si="26">AVERAGE(G86:M88)</f>
        <v>2.1428571428571428</v>
      </c>
      <c r="O86" s="177" t="s">
        <v>157</v>
      </c>
    </row>
    <row r="87" spans="1:16">
      <c r="A87" s="173"/>
      <c r="B87" s="186"/>
      <c r="C87" s="188"/>
      <c r="D87" s="188"/>
      <c r="E87" s="188"/>
      <c r="F87" s="150"/>
      <c r="G87" s="180"/>
      <c r="H87" s="180"/>
      <c r="I87" s="180"/>
      <c r="J87" s="180"/>
      <c r="K87" s="180"/>
      <c r="L87" s="180"/>
      <c r="M87" s="180"/>
      <c r="N87" s="176"/>
      <c r="O87" s="178"/>
    </row>
    <row r="88" spans="1:16">
      <c r="A88" s="173"/>
      <c r="B88" s="189"/>
      <c r="C88" s="190"/>
      <c r="D88" s="190"/>
      <c r="E88" s="190"/>
      <c r="F88" s="151"/>
      <c r="G88" s="181"/>
      <c r="H88" s="181"/>
      <c r="I88" s="181"/>
      <c r="J88" s="181"/>
      <c r="K88" s="181"/>
      <c r="L88" s="181"/>
      <c r="M88" s="181"/>
      <c r="N88" s="182"/>
      <c r="O88" s="183"/>
    </row>
    <row r="89" spans="1:16">
      <c r="A89" s="173" t="s">
        <v>158</v>
      </c>
      <c r="B89" s="185" t="s">
        <v>150</v>
      </c>
      <c r="C89" s="187" t="s">
        <v>10</v>
      </c>
      <c r="D89" s="187" t="s">
        <v>48</v>
      </c>
      <c r="E89" s="187" t="s">
        <v>38</v>
      </c>
      <c r="F89" s="149"/>
      <c r="G89" s="179">
        <v>2</v>
      </c>
      <c r="H89" s="179" t="s">
        <v>118</v>
      </c>
      <c r="I89" s="179" t="s">
        <v>118</v>
      </c>
      <c r="J89" s="179">
        <v>2</v>
      </c>
      <c r="K89" s="179">
        <v>0</v>
      </c>
      <c r="L89" s="179">
        <v>0</v>
      </c>
      <c r="M89" s="179" t="s">
        <v>118</v>
      </c>
      <c r="N89" s="175">
        <f t="shared" ref="N89" si="27">AVERAGE(G89:M91)</f>
        <v>1</v>
      </c>
      <c r="O89" s="177" t="s">
        <v>159</v>
      </c>
    </row>
    <row r="90" spans="1:16">
      <c r="A90" s="173"/>
      <c r="B90" s="186"/>
      <c r="C90" s="188"/>
      <c r="D90" s="188"/>
      <c r="E90" s="188"/>
      <c r="F90" s="150"/>
      <c r="G90" s="180"/>
      <c r="H90" s="180"/>
      <c r="I90" s="180"/>
      <c r="J90" s="180"/>
      <c r="K90" s="180"/>
      <c r="L90" s="180"/>
      <c r="M90" s="180"/>
      <c r="N90" s="176"/>
      <c r="O90" s="178"/>
    </row>
    <row r="91" spans="1:16">
      <c r="A91" s="173"/>
      <c r="B91" s="189"/>
      <c r="C91" s="190"/>
      <c r="D91" s="190"/>
      <c r="E91" s="190"/>
      <c r="F91" s="151"/>
      <c r="G91" s="181"/>
      <c r="H91" s="181"/>
      <c r="I91" s="181"/>
      <c r="J91" s="181"/>
      <c r="K91" s="181"/>
      <c r="L91" s="181"/>
      <c r="M91" s="181"/>
      <c r="N91" s="182"/>
      <c r="O91" s="183"/>
    </row>
    <row r="92" spans="1:16">
      <c r="A92" s="173" t="s">
        <v>160</v>
      </c>
      <c r="B92" s="185" t="s">
        <v>150</v>
      </c>
      <c r="C92" s="187" t="s">
        <v>10</v>
      </c>
      <c r="D92" s="187" t="s">
        <v>44</v>
      </c>
      <c r="E92" s="187" t="s">
        <v>38</v>
      </c>
      <c r="F92" s="149"/>
      <c r="G92" s="179">
        <v>0</v>
      </c>
      <c r="H92" s="179">
        <v>3</v>
      </c>
      <c r="I92" s="179">
        <v>0</v>
      </c>
      <c r="J92" s="179">
        <v>3</v>
      </c>
      <c r="K92" s="179">
        <v>0</v>
      </c>
      <c r="L92" s="179">
        <v>0</v>
      </c>
      <c r="M92" s="179" t="s">
        <v>118</v>
      </c>
      <c r="N92" s="175">
        <f t="shared" ref="N92" si="28">AVERAGE(G92:M94)</f>
        <v>1</v>
      </c>
      <c r="O92" s="177" t="s">
        <v>161</v>
      </c>
      <c r="P92" s="7" t="s">
        <v>202</v>
      </c>
    </row>
    <row r="93" spans="1:16">
      <c r="A93" s="173"/>
      <c r="B93" s="186"/>
      <c r="C93" s="188"/>
      <c r="D93" s="188"/>
      <c r="E93" s="188"/>
      <c r="F93" s="150"/>
      <c r="G93" s="180"/>
      <c r="H93" s="180"/>
      <c r="I93" s="180"/>
      <c r="J93" s="180"/>
      <c r="K93" s="180"/>
      <c r="L93" s="180"/>
      <c r="M93" s="180"/>
      <c r="N93" s="176"/>
      <c r="O93" s="178"/>
    </row>
    <row r="94" spans="1:16">
      <c r="A94" s="173"/>
      <c r="B94" s="189"/>
      <c r="C94" s="190"/>
      <c r="D94" s="190"/>
      <c r="E94" s="190"/>
      <c r="F94" s="151"/>
      <c r="G94" s="181"/>
      <c r="H94" s="181"/>
      <c r="I94" s="181"/>
      <c r="J94" s="181"/>
      <c r="K94" s="181"/>
      <c r="L94" s="181"/>
      <c r="M94" s="181"/>
      <c r="N94" s="182"/>
      <c r="O94" s="183"/>
    </row>
    <row r="95" spans="1:16">
      <c r="A95" s="173" t="s">
        <v>162</v>
      </c>
      <c r="B95" s="185" t="s">
        <v>150</v>
      </c>
      <c r="C95" s="187"/>
      <c r="D95" s="187"/>
      <c r="E95" s="187"/>
      <c r="F95" s="149"/>
      <c r="G95" s="179">
        <v>0</v>
      </c>
      <c r="H95" s="179">
        <v>0</v>
      </c>
      <c r="I95" s="179">
        <v>0</v>
      </c>
      <c r="J95" s="179">
        <v>0</v>
      </c>
      <c r="K95" s="179">
        <v>0</v>
      </c>
      <c r="L95" s="179">
        <v>0</v>
      </c>
      <c r="M95" s="179">
        <v>0</v>
      </c>
      <c r="N95" s="175">
        <f t="shared" ref="N95" si="29">AVERAGE(G95:M97)</f>
        <v>0</v>
      </c>
      <c r="O95" s="177" t="s">
        <v>203</v>
      </c>
    </row>
    <row r="96" spans="1:16">
      <c r="A96" s="173"/>
      <c r="B96" s="186"/>
      <c r="C96" s="188"/>
      <c r="D96" s="188"/>
      <c r="E96" s="188"/>
      <c r="F96" s="150"/>
      <c r="G96" s="180"/>
      <c r="H96" s="180"/>
      <c r="I96" s="180"/>
      <c r="J96" s="180"/>
      <c r="K96" s="180"/>
      <c r="L96" s="180"/>
      <c r="M96" s="180"/>
      <c r="N96" s="176"/>
      <c r="O96" s="178"/>
    </row>
    <row r="97" spans="1:15">
      <c r="A97" s="173"/>
      <c r="B97" s="189"/>
      <c r="C97" s="190"/>
      <c r="D97" s="190"/>
      <c r="E97" s="190"/>
      <c r="F97" s="151"/>
      <c r="G97" s="181"/>
      <c r="H97" s="181"/>
      <c r="I97" s="181"/>
      <c r="J97" s="181"/>
      <c r="K97" s="181"/>
      <c r="L97" s="181"/>
      <c r="M97" s="181"/>
      <c r="N97" s="182"/>
      <c r="O97" s="183"/>
    </row>
    <row r="98" spans="1:15">
      <c r="A98" s="173" t="s">
        <v>164</v>
      </c>
      <c r="B98" s="185" t="s">
        <v>150</v>
      </c>
      <c r="C98" s="187"/>
      <c r="D98" s="187"/>
      <c r="E98" s="187"/>
      <c r="F98" s="149"/>
      <c r="G98" s="179">
        <v>0</v>
      </c>
      <c r="H98" s="179">
        <v>0</v>
      </c>
      <c r="I98" s="179">
        <v>0</v>
      </c>
      <c r="J98" s="179">
        <v>0</v>
      </c>
      <c r="K98" s="179">
        <v>0</v>
      </c>
      <c r="L98" s="179">
        <v>0</v>
      </c>
      <c r="M98" s="179">
        <v>0</v>
      </c>
      <c r="N98" s="175">
        <f t="shared" ref="N98" si="30">AVERAGE(G98:M100)</f>
        <v>0</v>
      </c>
      <c r="O98" s="177" t="s">
        <v>204</v>
      </c>
    </row>
    <row r="99" spans="1:15">
      <c r="A99" s="173"/>
      <c r="B99" s="186"/>
      <c r="C99" s="188"/>
      <c r="D99" s="188"/>
      <c r="E99" s="188"/>
      <c r="F99" s="150"/>
      <c r="G99" s="180"/>
      <c r="H99" s="180"/>
      <c r="I99" s="180"/>
      <c r="J99" s="180"/>
      <c r="K99" s="180"/>
      <c r="L99" s="180"/>
      <c r="M99" s="180"/>
      <c r="N99" s="176"/>
      <c r="O99" s="178"/>
    </row>
    <row r="100" spans="1:15">
      <c r="A100" s="173"/>
      <c r="B100" s="189"/>
      <c r="C100" s="190"/>
      <c r="D100" s="190"/>
      <c r="E100" s="190"/>
      <c r="F100" s="151"/>
      <c r="G100" s="181"/>
      <c r="H100" s="181"/>
      <c r="I100" s="181"/>
      <c r="J100" s="181"/>
      <c r="K100" s="181"/>
      <c r="L100" s="181"/>
      <c r="M100" s="181"/>
      <c r="N100" s="182"/>
      <c r="O100" s="183"/>
    </row>
    <row r="101" spans="1:15">
      <c r="A101" s="173" t="s">
        <v>165</v>
      </c>
      <c r="B101" s="185" t="s">
        <v>150</v>
      </c>
      <c r="C101" s="187"/>
      <c r="D101" s="187"/>
      <c r="E101" s="187"/>
      <c r="F101" s="149"/>
      <c r="G101" s="179">
        <v>0</v>
      </c>
      <c r="H101" s="179">
        <v>0</v>
      </c>
      <c r="I101" s="179">
        <v>0</v>
      </c>
      <c r="J101" s="179">
        <v>0</v>
      </c>
      <c r="K101" s="179">
        <v>0</v>
      </c>
      <c r="L101" s="179">
        <v>0</v>
      </c>
      <c r="M101" s="179">
        <v>0</v>
      </c>
      <c r="N101" s="175">
        <f t="shared" ref="N101" si="31">AVERAGE(G101:M103)</f>
        <v>0</v>
      </c>
      <c r="O101" s="177"/>
    </row>
    <row r="102" spans="1:15">
      <c r="A102" s="173"/>
      <c r="B102" s="186"/>
      <c r="C102" s="188"/>
      <c r="D102" s="188"/>
      <c r="E102" s="188"/>
      <c r="F102" s="150"/>
      <c r="G102" s="180"/>
      <c r="H102" s="180"/>
      <c r="I102" s="180"/>
      <c r="J102" s="180"/>
      <c r="K102" s="180"/>
      <c r="L102" s="180"/>
      <c r="M102" s="180"/>
      <c r="N102" s="176"/>
      <c r="O102" s="178"/>
    </row>
    <row r="103" spans="1:15">
      <c r="A103" s="173"/>
      <c r="B103" s="189"/>
      <c r="C103" s="190"/>
      <c r="D103" s="190"/>
      <c r="E103" s="190"/>
      <c r="F103" s="151"/>
      <c r="G103" s="181"/>
      <c r="H103" s="181"/>
      <c r="I103" s="181"/>
      <c r="J103" s="181"/>
      <c r="K103" s="181"/>
      <c r="L103" s="181"/>
      <c r="M103" s="181"/>
      <c r="N103" s="182"/>
      <c r="O103" s="183"/>
    </row>
    <row r="104" spans="1:15">
      <c r="A104" s="173" t="s">
        <v>205</v>
      </c>
      <c r="B104" s="185" t="s">
        <v>174</v>
      </c>
      <c r="C104" s="187"/>
      <c r="D104" s="187"/>
      <c r="E104" s="187"/>
      <c r="F104" s="149"/>
      <c r="G104" s="179">
        <v>0</v>
      </c>
      <c r="H104" s="179">
        <v>0</v>
      </c>
      <c r="I104" s="179">
        <v>0</v>
      </c>
      <c r="J104" s="179">
        <v>0</v>
      </c>
      <c r="K104" s="179">
        <v>0</v>
      </c>
      <c r="L104" s="179">
        <v>0</v>
      </c>
      <c r="M104" s="179">
        <v>0</v>
      </c>
      <c r="N104" s="175">
        <f t="shared" ref="N104" si="32">AVERAGE(G104:M106)</f>
        <v>0</v>
      </c>
      <c r="O104" s="177" t="s">
        <v>206</v>
      </c>
    </row>
    <row r="105" spans="1:15">
      <c r="A105" s="173"/>
      <c r="B105" s="186"/>
      <c r="C105" s="188"/>
      <c r="D105" s="188"/>
      <c r="E105" s="188"/>
      <c r="F105" s="150"/>
      <c r="G105" s="180"/>
      <c r="H105" s="180"/>
      <c r="I105" s="180"/>
      <c r="J105" s="180"/>
      <c r="K105" s="180"/>
      <c r="L105" s="180"/>
      <c r="M105" s="180"/>
      <c r="N105" s="176"/>
      <c r="O105" s="178"/>
    </row>
    <row r="106" spans="1:15">
      <c r="A106" s="173"/>
      <c r="B106" s="189"/>
      <c r="C106" s="190"/>
      <c r="D106" s="190"/>
      <c r="E106" s="190"/>
      <c r="F106" s="151"/>
      <c r="G106" s="181"/>
      <c r="H106" s="181"/>
      <c r="I106" s="181"/>
      <c r="J106" s="181"/>
      <c r="K106" s="181"/>
      <c r="L106" s="181"/>
      <c r="M106" s="181"/>
      <c r="N106" s="182"/>
      <c r="O106" s="183"/>
    </row>
    <row r="107" spans="1:15">
      <c r="A107" s="184" t="s">
        <v>167</v>
      </c>
      <c r="B107" s="185" t="s">
        <v>123</v>
      </c>
      <c r="C107" s="187" t="s">
        <v>10</v>
      </c>
      <c r="D107" s="187" t="s">
        <v>44</v>
      </c>
      <c r="E107" s="187" t="s">
        <v>38</v>
      </c>
      <c r="F107" s="149"/>
      <c r="G107" s="179">
        <v>3</v>
      </c>
      <c r="H107" s="179">
        <v>0</v>
      </c>
      <c r="I107" s="179" t="s">
        <v>118</v>
      </c>
      <c r="J107" s="179">
        <v>3</v>
      </c>
      <c r="K107" s="179" t="s">
        <v>118</v>
      </c>
      <c r="L107" s="179">
        <v>1</v>
      </c>
      <c r="M107" s="179" t="s">
        <v>118</v>
      </c>
      <c r="N107" s="175">
        <f t="shared" ref="N107" si="33">AVERAGE(G107:M109)</f>
        <v>1.75</v>
      </c>
      <c r="O107" s="177" t="s">
        <v>207</v>
      </c>
    </row>
    <row r="108" spans="1:15">
      <c r="A108" s="194"/>
      <c r="B108" s="186"/>
      <c r="C108" s="188"/>
      <c r="D108" s="188"/>
      <c r="E108" s="188"/>
      <c r="F108" s="150"/>
      <c r="G108" s="180"/>
      <c r="H108" s="180"/>
      <c r="I108" s="180"/>
      <c r="J108" s="180"/>
      <c r="K108" s="180"/>
      <c r="L108" s="180"/>
      <c r="M108" s="180"/>
      <c r="N108" s="176"/>
      <c r="O108" s="178"/>
    </row>
    <row r="109" spans="1:15">
      <c r="A109" s="195"/>
      <c r="B109" s="189"/>
      <c r="C109" s="190"/>
      <c r="D109" s="190"/>
      <c r="E109" s="190"/>
      <c r="F109" s="151"/>
      <c r="G109" s="181"/>
      <c r="H109" s="181"/>
      <c r="I109" s="181"/>
      <c r="J109" s="181"/>
      <c r="K109" s="181"/>
      <c r="L109" s="181"/>
      <c r="M109" s="181"/>
      <c r="N109" s="182"/>
      <c r="O109" s="183"/>
    </row>
    <row r="110" spans="1:15">
      <c r="A110" s="173" t="s">
        <v>168</v>
      </c>
      <c r="B110" s="185" t="s">
        <v>123</v>
      </c>
      <c r="C110" s="187" t="s">
        <v>10</v>
      </c>
      <c r="D110" s="187" t="s">
        <v>44</v>
      </c>
      <c r="E110" s="187" t="s">
        <v>38</v>
      </c>
      <c r="F110" s="149"/>
      <c r="G110" s="179">
        <v>3</v>
      </c>
      <c r="H110" s="179">
        <v>0</v>
      </c>
      <c r="I110" s="179" t="s">
        <v>118</v>
      </c>
      <c r="J110" s="179">
        <v>3</v>
      </c>
      <c r="K110" s="179" t="s">
        <v>118</v>
      </c>
      <c r="L110" s="179">
        <v>1</v>
      </c>
      <c r="M110" s="179" t="s">
        <v>118</v>
      </c>
      <c r="N110" s="175">
        <f t="shared" ref="N110" si="34">AVERAGE(G110:M112)</f>
        <v>1.75</v>
      </c>
      <c r="O110" s="177" t="s">
        <v>208</v>
      </c>
    </row>
    <row r="111" spans="1:15">
      <c r="A111" s="173"/>
      <c r="B111" s="186"/>
      <c r="C111" s="188"/>
      <c r="D111" s="188"/>
      <c r="E111" s="188"/>
      <c r="F111" s="150"/>
      <c r="G111" s="180"/>
      <c r="H111" s="180"/>
      <c r="I111" s="180"/>
      <c r="J111" s="180"/>
      <c r="K111" s="180"/>
      <c r="L111" s="180"/>
      <c r="M111" s="180"/>
      <c r="N111" s="176"/>
      <c r="O111" s="178"/>
    </row>
    <row r="112" spans="1:15">
      <c r="A112" s="173"/>
      <c r="B112" s="189"/>
      <c r="C112" s="190"/>
      <c r="D112" s="190"/>
      <c r="E112" s="190"/>
      <c r="F112" s="151"/>
      <c r="G112" s="181"/>
      <c r="H112" s="181"/>
      <c r="I112" s="181"/>
      <c r="J112" s="181"/>
      <c r="K112" s="181"/>
      <c r="L112" s="181"/>
      <c r="M112" s="181"/>
      <c r="N112" s="182"/>
      <c r="O112" s="183"/>
    </row>
    <row r="113" spans="1:15">
      <c r="A113" s="173" t="s">
        <v>169</v>
      </c>
      <c r="B113" s="185" t="s">
        <v>163</v>
      </c>
      <c r="C113" s="187"/>
      <c r="D113" s="187"/>
      <c r="E113" s="187"/>
      <c r="F113" s="149"/>
      <c r="G113" s="179">
        <v>0</v>
      </c>
      <c r="H113" s="179">
        <v>0</v>
      </c>
      <c r="I113" s="179">
        <v>0</v>
      </c>
      <c r="J113" s="179">
        <v>0</v>
      </c>
      <c r="K113" s="179">
        <v>0</v>
      </c>
      <c r="L113" s="179">
        <v>0</v>
      </c>
      <c r="M113" s="179">
        <v>2</v>
      </c>
      <c r="N113" s="175">
        <f t="shared" ref="N113" si="35">AVERAGE(G113:M115)</f>
        <v>0.2857142857142857</v>
      </c>
      <c r="O113" s="177" t="s">
        <v>209</v>
      </c>
    </row>
    <row r="114" spans="1:15">
      <c r="A114" s="173"/>
      <c r="B114" s="186"/>
      <c r="C114" s="188"/>
      <c r="D114" s="188"/>
      <c r="E114" s="188"/>
      <c r="F114" s="150"/>
      <c r="G114" s="180"/>
      <c r="H114" s="180"/>
      <c r="I114" s="180"/>
      <c r="J114" s="180"/>
      <c r="K114" s="180"/>
      <c r="L114" s="180"/>
      <c r="M114" s="180"/>
      <c r="N114" s="176"/>
      <c r="O114" s="178"/>
    </row>
    <row r="115" spans="1:15">
      <c r="A115" s="173"/>
      <c r="B115" s="189"/>
      <c r="C115" s="190"/>
      <c r="D115" s="190"/>
      <c r="E115" s="190"/>
      <c r="F115" s="151"/>
      <c r="G115" s="181"/>
      <c r="H115" s="181"/>
      <c r="I115" s="181"/>
      <c r="J115" s="181"/>
      <c r="K115" s="181"/>
      <c r="L115" s="181"/>
      <c r="M115" s="181"/>
      <c r="N115" s="182"/>
      <c r="O115" s="183"/>
    </row>
    <row r="116" spans="1:15">
      <c r="A116" s="173" t="s">
        <v>170</v>
      </c>
      <c r="B116" s="185" t="s">
        <v>210</v>
      </c>
      <c r="C116" s="187"/>
      <c r="D116" s="187"/>
      <c r="E116" s="187"/>
      <c r="F116" s="149"/>
      <c r="G116" s="179">
        <v>0</v>
      </c>
      <c r="H116" s="179">
        <v>0</v>
      </c>
      <c r="I116" s="179">
        <v>0</v>
      </c>
      <c r="J116" s="179">
        <v>0</v>
      </c>
      <c r="K116" s="179">
        <v>0</v>
      </c>
      <c r="L116" s="179">
        <v>0</v>
      </c>
      <c r="M116" s="179">
        <v>0</v>
      </c>
      <c r="N116" s="175">
        <f t="shared" ref="N116" si="36">AVERAGE(G116:M118)</f>
        <v>0</v>
      </c>
      <c r="O116" s="177"/>
    </row>
    <row r="117" spans="1:15">
      <c r="A117" s="173"/>
      <c r="B117" s="186"/>
      <c r="C117" s="188"/>
      <c r="D117" s="188"/>
      <c r="E117" s="188"/>
      <c r="F117" s="150"/>
      <c r="G117" s="180"/>
      <c r="H117" s="180"/>
      <c r="I117" s="180"/>
      <c r="J117" s="180"/>
      <c r="K117" s="180"/>
      <c r="L117" s="180"/>
      <c r="M117" s="180"/>
      <c r="N117" s="176"/>
      <c r="O117" s="178"/>
    </row>
    <row r="118" spans="1:15">
      <c r="A118" s="173"/>
      <c r="B118" s="189"/>
      <c r="C118" s="190"/>
      <c r="D118" s="190"/>
      <c r="E118" s="190"/>
      <c r="F118" s="151"/>
      <c r="G118" s="181"/>
      <c r="H118" s="181"/>
      <c r="I118" s="181"/>
      <c r="J118" s="181"/>
      <c r="K118" s="181"/>
      <c r="L118" s="181"/>
      <c r="M118" s="181"/>
      <c r="N118" s="182"/>
      <c r="O118" s="183"/>
    </row>
    <row r="119" spans="1:15">
      <c r="A119" s="173" t="s">
        <v>171</v>
      </c>
      <c r="B119" s="185" t="s">
        <v>163</v>
      </c>
      <c r="C119" s="187"/>
      <c r="D119" s="187"/>
      <c r="E119" s="187"/>
      <c r="F119" s="149"/>
      <c r="G119" s="179">
        <v>0</v>
      </c>
      <c r="H119" s="179">
        <v>0</v>
      </c>
      <c r="I119" s="179">
        <v>0</v>
      </c>
      <c r="J119" s="179">
        <v>0</v>
      </c>
      <c r="K119" s="179">
        <v>0</v>
      </c>
      <c r="L119" s="179">
        <v>0</v>
      </c>
      <c r="M119" s="179">
        <v>0</v>
      </c>
      <c r="N119" s="175">
        <f t="shared" ref="N119" si="37">AVERAGE(G119:M121)</f>
        <v>0</v>
      </c>
      <c r="O119" s="177" t="s">
        <v>211</v>
      </c>
    </row>
    <row r="120" spans="1:15">
      <c r="A120" s="173"/>
      <c r="B120" s="186"/>
      <c r="C120" s="188"/>
      <c r="D120" s="188"/>
      <c r="E120" s="188"/>
      <c r="F120" s="150"/>
      <c r="G120" s="180"/>
      <c r="H120" s="180"/>
      <c r="I120" s="180"/>
      <c r="J120" s="180"/>
      <c r="K120" s="180"/>
      <c r="L120" s="180"/>
      <c r="M120" s="180"/>
      <c r="N120" s="176"/>
      <c r="O120" s="178"/>
    </row>
    <row r="121" spans="1:15">
      <c r="A121" s="184"/>
      <c r="B121" s="186"/>
      <c r="C121" s="188"/>
      <c r="D121" s="188"/>
      <c r="E121" s="188"/>
      <c r="F121" s="150"/>
      <c r="G121" s="180"/>
      <c r="H121" s="180"/>
      <c r="I121" s="180"/>
      <c r="J121" s="180"/>
      <c r="K121" s="180"/>
      <c r="L121" s="180"/>
      <c r="M121" s="180"/>
      <c r="N121" s="176"/>
      <c r="O121" s="178"/>
    </row>
    <row r="122" spans="1:15">
      <c r="A122" s="173" t="s">
        <v>172</v>
      </c>
      <c r="B122" s="174" t="s">
        <v>163</v>
      </c>
      <c r="C122" s="174"/>
      <c r="D122" s="174"/>
      <c r="E122" s="174"/>
      <c r="F122" s="141"/>
      <c r="G122" s="172">
        <v>0</v>
      </c>
      <c r="H122" s="172">
        <v>0</v>
      </c>
      <c r="I122" s="172">
        <v>0</v>
      </c>
      <c r="J122" s="172">
        <v>0</v>
      </c>
      <c r="K122" s="172">
        <v>0</v>
      </c>
      <c r="L122" s="172">
        <v>0</v>
      </c>
      <c r="M122" s="172">
        <v>0</v>
      </c>
      <c r="N122" s="170">
        <f t="shared" ref="N122" si="38">AVERAGE(G122:M124)</f>
        <v>0</v>
      </c>
      <c r="O122" s="171"/>
    </row>
    <row r="123" spans="1:15">
      <c r="A123" s="173"/>
      <c r="B123" s="174"/>
      <c r="C123" s="174"/>
      <c r="D123" s="174"/>
      <c r="E123" s="174"/>
      <c r="F123" s="141"/>
      <c r="G123" s="172"/>
      <c r="H123" s="172"/>
      <c r="I123" s="172"/>
      <c r="J123" s="172"/>
      <c r="K123" s="172"/>
      <c r="L123" s="172"/>
      <c r="M123" s="172"/>
      <c r="N123" s="170"/>
      <c r="O123" s="171"/>
    </row>
    <row r="124" spans="1:15">
      <c r="A124" s="173"/>
      <c r="B124" s="174"/>
      <c r="C124" s="174"/>
      <c r="D124" s="174"/>
      <c r="E124" s="174"/>
      <c r="F124" s="141"/>
      <c r="G124" s="172"/>
      <c r="H124" s="172"/>
      <c r="I124" s="172"/>
      <c r="J124" s="172"/>
      <c r="K124" s="172"/>
      <c r="L124" s="172"/>
      <c r="M124" s="172"/>
      <c r="N124" s="170"/>
      <c r="O124" s="171"/>
    </row>
    <row r="125" spans="1:15">
      <c r="A125" s="173" t="s">
        <v>173</v>
      </c>
      <c r="B125" s="174" t="s">
        <v>174</v>
      </c>
      <c r="C125" s="174" t="s">
        <v>6</v>
      </c>
      <c r="D125" s="174"/>
      <c r="E125" s="174"/>
      <c r="F125" s="141"/>
      <c r="G125" s="172" t="s">
        <v>118</v>
      </c>
      <c r="H125" s="172" t="s">
        <v>118</v>
      </c>
      <c r="I125" s="172" t="s">
        <v>118</v>
      </c>
      <c r="J125" s="172" t="s">
        <v>118</v>
      </c>
      <c r="K125" s="172" t="s">
        <v>118</v>
      </c>
      <c r="L125" s="172" t="s">
        <v>118</v>
      </c>
      <c r="M125" s="172" t="s">
        <v>118</v>
      </c>
      <c r="N125" s="170" t="e">
        <f t="shared" ref="N125" si="39">AVERAGE(G125:M127)</f>
        <v>#DIV/0!</v>
      </c>
      <c r="O125" s="171" t="s">
        <v>175</v>
      </c>
    </row>
    <row r="126" spans="1:15">
      <c r="A126" s="173"/>
      <c r="B126" s="174"/>
      <c r="C126" s="174"/>
      <c r="D126" s="174"/>
      <c r="E126" s="174"/>
      <c r="F126" s="141"/>
      <c r="G126" s="172"/>
      <c r="H126" s="172"/>
      <c r="I126" s="172"/>
      <c r="J126" s="172"/>
      <c r="K126" s="172"/>
      <c r="L126" s="172"/>
      <c r="M126" s="172"/>
      <c r="N126" s="170"/>
      <c r="O126" s="171"/>
    </row>
    <row r="127" spans="1:15">
      <c r="A127" s="173"/>
      <c r="B127" s="174"/>
      <c r="C127" s="174"/>
      <c r="D127" s="174"/>
      <c r="E127" s="174"/>
      <c r="F127" s="141"/>
      <c r="G127" s="172"/>
      <c r="H127" s="172"/>
      <c r="I127" s="172"/>
      <c r="J127" s="172"/>
      <c r="K127" s="172"/>
      <c r="L127" s="172"/>
      <c r="M127" s="172"/>
      <c r="N127" s="170"/>
      <c r="O127" s="171"/>
    </row>
    <row r="128" spans="1:15">
      <c r="A128" s="173" t="s">
        <v>176</v>
      </c>
      <c r="B128" s="174" t="s">
        <v>174</v>
      </c>
      <c r="C128" s="174"/>
      <c r="D128" s="174"/>
      <c r="E128" s="174"/>
      <c r="F128" s="141"/>
      <c r="G128" s="172" t="s">
        <v>118</v>
      </c>
      <c r="H128" s="172" t="s">
        <v>118</v>
      </c>
      <c r="I128" s="172" t="s">
        <v>118</v>
      </c>
      <c r="J128" s="172" t="s">
        <v>118</v>
      </c>
      <c r="K128" s="172" t="s">
        <v>118</v>
      </c>
      <c r="L128" s="172" t="s">
        <v>118</v>
      </c>
      <c r="M128" s="172" t="s">
        <v>118</v>
      </c>
      <c r="N128" s="170" t="e">
        <f t="shared" ref="N128" si="40">AVERAGE(G128:M130)</f>
        <v>#DIV/0!</v>
      </c>
      <c r="O128" s="171" t="s">
        <v>212</v>
      </c>
    </row>
    <row r="129" spans="1:15">
      <c r="A129" s="173"/>
      <c r="B129" s="174"/>
      <c r="C129" s="174"/>
      <c r="D129" s="174"/>
      <c r="E129" s="174"/>
      <c r="F129" s="141"/>
      <c r="G129" s="172"/>
      <c r="H129" s="172"/>
      <c r="I129" s="172"/>
      <c r="J129" s="172"/>
      <c r="K129" s="172"/>
      <c r="L129" s="172"/>
      <c r="M129" s="172"/>
      <c r="N129" s="170"/>
      <c r="O129" s="171"/>
    </row>
    <row r="130" spans="1:15">
      <c r="A130" s="173"/>
      <c r="B130" s="174"/>
      <c r="C130" s="174"/>
      <c r="D130" s="174"/>
      <c r="E130" s="174"/>
      <c r="F130" s="141"/>
      <c r="G130" s="172"/>
      <c r="H130" s="172"/>
      <c r="I130" s="172"/>
      <c r="J130" s="172"/>
      <c r="K130" s="172"/>
      <c r="L130" s="172"/>
      <c r="M130" s="172"/>
      <c r="N130" s="170"/>
      <c r="O130" s="171"/>
    </row>
    <row r="131" spans="1:15">
      <c r="A131" s="173" t="s">
        <v>213</v>
      </c>
      <c r="B131" s="174"/>
      <c r="C131" s="174"/>
      <c r="D131" s="174"/>
      <c r="E131" s="174"/>
      <c r="F131" s="141"/>
      <c r="G131" s="172" t="s">
        <v>118</v>
      </c>
      <c r="H131" s="172" t="s">
        <v>118</v>
      </c>
      <c r="I131" s="172" t="s">
        <v>118</v>
      </c>
      <c r="J131" s="172" t="s">
        <v>118</v>
      </c>
      <c r="K131" s="172" t="s">
        <v>118</v>
      </c>
      <c r="L131" s="172" t="s">
        <v>118</v>
      </c>
      <c r="M131" s="172" t="s">
        <v>118</v>
      </c>
      <c r="N131" s="170" t="e">
        <f t="shared" ref="N131" si="41">AVERAGE(G131:M133)</f>
        <v>#DIV/0!</v>
      </c>
      <c r="O131" s="171" t="s">
        <v>214</v>
      </c>
    </row>
    <row r="132" spans="1:15">
      <c r="A132" s="173"/>
      <c r="B132" s="174"/>
      <c r="C132" s="174"/>
      <c r="D132" s="174"/>
      <c r="E132" s="174"/>
      <c r="F132" s="141"/>
      <c r="G132" s="172"/>
      <c r="H132" s="172"/>
      <c r="I132" s="172"/>
      <c r="J132" s="172"/>
      <c r="K132" s="172"/>
      <c r="L132" s="172"/>
      <c r="M132" s="172"/>
      <c r="N132" s="170"/>
      <c r="O132" s="171"/>
    </row>
    <row r="133" spans="1:15">
      <c r="A133" s="173"/>
      <c r="B133" s="174"/>
      <c r="C133" s="174"/>
      <c r="D133" s="174"/>
      <c r="E133" s="174"/>
      <c r="F133" s="141"/>
      <c r="G133" s="172"/>
      <c r="H133" s="172"/>
      <c r="I133" s="172"/>
      <c r="J133" s="172"/>
      <c r="K133" s="172"/>
      <c r="L133" s="172"/>
      <c r="M133" s="172"/>
      <c r="N133" s="170"/>
      <c r="O133" s="171"/>
    </row>
    <row r="134" spans="1:15">
      <c r="A134" s="173" t="s">
        <v>179</v>
      </c>
      <c r="B134" s="185" t="s">
        <v>174</v>
      </c>
      <c r="C134" s="187" t="s">
        <v>10</v>
      </c>
      <c r="D134" s="187"/>
      <c r="E134" s="187" t="s">
        <v>42</v>
      </c>
      <c r="F134" s="149"/>
      <c r="G134" s="179">
        <v>4</v>
      </c>
      <c r="H134" s="179">
        <v>0</v>
      </c>
      <c r="I134" s="179">
        <v>2</v>
      </c>
      <c r="J134" s="179">
        <v>0</v>
      </c>
      <c r="K134" s="179">
        <v>0</v>
      </c>
      <c r="L134" s="179">
        <v>2</v>
      </c>
      <c r="M134" s="179" t="s">
        <v>118</v>
      </c>
      <c r="N134" s="175">
        <f t="shared" ref="N134" si="42">AVERAGE(G134:M136)</f>
        <v>1.3333333333333333</v>
      </c>
      <c r="O134" s="177" t="s">
        <v>116</v>
      </c>
    </row>
    <row r="135" spans="1:15">
      <c r="A135" s="173"/>
      <c r="B135" s="186"/>
      <c r="C135" s="188"/>
      <c r="D135" s="188"/>
      <c r="E135" s="188"/>
      <c r="F135" s="150"/>
      <c r="G135" s="180"/>
      <c r="H135" s="180"/>
      <c r="I135" s="180"/>
      <c r="J135" s="180"/>
      <c r="K135" s="180"/>
      <c r="L135" s="180"/>
      <c r="M135" s="180"/>
      <c r="N135" s="176"/>
      <c r="O135" s="178"/>
    </row>
    <row r="136" spans="1:15">
      <c r="A136" s="173"/>
      <c r="B136" s="189"/>
      <c r="C136" s="190"/>
      <c r="D136" s="190"/>
      <c r="E136" s="190"/>
      <c r="F136" s="151"/>
      <c r="G136" s="181"/>
      <c r="H136" s="181"/>
      <c r="I136" s="181"/>
      <c r="J136" s="181"/>
      <c r="K136" s="181"/>
      <c r="L136" s="181"/>
      <c r="M136" s="181"/>
      <c r="N136" s="182"/>
      <c r="O136" s="183"/>
    </row>
    <row r="137" spans="1:15">
      <c r="A137" s="173" t="s">
        <v>180</v>
      </c>
      <c r="B137" s="174" t="s">
        <v>174</v>
      </c>
      <c r="C137" s="174" t="s">
        <v>6</v>
      </c>
      <c r="D137" s="174"/>
      <c r="E137" s="174"/>
      <c r="F137" s="141"/>
      <c r="G137" s="172" t="s">
        <v>118</v>
      </c>
      <c r="H137" s="172" t="s">
        <v>118</v>
      </c>
      <c r="I137" s="172" t="s">
        <v>118</v>
      </c>
      <c r="J137" s="172" t="s">
        <v>118</v>
      </c>
      <c r="K137" s="172" t="s">
        <v>118</v>
      </c>
      <c r="L137" s="172" t="s">
        <v>118</v>
      </c>
      <c r="M137" s="172" t="s">
        <v>118</v>
      </c>
      <c r="N137" s="170" t="e">
        <f t="shared" ref="N137" si="43">AVERAGE(G137:M139)</f>
        <v>#DIV/0!</v>
      </c>
      <c r="O137" s="171" t="s">
        <v>181</v>
      </c>
    </row>
    <row r="138" spans="1:15">
      <c r="A138" s="173"/>
      <c r="B138" s="174"/>
      <c r="C138" s="174"/>
      <c r="D138" s="174"/>
      <c r="E138" s="174"/>
      <c r="F138" s="141"/>
      <c r="G138" s="172"/>
      <c r="H138" s="172"/>
      <c r="I138" s="172"/>
      <c r="J138" s="172"/>
      <c r="K138" s="172"/>
      <c r="L138" s="172"/>
      <c r="M138" s="172"/>
      <c r="N138" s="170"/>
      <c r="O138" s="171"/>
    </row>
    <row r="139" spans="1:15">
      <c r="A139" s="173"/>
      <c r="B139" s="174"/>
      <c r="C139" s="174"/>
      <c r="D139" s="174"/>
      <c r="E139" s="174"/>
      <c r="F139" s="141"/>
      <c r="G139" s="172"/>
      <c r="H139" s="172"/>
      <c r="I139" s="172"/>
      <c r="J139" s="172"/>
      <c r="K139" s="172"/>
      <c r="L139" s="172"/>
      <c r="M139" s="172"/>
      <c r="N139" s="170"/>
      <c r="O139" s="171"/>
    </row>
    <row r="140" spans="1:15">
      <c r="A140" s="173" t="s">
        <v>182</v>
      </c>
      <c r="B140" s="174" t="s">
        <v>174</v>
      </c>
      <c r="C140" s="174" t="s">
        <v>14</v>
      </c>
      <c r="D140" s="174"/>
      <c r="E140" s="174"/>
      <c r="F140" s="141"/>
      <c r="G140" s="172">
        <v>0</v>
      </c>
      <c r="H140" s="172">
        <v>0</v>
      </c>
      <c r="I140" s="172">
        <v>0</v>
      </c>
      <c r="J140" s="172">
        <v>0</v>
      </c>
      <c r="K140" s="172">
        <v>0</v>
      </c>
      <c r="L140" s="172">
        <v>0</v>
      </c>
      <c r="M140" s="172">
        <v>0</v>
      </c>
      <c r="N140" s="170">
        <f t="shared" ref="N140" si="44">AVERAGE(G140:M142)</f>
        <v>0</v>
      </c>
      <c r="O140" s="171" t="s">
        <v>183</v>
      </c>
    </row>
    <row r="141" spans="1:15">
      <c r="A141" s="173"/>
      <c r="B141" s="174"/>
      <c r="C141" s="174"/>
      <c r="D141" s="174"/>
      <c r="E141" s="174"/>
      <c r="F141" s="141"/>
      <c r="G141" s="172"/>
      <c r="H141" s="172"/>
      <c r="I141" s="172"/>
      <c r="J141" s="172"/>
      <c r="K141" s="172"/>
      <c r="L141" s="172"/>
      <c r="M141" s="172"/>
      <c r="N141" s="170"/>
      <c r="O141" s="171"/>
    </row>
    <row r="142" spans="1:15">
      <c r="A142" s="173"/>
      <c r="B142" s="174"/>
      <c r="C142" s="174"/>
      <c r="D142" s="174"/>
      <c r="E142" s="174"/>
      <c r="F142" s="141"/>
      <c r="G142" s="172"/>
      <c r="H142" s="172"/>
      <c r="I142" s="172"/>
      <c r="J142" s="172"/>
      <c r="K142" s="172"/>
      <c r="L142" s="172"/>
      <c r="M142" s="172"/>
      <c r="N142" s="170"/>
      <c r="O142" s="171"/>
    </row>
    <row r="143" spans="1:15">
      <c r="A143" s="191" t="s">
        <v>184</v>
      </c>
      <c r="B143" s="193" t="s">
        <v>174</v>
      </c>
      <c r="C143" s="193" t="s">
        <v>14</v>
      </c>
      <c r="D143" s="186"/>
      <c r="E143" s="188"/>
      <c r="F143" s="150"/>
      <c r="G143" s="180">
        <v>0</v>
      </c>
      <c r="H143" s="180">
        <v>0</v>
      </c>
      <c r="I143" s="180">
        <v>0</v>
      </c>
      <c r="J143" s="180">
        <v>0</v>
      </c>
      <c r="K143" s="180">
        <v>0</v>
      </c>
      <c r="L143" s="180">
        <v>0</v>
      </c>
      <c r="M143" s="180">
        <v>0</v>
      </c>
      <c r="N143" s="176">
        <f t="shared" ref="N143" si="45">AVERAGE(G143:M145)</f>
        <v>0</v>
      </c>
      <c r="O143" s="171" t="s">
        <v>183</v>
      </c>
    </row>
    <row r="144" spans="1:15">
      <c r="A144" s="192"/>
      <c r="B144" s="174"/>
      <c r="C144" s="174"/>
      <c r="D144" s="186"/>
      <c r="E144" s="188"/>
      <c r="F144" s="150"/>
      <c r="G144" s="180"/>
      <c r="H144" s="180"/>
      <c r="I144" s="180"/>
      <c r="J144" s="180"/>
      <c r="K144" s="180"/>
      <c r="L144" s="180"/>
      <c r="M144" s="180"/>
      <c r="N144" s="176"/>
      <c r="O144" s="171"/>
    </row>
    <row r="145" spans="1:15">
      <c r="A145" s="192"/>
      <c r="B145" s="174"/>
      <c r="C145" s="174"/>
      <c r="D145" s="189"/>
      <c r="E145" s="190"/>
      <c r="F145" s="151"/>
      <c r="G145" s="181"/>
      <c r="H145" s="181"/>
      <c r="I145" s="181"/>
      <c r="J145" s="181"/>
      <c r="K145" s="181"/>
      <c r="L145" s="181"/>
      <c r="M145" s="181"/>
      <c r="N145" s="182"/>
      <c r="O145" s="171"/>
    </row>
    <row r="146" spans="1:15">
      <c r="A146" s="173" t="s">
        <v>215</v>
      </c>
      <c r="B146" s="186" t="s">
        <v>51</v>
      </c>
      <c r="C146" s="188" t="s">
        <v>6</v>
      </c>
      <c r="D146" s="187"/>
      <c r="E146" s="187"/>
      <c r="F146" s="149"/>
      <c r="G146" s="179">
        <v>0</v>
      </c>
      <c r="H146" s="179">
        <v>0</v>
      </c>
      <c r="I146" s="179">
        <v>0</v>
      </c>
      <c r="J146" s="179">
        <v>0</v>
      </c>
      <c r="K146" s="179">
        <v>0</v>
      </c>
      <c r="L146" s="179">
        <v>0</v>
      </c>
      <c r="M146" s="179">
        <v>0</v>
      </c>
      <c r="N146" s="175">
        <f t="shared" ref="N146" si="46">AVERAGE(G146:M148)</f>
        <v>0</v>
      </c>
      <c r="O146" s="177" t="s">
        <v>216</v>
      </c>
    </row>
    <row r="147" spans="1:15">
      <c r="A147" s="173"/>
      <c r="B147" s="186"/>
      <c r="C147" s="188"/>
      <c r="D147" s="188"/>
      <c r="E147" s="188"/>
      <c r="F147" s="150"/>
      <c r="G147" s="180"/>
      <c r="H147" s="180"/>
      <c r="I147" s="180"/>
      <c r="J147" s="180"/>
      <c r="K147" s="180"/>
      <c r="L147" s="180"/>
      <c r="M147" s="180"/>
      <c r="N147" s="176"/>
      <c r="O147" s="178"/>
    </row>
    <row r="148" spans="1:15">
      <c r="A148" s="173"/>
      <c r="B148" s="189"/>
      <c r="C148" s="190"/>
      <c r="D148" s="190"/>
      <c r="E148" s="190"/>
      <c r="F148" s="151"/>
      <c r="G148" s="181"/>
      <c r="H148" s="181"/>
      <c r="I148" s="181"/>
      <c r="J148" s="181"/>
      <c r="K148" s="181"/>
      <c r="L148" s="181"/>
      <c r="M148" s="181"/>
      <c r="N148" s="182"/>
      <c r="O148" s="183"/>
    </row>
    <row r="149" spans="1:15">
      <c r="A149" s="173" t="s">
        <v>217</v>
      </c>
      <c r="B149" s="185" t="s">
        <v>123</v>
      </c>
      <c r="C149" s="187" t="s">
        <v>6</v>
      </c>
      <c r="D149" s="187"/>
      <c r="E149" s="187"/>
      <c r="F149" s="149"/>
      <c r="G149" s="179">
        <v>0</v>
      </c>
      <c r="H149" s="179">
        <v>0</v>
      </c>
      <c r="I149" s="179">
        <v>0</v>
      </c>
      <c r="J149" s="179">
        <v>0</v>
      </c>
      <c r="K149" s="179">
        <v>0</v>
      </c>
      <c r="L149" s="179">
        <v>0</v>
      </c>
      <c r="M149" s="179">
        <v>0</v>
      </c>
      <c r="N149" s="175">
        <f t="shared" ref="N149" si="47">AVERAGE(G149:M151)</f>
        <v>0</v>
      </c>
      <c r="O149" s="177" t="s">
        <v>218</v>
      </c>
    </row>
    <row r="150" spans="1:15">
      <c r="A150" s="173"/>
      <c r="B150" s="186"/>
      <c r="C150" s="188"/>
      <c r="D150" s="188"/>
      <c r="E150" s="188"/>
      <c r="F150" s="150"/>
      <c r="G150" s="180"/>
      <c r="H150" s="180"/>
      <c r="I150" s="180"/>
      <c r="J150" s="180"/>
      <c r="K150" s="180"/>
      <c r="L150" s="180"/>
      <c r="M150" s="180"/>
      <c r="N150" s="176"/>
      <c r="O150" s="178"/>
    </row>
    <row r="151" spans="1:15">
      <c r="A151" s="173"/>
      <c r="B151" s="189"/>
      <c r="C151" s="190"/>
      <c r="D151" s="190"/>
      <c r="E151" s="190"/>
      <c r="F151" s="151"/>
      <c r="G151" s="181"/>
      <c r="H151" s="181"/>
      <c r="I151" s="181"/>
      <c r="J151" s="181"/>
      <c r="K151" s="181"/>
      <c r="L151" s="181"/>
      <c r="M151" s="181"/>
      <c r="N151" s="182"/>
      <c r="O151" s="183"/>
    </row>
    <row r="152" spans="1:15">
      <c r="A152" s="173" t="s">
        <v>219</v>
      </c>
      <c r="B152" s="185"/>
      <c r="C152" s="187" t="s">
        <v>6</v>
      </c>
      <c r="D152" s="187"/>
      <c r="E152" s="187"/>
      <c r="F152" s="149"/>
      <c r="G152" s="179">
        <v>0</v>
      </c>
      <c r="H152" s="179">
        <v>0</v>
      </c>
      <c r="I152" s="179">
        <v>0</v>
      </c>
      <c r="J152" s="179">
        <v>0</v>
      </c>
      <c r="K152" s="179">
        <v>0</v>
      </c>
      <c r="L152" s="179">
        <v>0</v>
      </c>
      <c r="M152" s="179">
        <v>0</v>
      </c>
      <c r="N152" s="175">
        <f t="shared" ref="N152" si="48">AVERAGE(G152:M154)</f>
        <v>0</v>
      </c>
      <c r="O152" s="201" t="s">
        <v>220</v>
      </c>
    </row>
    <row r="153" spans="1:15">
      <c r="A153" s="173"/>
      <c r="B153" s="186"/>
      <c r="C153" s="188"/>
      <c r="D153" s="188"/>
      <c r="E153" s="188"/>
      <c r="F153" s="150"/>
      <c r="G153" s="180"/>
      <c r="H153" s="180"/>
      <c r="I153" s="180"/>
      <c r="J153" s="180"/>
      <c r="K153" s="180"/>
      <c r="L153" s="180"/>
      <c r="M153" s="180"/>
      <c r="N153" s="176"/>
      <c r="O153" s="178"/>
    </row>
    <row r="154" spans="1:15">
      <c r="A154" s="173"/>
      <c r="B154" s="189"/>
      <c r="C154" s="190"/>
      <c r="D154" s="190"/>
      <c r="E154" s="190"/>
      <c r="F154" s="151"/>
      <c r="G154" s="181"/>
      <c r="H154" s="181"/>
      <c r="I154" s="181"/>
      <c r="J154" s="181"/>
      <c r="K154" s="181"/>
      <c r="L154" s="181"/>
      <c r="M154" s="181"/>
      <c r="N154" s="182"/>
      <c r="O154" s="183"/>
    </row>
    <row r="155" spans="1:15">
      <c r="A155" s="173" t="s">
        <v>221</v>
      </c>
      <c r="B155" s="185"/>
      <c r="C155" s="187" t="s">
        <v>6</v>
      </c>
      <c r="D155" s="187"/>
      <c r="E155" s="187"/>
      <c r="F155" s="149"/>
      <c r="G155" s="179">
        <v>0</v>
      </c>
      <c r="H155" s="179">
        <v>0</v>
      </c>
      <c r="I155" s="179">
        <v>0</v>
      </c>
      <c r="J155" s="179">
        <v>0</v>
      </c>
      <c r="K155" s="179">
        <v>0</v>
      </c>
      <c r="L155" s="179">
        <v>0</v>
      </c>
      <c r="M155" s="179">
        <v>0</v>
      </c>
      <c r="N155" s="175">
        <f t="shared" ref="N155" si="49">AVERAGE(G155:M157)</f>
        <v>0</v>
      </c>
      <c r="O155" s="177" t="s">
        <v>222</v>
      </c>
    </row>
    <row r="156" spans="1:15">
      <c r="A156" s="173"/>
      <c r="B156" s="186"/>
      <c r="C156" s="188"/>
      <c r="D156" s="188"/>
      <c r="E156" s="188"/>
      <c r="F156" s="150"/>
      <c r="G156" s="180"/>
      <c r="H156" s="180"/>
      <c r="I156" s="180"/>
      <c r="J156" s="180"/>
      <c r="K156" s="180"/>
      <c r="L156" s="180"/>
      <c r="M156" s="180"/>
      <c r="N156" s="176"/>
      <c r="O156" s="178"/>
    </row>
    <row r="157" spans="1:15">
      <c r="A157" s="173"/>
      <c r="B157" s="189"/>
      <c r="C157" s="190"/>
      <c r="D157" s="190"/>
      <c r="E157" s="190"/>
      <c r="F157" s="151"/>
      <c r="G157" s="181"/>
      <c r="H157" s="181"/>
      <c r="I157" s="181"/>
      <c r="J157" s="181"/>
      <c r="K157" s="181"/>
      <c r="L157" s="181"/>
      <c r="M157" s="181"/>
      <c r="N157" s="182"/>
      <c r="O157" s="183"/>
    </row>
    <row r="158" spans="1:15">
      <c r="A158" s="173" t="s">
        <v>223</v>
      </c>
      <c r="B158" s="185"/>
      <c r="C158" s="187" t="s">
        <v>6</v>
      </c>
      <c r="D158" s="187"/>
      <c r="E158" s="187"/>
      <c r="F158" s="149"/>
      <c r="G158" s="179">
        <v>0</v>
      </c>
      <c r="H158" s="179">
        <v>0</v>
      </c>
      <c r="I158" s="179">
        <v>0</v>
      </c>
      <c r="J158" s="179">
        <v>0</v>
      </c>
      <c r="K158" s="179">
        <v>0</v>
      </c>
      <c r="L158" s="179">
        <v>0</v>
      </c>
      <c r="M158" s="179">
        <v>0</v>
      </c>
      <c r="N158" s="175">
        <f t="shared" ref="N158" si="50">AVERAGE(G158:M160)</f>
        <v>0</v>
      </c>
      <c r="O158" s="177" t="s">
        <v>224</v>
      </c>
    </row>
    <row r="159" spans="1:15">
      <c r="A159" s="173"/>
      <c r="B159" s="186"/>
      <c r="C159" s="188"/>
      <c r="D159" s="188"/>
      <c r="E159" s="188"/>
      <c r="F159" s="150"/>
      <c r="G159" s="180"/>
      <c r="H159" s="180"/>
      <c r="I159" s="180"/>
      <c r="J159" s="180"/>
      <c r="K159" s="180"/>
      <c r="L159" s="180"/>
      <c r="M159" s="180"/>
      <c r="N159" s="176"/>
      <c r="O159" s="178"/>
    </row>
    <row r="160" spans="1:15">
      <c r="A160" s="173"/>
      <c r="B160" s="189"/>
      <c r="C160" s="190"/>
      <c r="D160" s="190"/>
      <c r="E160" s="190"/>
      <c r="F160" s="151"/>
      <c r="G160" s="181"/>
      <c r="H160" s="181"/>
      <c r="I160" s="181"/>
      <c r="J160" s="181"/>
      <c r="K160" s="181"/>
      <c r="L160" s="181"/>
      <c r="M160" s="181"/>
      <c r="N160" s="182"/>
      <c r="O160" s="183"/>
    </row>
    <row r="161" spans="1:15">
      <c r="A161" s="173" t="s">
        <v>225</v>
      </c>
      <c r="B161" s="185"/>
      <c r="C161" s="187" t="s">
        <v>6</v>
      </c>
      <c r="D161" s="187"/>
      <c r="E161" s="187"/>
      <c r="F161" s="149"/>
      <c r="G161" s="179">
        <v>0</v>
      </c>
      <c r="H161" s="179">
        <v>0</v>
      </c>
      <c r="I161" s="179">
        <v>0</v>
      </c>
      <c r="J161" s="179">
        <v>0</v>
      </c>
      <c r="K161" s="179">
        <v>0</v>
      </c>
      <c r="L161" s="179">
        <v>0</v>
      </c>
      <c r="M161" s="179">
        <v>0</v>
      </c>
      <c r="N161" s="175">
        <f t="shared" ref="N161" si="51">AVERAGE(G161:M163)</f>
        <v>0</v>
      </c>
      <c r="O161" s="177" t="s">
        <v>226</v>
      </c>
    </row>
    <row r="162" spans="1:15">
      <c r="A162" s="173"/>
      <c r="B162" s="186"/>
      <c r="C162" s="188"/>
      <c r="D162" s="188"/>
      <c r="E162" s="188"/>
      <c r="F162" s="150"/>
      <c r="G162" s="180"/>
      <c r="H162" s="180"/>
      <c r="I162" s="180"/>
      <c r="J162" s="180"/>
      <c r="K162" s="180"/>
      <c r="L162" s="180"/>
      <c r="M162" s="180"/>
      <c r="N162" s="176"/>
      <c r="O162" s="178"/>
    </row>
    <row r="163" spans="1:15">
      <c r="A163" s="173"/>
      <c r="B163" s="189"/>
      <c r="C163" s="190"/>
      <c r="D163" s="190"/>
      <c r="E163" s="190"/>
      <c r="F163" s="151"/>
      <c r="G163" s="181"/>
      <c r="H163" s="181"/>
      <c r="I163" s="181"/>
      <c r="J163" s="181"/>
      <c r="K163" s="181"/>
      <c r="L163" s="181"/>
      <c r="M163" s="181"/>
      <c r="N163" s="182"/>
      <c r="O163" s="183"/>
    </row>
    <row r="164" spans="1:15">
      <c r="A164" s="173" t="s">
        <v>227</v>
      </c>
      <c r="B164" s="185" t="s">
        <v>51</v>
      </c>
      <c r="C164" s="187" t="s">
        <v>6</v>
      </c>
      <c r="D164" s="187"/>
      <c r="E164" s="187"/>
      <c r="F164" s="149"/>
      <c r="G164" s="179">
        <v>0</v>
      </c>
      <c r="H164" s="179">
        <v>0</v>
      </c>
      <c r="I164" s="179">
        <v>0</v>
      </c>
      <c r="J164" s="179">
        <v>0</v>
      </c>
      <c r="K164" s="179">
        <v>0</v>
      </c>
      <c r="L164" s="179">
        <v>0</v>
      </c>
      <c r="M164" s="179">
        <v>0</v>
      </c>
      <c r="N164" s="175">
        <f t="shared" ref="N164" si="52">AVERAGE(G164:M166)</f>
        <v>0</v>
      </c>
      <c r="O164" s="177" t="s">
        <v>228</v>
      </c>
    </row>
    <row r="165" spans="1:15">
      <c r="A165" s="173"/>
      <c r="B165" s="186"/>
      <c r="C165" s="188"/>
      <c r="D165" s="188"/>
      <c r="E165" s="188"/>
      <c r="F165" s="150"/>
      <c r="G165" s="180"/>
      <c r="H165" s="180"/>
      <c r="I165" s="180"/>
      <c r="J165" s="180"/>
      <c r="K165" s="180"/>
      <c r="L165" s="180"/>
      <c r="M165" s="180"/>
      <c r="N165" s="176"/>
      <c r="O165" s="178"/>
    </row>
    <row r="166" spans="1:15">
      <c r="A166" s="173"/>
      <c r="B166" s="189"/>
      <c r="C166" s="190"/>
      <c r="D166" s="190"/>
      <c r="E166" s="190"/>
      <c r="F166" s="151"/>
      <c r="G166" s="181"/>
      <c r="H166" s="181"/>
      <c r="I166" s="181"/>
      <c r="J166" s="181"/>
      <c r="K166" s="181"/>
      <c r="L166" s="181"/>
      <c r="M166" s="181"/>
      <c r="N166" s="182"/>
      <c r="O166" s="183"/>
    </row>
    <row r="167" spans="1:15">
      <c r="A167" s="173"/>
      <c r="B167" s="185"/>
      <c r="C167" s="187"/>
      <c r="D167" s="187"/>
      <c r="E167" s="187"/>
      <c r="F167" s="149"/>
      <c r="G167" s="179">
        <v>0</v>
      </c>
      <c r="H167" s="179">
        <v>0</v>
      </c>
      <c r="I167" s="179">
        <v>0</v>
      </c>
      <c r="J167" s="179">
        <v>0</v>
      </c>
      <c r="K167" s="179">
        <v>0</v>
      </c>
      <c r="L167" s="179">
        <v>0</v>
      </c>
      <c r="M167" s="179">
        <v>0</v>
      </c>
      <c r="N167" s="175">
        <f t="shared" ref="N167" si="53">AVERAGE(G167:M169)</f>
        <v>0</v>
      </c>
      <c r="O167" s="177"/>
    </row>
    <row r="168" spans="1:15">
      <c r="A168" s="173"/>
      <c r="B168" s="186"/>
      <c r="C168" s="188"/>
      <c r="D168" s="188"/>
      <c r="E168" s="188"/>
      <c r="F168" s="150"/>
      <c r="G168" s="180"/>
      <c r="H168" s="180"/>
      <c r="I168" s="180"/>
      <c r="J168" s="180"/>
      <c r="K168" s="180"/>
      <c r="L168" s="180"/>
      <c r="M168" s="180"/>
      <c r="N168" s="176"/>
      <c r="O168" s="178"/>
    </row>
    <row r="169" spans="1:15">
      <c r="A169" s="173"/>
      <c r="B169" s="189"/>
      <c r="C169" s="190"/>
      <c r="D169" s="190"/>
      <c r="E169" s="190"/>
      <c r="F169" s="151"/>
      <c r="G169" s="181"/>
      <c r="H169" s="181"/>
      <c r="I169" s="181"/>
      <c r="J169" s="181"/>
      <c r="K169" s="181"/>
      <c r="L169" s="181"/>
      <c r="M169" s="181"/>
      <c r="N169" s="182"/>
      <c r="O169" s="183"/>
    </row>
    <row r="170" spans="1:15">
      <c r="A170" s="173"/>
      <c r="B170" s="185"/>
      <c r="C170" s="187"/>
      <c r="D170" s="187"/>
      <c r="E170" s="187"/>
      <c r="F170" s="149"/>
      <c r="G170" s="179">
        <v>0</v>
      </c>
      <c r="H170" s="179">
        <v>0</v>
      </c>
      <c r="I170" s="179">
        <v>0</v>
      </c>
      <c r="J170" s="179">
        <v>0</v>
      </c>
      <c r="K170" s="179">
        <v>0</v>
      </c>
      <c r="L170" s="179">
        <v>0</v>
      </c>
      <c r="M170" s="179">
        <v>0</v>
      </c>
      <c r="N170" s="175">
        <f t="shared" ref="N170" si="54">AVERAGE(G170:M172)</f>
        <v>0</v>
      </c>
      <c r="O170" s="177"/>
    </row>
    <row r="171" spans="1:15">
      <c r="A171" s="173"/>
      <c r="B171" s="186"/>
      <c r="C171" s="188"/>
      <c r="D171" s="188"/>
      <c r="E171" s="188"/>
      <c r="F171" s="150"/>
      <c r="G171" s="180"/>
      <c r="H171" s="180"/>
      <c r="I171" s="180"/>
      <c r="J171" s="180"/>
      <c r="K171" s="180"/>
      <c r="L171" s="180"/>
      <c r="M171" s="180"/>
      <c r="N171" s="176"/>
      <c r="O171" s="178"/>
    </row>
    <row r="172" spans="1:15">
      <c r="A172" s="173"/>
      <c r="B172" s="189"/>
      <c r="C172" s="190"/>
      <c r="D172" s="190"/>
      <c r="E172" s="190"/>
      <c r="F172" s="151"/>
      <c r="G172" s="181"/>
      <c r="H172" s="181"/>
      <c r="I172" s="181"/>
      <c r="J172" s="181"/>
      <c r="K172" s="181"/>
      <c r="L172" s="181"/>
      <c r="M172" s="181"/>
      <c r="N172" s="182"/>
      <c r="O172" s="183"/>
    </row>
    <row r="173" spans="1:15">
      <c r="A173" s="173"/>
      <c r="B173" s="185"/>
      <c r="C173" s="187"/>
      <c r="D173" s="187"/>
      <c r="E173" s="187"/>
      <c r="F173" s="149"/>
      <c r="G173" s="179">
        <v>0</v>
      </c>
      <c r="H173" s="179">
        <v>0</v>
      </c>
      <c r="I173" s="179">
        <v>0</v>
      </c>
      <c r="J173" s="179">
        <v>0</v>
      </c>
      <c r="K173" s="179">
        <v>0</v>
      </c>
      <c r="L173" s="179">
        <v>0</v>
      </c>
      <c r="M173" s="179">
        <v>0</v>
      </c>
      <c r="N173" s="175">
        <f t="shared" ref="N173" si="55">AVERAGE(G173:M175)</f>
        <v>0</v>
      </c>
      <c r="O173" s="177"/>
    </row>
    <row r="174" spans="1:15">
      <c r="A174" s="173"/>
      <c r="B174" s="186"/>
      <c r="C174" s="188"/>
      <c r="D174" s="188"/>
      <c r="E174" s="188"/>
      <c r="F174" s="150"/>
      <c r="G174" s="180"/>
      <c r="H174" s="180"/>
      <c r="I174" s="180"/>
      <c r="J174" s="180"/>
      <c r="K174" s="180"/>
      <c r="L174" s="180"/>
      <c r="M174" s="180"/>
      <c r="N174" s="176"/>
      <c r="O174" s="178"/>
    </row>
    <row r="175" spans="1:15">
      <c r="A175" s="173"/>
      <c r="B175" s="189"/>
      <c r="C175" s="190"/>
      <c r="D175" s="190"/>
      <c r="E175" s="190"/>
      <c r="F175" s="151"/>
      <c r="G175" s="181"/>
      <c r="H175" s="181"/>
      <c r="I175" s="181"/>
      <c r="J175" s="181"/>
      <c r="K175" s="181"/>
      <c r="L175" s="181"/>
      <c r="M175" s="181"/>
      <c r="N175" s="182"/>
      <c r="O175" s="183"/>
    </row>
    <row r="176" spans="1:15">
      <c r="A176" s="173"/>
      <c r="B176" s="185"/>
      <c r="C176" s="187"/>
      <c r="D176" s="187"/>
      <c r="E176" s="187"/>
      <c r="F176" s="149"/>
      <c r="G176" s="179">
        <v>0</v>
      </c>
      <c r="H176" s="179">
        <v>0</v>
      </c>
      <c r="I176" s="179">
        <v>0</v>
      </c>
      <c r="J176" s="179">
        <v>0</v>
      </c>
      <c r="K176" s="179">
        <v>0</v>
      </c>
      <c r="L176" s="179">
        <v>0</v>
      </c>
      <c r="M176" s="179">
        <v>0</v>
      </c>
      <c r="N176" s="175">
        <f t="shared" ref="N176" si="56">AVERAGE(G176:M178)</f>
        <v>0</v>
      </c>
      <c r="O176" s="177"/>
    </row>
    <row r="177" spans="1:15">
      <c r="A177" s="173"/>
      <c r="B177" s="186"/>
      <c r="C177" s="188"/>
      <c r="D177" s="188"/>
      <c r="E177" s="188"/>
      <c r="F177" s="150"/>
      <c r="G177" s="180"/>
      <c r="H177" s="180"/>
      <c r="I177" s="180"/>
      <c r="J177" s="180"/>
      <c r="K177" s="180"/>
      <c r="L177" s="180"/>
      <c r="M177" s="180"/>
      <c r="N177" s="176"/>
      <c r="O177" s="178"/>
    </row>
    <row r="178" spans="1:15">
      <c r="A178" s="173"/>
      <c r="B178" s="189"/>
      <c r="C178" s="190"/>
      <c r="D178" s="190"/>
      <c r="E178" s="190"/>
      <c r="F178" s="151"/>
      <c r="G178" s="181"/>
      <c r="H178" s="181"/>
      <c r="I178" s="181"/>
      <c r="J178" s="181"/>
      <c r="K178" s="181"/>
      <c r="L178" s="181"/>
      <c r="M178" s="181"/>
      <c r="N178" s="182"/>
      <c r="O178" s="183"/>
    </row>
    <row r="179" spans="1:15">
      <c r="A179" s="173"/>
      <c r="B179" s="185"/>
      <c r="C179" s="187"/>
      <c r="D179" s="187"/>
      <c r="E179" s="187"/>
      <c r="F179" s="149"/>
      <c r="G179" s="179">
        <v>0</v>
      </c>
      <c r="H179" s="179">
        <v>0</v>
      </c>
      <c r="I179" s="179">
        <v>0</v>
      </c>
      <c r="J179" s="179">
        <v>0</v>
      </c>
      <c r="K179" s="179">
        <v>0</v>
      </c>
      <c r="L179" s="179">
        <v>0</v>
      </c>
      <c r="M179" s="179">
        <v>0</v>
      </c>
      <c r="N179" s="175">
        <f t="shared" ref="N179" si="57">AVERAGE(G179:M181)</f>
        <v>0</v>
      </c>
      <c r="O179" s="177"/>
    </row>
    <row r="180" spans="1:15">
      <c r="A180" s="173"/>
      <c r="B180" s="186"/>
      <c r="C180" s="188"/>
      <c r="D180" s="188"/>
      <c r="E180" s="188"/>
      <c r="F180" s="150"/>
      <c r="G180" s="180"/>
      <c r="H180" s="180"/>
      <c r="I180" s="180"/>
      <c r="J180" s="180"/>
      <c r="K180" s="180"/>
      <c r="L180" s="180"/>
      <c r="M180" s="180"/>
      <c r="N180" s="176"/>
      <c r="O180" s="178"/>
    </row>
    <row r="181" spans="1:15">
      <c r="A181" s="173"/>
      <c r="B181" s="189"/>
      <c r="C181" s="190"/>
      <c r="D181" s="190"/>
      <c r="E181" s="190"/>
      <c r="F181" s="151"/>
      <c r="G181" s="181"/>
      <c r="H181" s="181"/>
      <c r="I181" s="181"/>
      <c r="J181" s="181"/>
      <c r="K181" s="181"/>
      <c r="L181" s="181"/>
      <c r="M181" s="181"/>
      <c r="N181" s="182"/>
      <c r="O181" s="183"/>
    </row>
    <row r="182" spans="1:15">
      <c r="A182" s="173"/>
      <c r="B182" s="185"/>
      <c r="C182" s="187"/>
      <c r="D182" s="187"/>
      <c r="E182" s="187"/>
      <c r="F182" s="149"/>
      <c r="G182" s="179">
        <v>0</v>
      </c>
      <c r="H182" s="179">
        <v>0</v>
      </c>
      <c r="I182" s="179">
        <v>0</v>
      </c>
      <c r="J182" s="179">
        <v>0</v>
      </c>
      <c r="K182" s="179">
        <v>0</v>
      </c>
      <c r="L182" s="179">
        <v>0</v>
      </c>
      <c r="M182" s="179">
        <v>0</v>
      </c>
      <c r="N182" s="175">
        <f t="shared" ref="N182" si="58">AVERAGE(G182:M184)</f>
        <v>0</v>
      </c>
      <c r="O182" s="177"/>
    </row>
    <row r="183" spans="1:15">
      <c r="A183" s="173"/>
      <c r="B183" s="186"/>
      <c r="C183" s="188"/>
      <c r="D183" s="188"/>
      <c r="E183" s="188"/>
      <c r="F183" s="150"/>
      <c r="G183" s="180"/>
      <c r="H183" s="180"/>
      <c r="I183" s="180"/>
      <c r="J183" s="180"/>
      <c r="K183" s="180"/>
      <c r="L183" s="180"/>
      <c r="M183" s="180"/>
      <c r="N183" s="176"/>
      <c r="O183" s="178"/>
    </row>
    <row r="184" spans="1:15">
      <c r="A184" s="173"/>
      <c r="B184" s="189"/>
      <c r="C184" s="190"/>
      <c r="D184" s="190"/>
      <c r="E184" s="190"/>
      <c r="F184" s="151"/>
      <c r="G184" s="181"/>
      <c r="H184" s="181"/>
      <c r="I184" s="181"/>
      <c r="J184" s="181"/>
      <c r="K184" s="181"/>
      <c r="L184" s="181"/>
      <c r="M184" s="181"/>
      <c r="N184" s="182"/>
      <c r="O184" s="183"/>
    </row>
    <row r="185" spans="1:15">
      <c r="A185" s="173"/>
      <c r="B185" s="185"/>
      <c r="C185" s="187"/>
      <c r="D185" s="187"/>
      <c r="E185" s="187"/>
      <c r="F185" s="149"/>
      <c r="G185" s="179">
        <v>0</v>
      </c>
      <c r="H185" s="179">
        <v>0</v>
      </c>
      <c r="I185" s="179">
        <v>0</v>
      </c>
      <c r="J185" s="179">
        <v>0</v>
      </c>
      <c r="K185" s="179">
        <v>0</v>
      </c>
      <c r="L185" s="179">
        <v>0</v>
      </c>
      <c r="M185" s="179">
        <v>0</v>
      </c>
      <c r="N185" s="175">
        <f t="shared" ref="N185" si="59">AVERAGE(G185:M187)</f>
        <v>0</v>
      </c>
      <c r="O185" s="177"/>
    </row>
    <row r="186" spans="1:15">
      <c r="A186" s="173"/>
      <c r="B186" s="186"/>
      <c r="C186" s="188"/>
      <c r="D186" s="188"/>
      <c r="E186" s="188"/>
      <c r="F186" s="150"/>
      <c r="G186" s="180"/>
      <c r="H186" s="180"/>
      <c r="I186" s="180"/>
      <c r="J186" s="180"/>
      <c r="K186" s="180"/>
      <c r="L186" s="180"/>
      <c r="M186" s="180"/>
      <c r="N186" s="176"/>
      <c r="O186" s="178"/>
    </row>
    <row r="187" spans="1:15">
      <c r="A187" s="184"/>
      <c r="B187" s="186"/>
      <c r="C187" s="188"/>
      <c r="D187" s="188"/>
      <c r="E187" s="188"/>
      <c r="F187" s="150"/>
      <c r="G187" s="180"/>
      <c r="H187" s="180"/>
      <c r="I187" s="180"/>
      <c r="J187" s="180"/>
      <c r="K187" s="180"/>
      <c r="L187" s="180"/>
      <c r="M187" s="180"/>
      <c r="N187" s="176"/>
      <c r="O187" s="178"/>
    </row>
    <row r="188" spans="1:15">
      <c r="A188" s="173"/>
      <c r="B188" s="174"/>
      <c r="C188" s="174"/>
      <c r="D188" s="174"/>
      <c r="E188" s="174"/>
      <c r="F188" s="141"/>
      <c r="G188" s="172">
        <v>0</v>
      </c>
      <c r="H188" s="172">
        <v>0</v>
      </c>
      <c r="I188" s="172">
        <v>0</v>
      </c>
      <c r="J188" s="172">
        <v>0</v>
      </c>
      <c r="K188" s="172">
        <v>0</v>
      </c>
      <c r="L188" s="172">
        <v>0</v>
      </c>
      <c r="M188" s="172">
        <v>0</v>
      </c>
      <c r="N188" s="170">
        <f t="shared" ref="N188" si="60">AVERAGE(G188:M190)</f>
        <v>0</v>
      </c>
      <c r="O188" s="171"/>
    </row>
    <row r="189" spans="1:15">
      <c r="A189" s="173"/>
      <c r="B189" s="174"/>
      <c r="C189" s="174"/>
      <c r="D189" s="174"/>
      <c r="E189" s="174"/>
      <c r="F189" s="141"/>
      <c r="G189" s="172"/>
      <c r="H189" s="172"/>
      <c r="I189" s="172"/>
      <c r="J189" s="172"/>
      <c r="K189" s="172"/>
      <c r="L189" s="172"/>
      <c r="M189" s="172"/>
      <c r="N189" s="170"/>
      <c r="O189" s="171"/>
    </row>
    <row r="190" spans="1:15">
      <c r="A190" s="173"/>
      <c r="B190" s="174"/>
      <c r="C190" s="174"/>
      <c r="D190" s="174"/>
      <c r="E190" s="174"/>
      <c r="F190" s="141"/>
      <c r="G190" s="172"/>
      <c r="H190" s="172"/>
      <c r="I190" s="172"/>
      <c r="J190" s="172"/>
      <c r="K190" s="172"/>
      <c r="L190" s="172"/>
      <c r="M190" s="172"/>
      <c r="N190" s="170"/>
      <c r="O190" s="171"/>
    </row>
    <row r="191" spans="1:15">
      <c r="A191" s="173"/>
      <c r="B191" s="174"/>
      <c r="C191" s="174"/>
      <c r="D191" s="174"/>
      <c r="E191" s="174"/>
      <c r="F191" s="141"/>
      <c r="G191" s="172">
        <v>0</v>
      </c>
      <c r="H191" s="172">
        <v>0</v>
      </c>
      <c r="I191" s="172">
        <v>0</v>
      </c>
      <c r="J191" s="172">
        <v>0</v>
      </c>
      <c r="K191" s="172">
        <v>0</v>
      </c>
      <c r="L191" s="172">
        <v>0</v>
      </c>
      <c r="M191" s="172">
        <v>0</v>
      </c>
      <c r="N191" s="170">
        <f t="shared" ref="N191" si="61">AVERAGE(G191:M193)</f>
        <v>0</v>
      </c>
      <c r="O191" s="171"/>
    </row>
    <row r="192" spans="1:15">
      <c r="A192" s="173"/>
      <c r="B192" s="174"/>
      <c r="C192" s="174"/>
      <c r="D192" s="174"/>
      <c r="E192" s="174"/>
      <c r="F192" s="141"/>
      <c r="G192" s="172"/>
      <c r="H192" s="172"/>
      <c r="I192" s="172"/>
      <c r="J192" s="172"/>
      <c r="K192" s="172"/>
      <c r="L192" s="172"/>
      <c r="M192" s="172"/>
      <c r="N192" s="170"/>
      <c r="O192" s="171"/>
    </row>
    <row r="193" spans="1:15">
      <c r="A193" s="173"/>
      <c r="B193" s="174"/>
      <c r="C193" s="174"/>
      <c r="D193" s="174"/>
      <c r="E193" s="174"/>
      <c r="F193" s="141"/>
      <c r="G193" s="172"/>
      <c r="H193" s="172"/>
      <c r="I193" s="172"/>
      <c r="J193" s="172"/>
      <c r="K193" s="172"/>
      <c r="L193" s="172"/>
      <c r="M193" s="172"/>
      <c r="N193" s="170"/>
      <c r="O193" s="171"/>
    </row>
    <row r="194" spans="1:15">
      <c r="A194" s="173"/>
      <c r="B194" s="174"/>
      <c r="C194" s="174"/>
      <c r="D194" s="174"/>
      <c r="E194" s="174"/>
      <c r="F194" s="141"/>
      <c r="G194" s="172">
        <v>0</v>
      </c>
      <c r="H194" s="172">
        <v>0</v>
      </c>
      <c r="I194" s="172">
        <v>0</v>
      </c>
      <c r="J194" s="172">
        <v>0</v>
      </c>
      <c r="K194" s="172">
        <v>0</v>
      </c>
      <c r="L194" s="172">
        <v>0</v>
      </c>
      <c r="M194" s="172">
        <v>0</v>
      </c>
      <c r="N194" s="170">
        <f t="shared" ref="N194" si="62">AVERAGE(G194:M196)</f>
        <v>0</v>
      </c>
      <c r="O194" s="171"/>
    </row>
    <row r="195" spans="1:15">
      <c r="A195" s="173"/>
      <c r="B195" s="174"/>
      <c r="C195" s="174"/>
      <c r="D195" s="174"/>
      <c r="E195" s="174"/>
      <c r="F195" s="141"/>
      <c r="G195" s="172"/>
      <c r="H195" s="172"/>
      <c r="I195" s="172"/>
      <c r="J195" s="172"/>
      <c r="K195" s="172"/>
      <c r="L195" s="172"/>
      <c r="M195" s="172"/>
      <c r="N195" s="170"/>
      <c r="O195" s="171"/>
    </row>
    <row r="196" spans="1:15">
      <c r="A196" s="173"/>
      <c r="B196" s="174"/>
      <c r="C196" s="174"/>
      <c r="D196" s="174"/>
      <c r="E196" s="174"/>
      <c r="F196" s="141"/>
      <c r="G196" s="172"/>
      <c r="H196" s="172"/>
      <c r="I196" s="172"/>
      <c r="J196" s="172"/>
      <c r="K196" s="172"/>
      <c r="L196" s="172"/>
      <c r="M196" s="172"/>
      <c r="N196" s="170"/>
      <c r="O196" s="171"/>
    </row>
    <row r="197" spans="1:15">
      <c r="A197" s="173"/>
      <c r="B197" s="174"/>
      <c r="C197" s="174"/>
      <c r="D197" s="174"/>
      <c r="E197" s="174"/>
      <c r="F197" s="141"/>
      <c r="G197" s="172">
        <v>0</v>
      </c>
      <c r="H197" s="172">
        <v>0</v>
      </c>
      <c r="I197" s="172">
        <v>0</v>
      </c>
      <c r="J197" s="172">
        <v>0</v>
      </c>
      <c r="K197" s="172">
        <v>0</v>
      </c>
      <c r="L197" s="172">
        <v>0</v>
      </c>
      <c r="M197" s="172">
        <v>0</v>
      </c>
      <c r="N197" s="170">
        <f t="shared" ref="N197" si="63">AVERAGE(G197:M199)</f>
        <v>0</v>
      </c>
      <c r="O197" s="171"/>
    </row>
    <row r="198" spans="1:15">
      <c r="A198" s="173"/>
      <c r="B198" s="174"/>
      <c r="C198" s="174"/>
      <c r="D198" s="174"/>
      <c r="E198" s="174"/>
      <c r="F198" s="141"/>
      <c r="G198" s="172"/>
      <c r="H198" s="172"/>
      <c r="I198" s="172"/>
      <c r="J198" s="172"/>
      <c r="K198" s="172"/>
      <c r="L198" s="172"/>
      <c r="M198" s="172"/>
      <c r="N198" s="170"/>
      <c r="O198" s="171"/>
    </row>
    <row r="199" spans="1:15">
      <c r="A199" s="173"/>
      <c r="B199" s="174"/>
      <c r="C199" s="174"/>
      <c r="D199" s="174"/>
      <c r="E199" s="174"/>
      <c r="F199" s="141"/>
      <c r="G199" s="172"/>
      <c r="H199" s="172"/>
      <c r="I199" s="172"/>
      <c r="J199" s="172"/>
      <c r="K199" s="172"/>
      <c r="L199" s="172"/>
      <c r="M199" s="172"/>
      <c r="N199" s="170"/>
      <c r="O199" s="171"/>
    </row>
    <row r="200" spans="1:15">
      <c r="A200" s="173"/>
      <c r="B200" s="174"/>
      <c r="C200" s="174"/>
      <c r="D200" s="174"/>
      <c r="E200" s="174"/>
      <c r="F200" s="141"/>
      <c r="G200" s="172">
        <v>0</v>
      </c>
      <c r="H200" s="172">
        <v>0</v>
      </c>
      <c r="I200" s="172">
        <v>0</v>
      </c>
      <c r="J200" s="172">
        <v>0</v>
      </c>
      <c r="K200" s="172">
        <v>0</v>
      </c>
      <c r="L200" s="172">
        <v>0</v>
      </c>
      <c r="M200" s="172">
        <v>0</v>
      </c>
      <c r="N200" s="170">
        <f t="shared" ref="N200" si="64">AVERAGE(G200:M202)</f>
        <v>0</v>
      </c>
      <c r="O200" s="171"/>
    </row>
    <row r="201" spans="1:15">
      <c r="A201" s="173"/>
      <c r="B201" s="174"/>
      <c r="C201" s="174"/>
      <c r="D201" s="174"/>
      <c r="E201" s="174"/>
      <c r="F201" s="141"/>
      <c r="G201" s="172"/>
      <c r="H201" s="172"/>
      <c r="I201" s="172"/>
      <c r="J201" s="172"/>
      <c r="K201" s="172"/>
      <c r="L201" s="172"/>
      <c r="M201" s="172"/>
      <c r="N201" s="170"/>
      <c r="O201" s="171"/>
    </row>
    <row r="202" spans="1:15">
      <c r="A202" s="173"/>
      <c r="B202" s="174"/>
      <c r="C202" s="174"/>
      <c r="D202" s="174"/>
      <c r="E202" s="174"/>
      <c r="F202" s="141"/>
      <c r="G202" s="172"/>
      <c r="H202" s="172"/>
      <c r="I202" s="172"/>
      <c r="J202" s="172"/>
      <c r="K202" s="172"/>
      <c r="L202" s="172"/>
      <c r="M202" s="172"/>
      <c r="N202" s="170"/>
      <c r="O202" s="171"/>
    </row>
    <row r="203" spans="1:15">
      <c r="A203" s="173"/>
      <c r="B203" s="174"/>
      <c r="C203" s="174"/>
      <c r="D203" s="174"/>
      <c r="E203" s="174"/>
      <c r="F203" s="141"/>
      <c r="G203" s="172">
        <v>0</v>
      </c>
      <c r="H203" s="172">
        <v>0</v>
      </c>
      <c r="I203" s="172">
        <v>0</v>
      </c>
      <c r="J203" s="172">
        <v>0</v>
      </c>
      <c r="K203" s="172">
        <v>0</v>
      </c>
      <c r="L203" s="172">
        <v>0</v>
      </c>
      <c r="M203" s="172">
        <v>0</v>
      </c>
      <c r="N203" s="170">
        <f t="shared" ref="N203" si="65">AVERAGE(G203:M205)</f>
        <v>0</v>
      </c>
      <c r="O203" s="171"/>
    </row>
    <row r="204" spans="1:15">
      <c r="A204" s="173"/>
      <c r="B204" s="174"/>
      <c r="C204" s="174"/>
      <c r="D204" s="174"/>
      <c r="E204" s="174"/>
      <c r="F204" s="141"/>
      <c r="G204" s="172"/>
      <c r="H204" s="172"/>
      <c r="I204" s="172"/>
      <c r="J204" s="172"/>
      <c r="K204" s="172"/>
      <c r="L204" s="172"/>
      <c r="M204" s="172"/>
      <c r="N204" s="170"/>
      <c r="O204" s="171"/>
    </row>
    <row r="205" spans="1:15">
      <c r="A205" s="173"/>
      <c r="B205" s="174"/>
      <c r="C205" s="174"/>
      <c r="D205" s="174"/>
      <c r="E205" s="174"/>
      <c r="F205" s="141"/>
      <c r="G205" s="172"/>
      <c r="H205" s="172"/>
      <c r="I205" s="172"/>
      <c r="J205" s="172"/>
      <c r="K205" s="172"/>
      <c r="L205" s="172"/>
      <c r="M205" s="172"/>
      <c r="N205" s="170"/>
      <c r="O205" s="171"/>
    </row>
    <row r="206" spans="1:15">
      <c r="A206" s="173"/>
      <c r="B206" s="174"/>
      <c r="C206" s="174"/>
      <c r="D206" s="174"/>
      <c r="E206" s="174"/>
      <c r="F206" s="141"/>
      <c r="G206" s="172">
        <v>0</v>
      </c>
      <c r="H206" s="172">
        <v>0</v>
      </c>
      <c r="I206" s="172">
        <v>0</v>
      </c>
      <c r="J206" s="172">
        <v>0</v>
      </c>
      <c r="K206" s="172">
        <v>0</v>
      </c>
      <c r="L206" s="172">
        <v>0</v>
      </c>
      <c r="M206" s="172">
        <v>0</v>
      </c>
      <c r="N206" s="170">
        <f t="shared" ref="N206" si="66">AVERAGE(G206:M208)</f>
        <v>0</v>
      </c>
      <c r="O206" s="171"/>
    </row>
    <row r="207" spans="1:15">
      <c r="A207" s="173"/>
      <c r="B207" s="174"/>
      <c r="C207" s="174"/>
      <c r="D207" s="174"/>
      <c r="E207" s="174"/>
      <c r="F207" s="141"/>
      <c r="G207" s="172"/>
      <c r="H207" s="172"/>
      <c r="I207" s="172"/>
      <c r="J207" s="172"/>
      <c r="K207" s="172"/>
      <c r="L207" s="172"/>
      <c r="M207" s="172"/>
      <c r="N207" s="170"/>
      <c r="O207" s="171"/>
    </row>
    <row r="208" spans="1:15">
      <c r="A208" s="173"/>
      <c r="B208" s="174"/>
      <c r="C208" s="174"/>
      <c r="D208" s="174"/>
      <c r="E208" s="174"/>
      <c r="F208" s="141"/>
      <c r="G208" s="172"/>
      <c r="H208" s="172"/>
      <c r="I208" s="172"/>
      <c r="J208" s="172"/>
      <c r="K208" s="172"/>
      <c r="L208" s="172"/>
      <c r="M208" s="172"/>
      <c r="N208" s="170"/>
      <c r="O208" s="171"/>
    </row>
    <row r="209" spans="1:15">
      <c r="A209" s="173"/>
      <c r="B209" s="174"/>
      <c r="C209" s="174"/>
      <c r="D209" s="174"/>
      <c r="E209" s="174"/>
      <c r="F209" s="141"/>
      <c r="G209" s="172">
        <v>0</v>
      </c>
      <c r="H209" s="172">
        <v>0</v>
      </c>
      <c r="I209" s="172">
        <v>0</v>
      </c>
      <c r="J209" s="172">
        <v>0</v>
      </c>
      <c r="K209" s="172">
        <v>0</v>
      </c>
      <c r="L209" s="172">
        <v>0</v>
      </c>
      <c r="M209" s="172">
        <v>0</v>
      </c>
      <c r="N209" s="170">
        <f t="shared" ref="N209" si="67">AVERAGE(G209:M211)</f>
        <v>0</v>
      </c>
      <c r="O209" s="171"/>
    </row>
    <row r="210" spans="1:15">
      <c r="A210" s="173"/>
      <c r="B210" s="174"/>
      <c r="C210" s="174"/>
      <c r="D210" s="174"/>
      <c r="E210" s="174"/>
      <c r="F210" s="141"/>
      <c r="G210" s="172"/>
      <c r="H210" s="172"/>
      <c r="I210" s="172"/>
      <c r="J210" s="172"/>
      <c r="K210" s="172"/>
      <c r="L210" s="172"/>
      <c r="M210" s="172"/>
      <c r="N210" s="170"/>
      <c r="O210" s="171"/>
    </row>
    <row r="211" spans="1:15">
      <c r="A211" s="173"/>
      <c r="B211" s="174"/>
      <c r="C211" s="174"/>
      <c r="D211" s="174"/>
      <c r="E211" s="174"/>
      <c r="F211" s="141"/>
      <c r="G211" s="172"/>
      <c r="H211" s="172"/>
      <c r="I211" s="172"/>
      <c r="J211" s="172"/>
      <c r="K211" s="172"/>
      <c r="L211" s="172"/>
      <c r="M211" s="172"/>
      <c r="N211" s="170"/>
      <c r="O211" s="171"/>
    </row>
    <row r="212" spans="1:15">
      <c r="A212" s="173"/>
      <c r="B212" s="174"/>
      <c r="C212" s="174"/>
      <c r="D212" s="174"/>
      <c r="E212" s="174"/>
      <c r="F212" s="141"/>
      <c r="G212" s="172">
        <v>0</v>
      </c>
      <c r="H212" s="172">
        <v>0</v>
      </c>
      <c r="I212" s="172">
        <v>0</v>
      </c>
      <c r="J212" s="172">
        <v>0</v>
      </c>
      <c r="K212" s="172">
        <v>0</v>
      </c>
      <c r="L212" s="172">
        <v>0</v>
      </c>
      <c r="M212" s="172">
        <v>0</v>
      </c>
      <c r="N212" s="170">
        <f t="shared" ref="N212" si="68">AVERAGE(G212:M214)</f>
        <v>0</v>
      </c>
      <c r="O212" s="171"/>
    </row>
    <row r="213" spans="1:15">
      <c r="A213" s="173"/>
      <c r="B213" s="174"/>
      <c r="C213" s="174"/>
      <c r="D213" s="174"/>
      <c r="E213" s="174"/>
      <c r="F213" s="141"/>
      <c r="G213" s="172"/>
      <c r="H213" s="172"/>
      <c r="I213" s="172"/>
      <c r="J213" s="172"/>
      <c r="K213" s="172"/>
      <c r="L213" s="172"/>
      <c r="M213" s="172"/>
      <c r="N213" s="170"/>
      <c r="O213" s="171"/>
    </row>
    <row r="214" spans="1:15">
      <c r="A214" s="173"/>
      <c r="B214" s="174"/>
      <c r="C214" s="174"/>
      <c r="D214" s="174"/>
      <c r="E214" s="174"/>
      <c r="F214" s="141"/>
      <c r="G214" s="172"/>
      <c r="H214" s="172"/>
      <c r="I214" s="172"/>
      <c r="J214" s="172"/>
      <c r="K214" s="172"/>
      <c r="L214" s="172"/>
      <c r="M214" s="172"/>
      <c r="N214" s="170"/>
      <c r="O214" s="171"/>
    </row>
    <row r="215" spans="1:15">
      <c r="A215" s="173"/>
      <c r="B215" s="174"/>
      <c r="C215" s="174"/>
      <c r="D215" s="174"/>
      <c r="E215" s="174"/>
      <c r="F215" s="141"/>
      <c r="G215" s="172">
        <v>0</v>
      </c>
      <c r="H215" s="172">
        <v>0</v>
      </c>
      <c r="I215" s="172">
        <v>0</v>
      </c>
      <c r="J215" s="172">
        <v>0</v>
      </c>
      <c r="K215" s="172">
        <v>0</v>
      </c>
      <c r="L215" s="172">
        <v>0</v>
      </c>
      <c r="M215" s="172">
        <v>0</v>
      </c>
      <c r="N215" s="170">
        <f t="shared" ref="N215" si="69">AVERAGE(G215:M217)</f>
        <v>0</v>
      </c>
      <c r="O215" s="171"/>
    </row>
    <row r="216" spans="1:15">
      <c r="A216" s="173"/>
      <c r="B216" s="174"/>
      <c r="C216" s="174"/>
      <c r="D216" s="174"/>
      <c r="E216" s="174"/>
      <c r="F216" s="141"/>
      <c r="G216" s="172"/>
      <c r="H216" s="172"/>
      <c r="I216" s="172"/>
      <c r="J216" s="172"/>
      <c r="K216" s="172"/>
      <c r="L216" s="172"/>
      <c r="M216" s="172"/>
      <c r="N216" s="170"/>
      <c r="O216" s="171"/>
    </row>
    <row r="217" spans="1:15">
      <c r="A217" s="173"/>
      <c r="B217" s="174"/>
      <c r="C217" s="174"/>
      <c r="D217" s="174"/>
      <c r="E217" s="174"/>
      <c r="F217" s="141"/>
      <c r="G217" s="172"/>
      <c r="H217" s="172"/>
      <c r="I217" s="172"/>
      <c r="J217" s="172"/>
      <c r="K217" s="172"/>
      <c r="L217" s="172"/>
      <c r="M217" s="172"/>
      <c r="N217" s="170"/>
      <c r="O217" s="171"/>
    </row>
    <row r="218" spans="1:15">
      <c r="A218" s="173"/>
      <c r="B218" s="174"/>
      <c r="C218" s="174"/>
      <c r="D218" s="174"/>
      <c r="E218" s="174"/>
      <c r="F218" s="141"/>
      <c r="G218" s="172">
        <v>0</v>
      </c>
      <c r="H218" s="172">
        <v>0</v>
      </c>
      <c r="I218" s="172">
        <v>0</v>
      </c>
      <c r="J218" s="172">
        <v>0</v>
      </c>
      <c r="K218" s="172">
        <v>0</v>
      </c>
      <c r="L218" s="172">
        <v>0</v>
      </c>
      <c r="M218" s="172">
        <v>0</v>
      </c>
      <c r="N218" s="170">
        <f t="shared" ref="N218" si="70">AVERAGE(G218:M220)</f>
        <v>0</v>
      </c>
      <c r="O218" s="171"/>
    </row>
    <row r="219" spans="1:15">
      <c r="A219" s="173"/>
      <c r="B219" s="174"/>
      <c r="C219" s="174"/>
      <c r="D219" s="174"/>
      <c r="E219" s="174"/>
      <c r="F219" s="141"/>
      <c r="G219" s="172"/>
      <c r="H219" s="172"/>
      <c r="I219" s="172"/>
      <c r="J219" s="172"/>
      <c r="K219" s="172"/>
      <c r="L219" s="172"/>
      <c r="M219" s="172"/>
      <c r="N219" s="170"/>
      <c r="O219" s="171"/>
    </row>
    <row r="220" spans="1:15">
      <c r="A220" s="173"/>
      <c r="B220" s="174"/>
      <c r="C220" s="174"/>
      <c r="D220" s="174"/>
      <c r="E220" s="174"/>
      <c r="F220" s="141"/>
      <c r="G220" s="172"/>
      <c r="H220" s="172"/>
      <c r="I220" s="172"/>
      <c r="J220" s="172"/>
      <c r="K220" s="172"/>
      <c r="L220" s="172"/>
      <c r="M220" s="172"/>
      <c r="N220" s="170"/>
      <c r="O220" s="171"/>
    </row>
    <row r="221" spans="1:15">
      <c r="A221" s="173"/>
      <c r="B221" s="174"/>
      <c r="C221" s="174"/>
      <c r="D221" s="174"/>
      <c r="E221" s="174"/>
      <c r="F221" s="141"/>
      <c r="G221" s="172">
        <v>0</v>
      </c>
      <c r="H221" s="172">
        <v>0</v>
      </c>
      <c r="I221" s="172">
        <v>0</v>
      </c>
      <c r="J221" s="172">
        <v>0</v>
      </c>
      <c r="K221" s="172">
        <v>0</v>
      </c>
      <c r="L221" s="172">
        <v>0</v>
      </c>
      <c r="M221" s="172">
        <v>0</v>
      </c>
      <c r="N221" s="170">
        <f t="shared" ref="N221" si="71">AVERAGE(G221:M223)</f>
        <v>0</v>
      </c>
      <c r="O221" s="171"/>
    </row>
    <row r="222" spans="1:15">
      <c r="A222" s="173"/>
      <c r="B222" s="174"/>
      <c r="C222" s="174"/>
      <c r="D222" s="174"/>
      <c r="E222" s="174"/>
      <c r="F222" s="141"/>
      <c r="G222" s="172"/>
      <c r="H222" s="172"/>
      <c r="I222" s="172"/>
      <c r="J222" s="172"/>
      <c r="K222" s="172"/>
      <c r="L222" s="172"/>
      <c r="M222" s="172"/>
      <c r="N222" s="170"/>
      <c r="O222" s="171"/>
    </row>
    <row r="223" spans="1:15">
      <c r="A223" s="173"/>
      <c r="B223" s="174"/>
      <c r="C223" s="174"/>
      <c r="D223" s="174"/>
      <c r="E223" s="174"/>
      <c r="F223" s="141"/>
      <c r="G223" s="172"/>
      <c r="H223" s="172"/>
      <c r="I223" s="172"/>
      <c r="J223" s="172"/>
      <c r="K223" s="172"/>
      <c r="L223" s="172"/>
      <c r="M223" s="172"/>
      <c r="N223" s="170"/>
      <c r="O223" s="171"/>
    </row>
    <row r="224" spans="1:15">
      <c r="A224" s="173"/>
      <c r="B224" s="174"/>
      <c r="C224" s="174"/>
      <c r="D224" s="174"/>
      <c r="E224" s="174"/>
      <c r="F224" s="141"/>
      <c r="G224" s="172">
        <v>0</v>
      </c>
      <c r="H224" s="172">
        <v>0</v>
      </c>
      <c r="I224" s="172">
        <v>0</v>
      </c>
      <c r="J224" s="172">
        <v>0</v>
      </c>
      <c r="K224" s="172">
        <v>0</v>
      </c>
      <c r="L224" s="172">
        <v>0</v>
      </c>
      <c r="M224" s="172">
        <v>0</v>
      </c>
      <c r="N224" s="170">
        <f t="shared" ref="N224" si="72">AVERAGE(G224:M226)</f>
        <v>0</v>
      </c>
      <c r="O224" s="171"/>
    </row>
    <row r="225" spans="1:15">
      <c r="A225" s="173"/>
      <c r="B225" s="174"/>
      <c r="C225" s="174"/>
      <c r="D225" s="174"/>
      <c r="E225" s="174"/>
      <c r="F225" s="141"/>
      <c r="G225" s="172"/>
      <c r="H225" s="172"/>
      <c r="I225" s="172"/>
      <c r="J225" s="172"/>
      <c r="K225" s="172"/>
      <c r="L225" s="172"/>
      <c r="M225" s="172"/>
      <c r="N225" s="170"/>
      <c r="O225" s="171"/>
    </row>
    <row r="226" spans="1:15">
      <c r="A226" s="173"/>
      <c r="B226" s="174"/>
      <c r="C226" s="174"/>
      <c r="D226" s="174"/>
      <c r="E226" s="174"/>
      <c r="F226" s="141"/>
      <c r="G226" s="172"/>
      <c r="H226" s="172"/>
      <c r="I226" s="172"/>
      <c r="J226" s="172"/>
      <c r="K226" s="172"/>
      <c r="L226" s="172"/>
      <c r="M226" s="172"/>
      <c r="N226" s="170"/>
      <c r="O226" s="171"/>
    </row>
    <row r="227" spans="1:15">
      <c r="A227" s="173"/>
      <c r="B227" s="174"/>
      <c r="C227" s="174"/>
      <c r="D227" s="174"/>
      <c r="E227" s="174"/>
      <c r="F227" s="141"/>
      <c r="G227" s="172">
        <v>0</v>
      </c>
      <c r="H227" s="172">
        <v>0</v>
      </c>
      <c r="I227" s="172">
        <v>0</v>
      </c>
      <c r="J227" s="172">
        <v>0</v>
      </c>
      <c r="K227" s="172">
        <v>0</v>
      </c>
      <c r="L227" s="172">
        <v>0</v>
      </c>
      <c r="M227" s="172">
        <v>0</v>
      </c>
      <c r="N227" s="170">
        <f t="shared" ref="N227" si="73">AVERAGE(G227:M229)</f>
        <v>0</v>
      </c>
      <c r="O227" s="171"/>
    </row>
    <row r="228" spans="1:15">
      <c r="A228" s="173"/>
      <c r="B228" s="174"/>
      <c r="C228" s="174"/>
      <c r="D228" s="174"/>
      <c r="E228" s="174"/>
      <c r="F228" s="141"/>
      <c r="G228" s="172"/>
      <c r="H228" s="172"/>
      <c r="I228" s="172"/>
      <c r="J228" s="172"/>
      <c r="K228" s="172"/>
      <c r="L228" s="172"/>
      <c r="M228" s="172"/>
      <c r="N228" s="170"/>
      <c r="O228" s="171"/>
    </row>
    <row r="229" spans="1:15">
      <c r="A229" s="173"/>
      <c r="B229" s="174"/>
      <c r="C229" s="174"/>
      <c r="D229" s="174"/>
      <c r="E229" s="174"/>
      <c r="F229" s="141"/>
      <c r="G229" s="172"/>
      <c r="H229" s="172"/>
      <c r="I229" s="172"/>
      <c r="J229" s="172"/>
      <c r="K229" s="172"/>
      <c r="L229" s="172"/>
      <c r="M229" s="172"/>
      <c r="N229" s="170"/>
      <c r="O229" s="171"/>
    </row>
    <row r="230" spans="1:15">
      <c r="A230" s="173"/>
      <c r="B230" s="174"/>
      <c r="C230" s="174"/>
      <c r="D230" s="174"/>
      <c r="E230" s="174"/>
      <c r="F230" s="141"/>
      <c r="G230" s="172">
        <v>0</v>
      </c>
      <c r="H230" s="172">
        <v>0</v>
      </c>
      <c r="I230" s="172">
        <v>0</v>
      </c>
      <c r="J230" s="172">
        <v>0</v>
      </c>
      <c r="K230" s="172">
        <v>0</v>
      </c>
      <c r="L230" s="172">
        <v>0</v>
      </c>
      <c r="M230" s="172">
        <v>0</v>
      </c>
      <c r="N230" s="170">
        <f t="shared" ref="N230" si="74">AVERAGE(G230:M232)</f>
        <v>0</v>
      </c>
      <c r="O230" s="171"/>
    </row>
    <row r="231" spans="1:15">
      <c r="A231" s="173"/>
      <c r="B231" s="174"/>
      <c r="C231" s="174"/>
      <c r="D231" s="174"/>
      <c r="E231" s="174"/>
      <c r="F231" s="141"/>
      <c r="G231" s="172"/>
      <c r="H231" s="172"/>
      <c r="I231" s="172"/>
      <c r="J231" s="172"/>
      <c r="K231" s="172"/>
      <c r="L231" s="172"/>
      <c r="M231" s="172"/>
      <c r="N231" s="170"/>
      <c r="O231" s="171"/>
    </row>
    <row r="232" spans="1:15">
      <c r="A232" s="173"/>
      <c r="B232" s="174"/>
      <c r="C232" s="174"/>
      <c r="D232" s="174"/>
      <c r="E232" s="174"/>
      <c r="F232" s="141"/>
      <c r="G232" s="172"/>
      <c r="H232" s="172"/>
      <c r="I232" s="172"/>
      <c r="J232" s="172"/>
      <c r="K232" s="172"/>
      <c r="L232" s="172"/>
      <c r="M232" s="172"/>
      <c r="N232" s="170"/>
      <c r="O232" s="171"/>
    </row>
    <row r="233" spans="1:15">
      <c r="A233" s="173"/>
      <c r="B233" s="174"/>
      <c r="C233" s="174"/>
      <c r="D233" s="174"/>
      <c r="E233" s="174"/>
      <c r="F233" s="141"/>
      <c r="G233" s="172">
        <v>0</v>
      </c>
      <c r="H233" s="172">
        <v>0</v>
      </c>
      <c r="I233" s="172">
        <v>0</v>
      </c>
      <c r="J233" s="172">
        <v>0</v>
      </c>
      <c r="K233" s="172">
        <v>0</v>
      </c>
      <c r="L233" s="172">
        <v>0</v>
      </c>
      <c r="M233" s="172">
        <v>0</v>
      </c>
      <c r="N233" s="170">
        <f t="shared" ref="N233" si="75">AVERAGE(G233:M235)</f>
        <v>0</v>
      </c>
      <c r="O233" s="171"/>
    </row>
    <row r="234" spans="1:15">
      <c r="A234" s="173"/>
      <c r="B234" s="174"/>
      <c r="C234" s="174"/>
      <c r="D234" s="174"/>
      <c r="E234" s="174"/>
      <c r="F234" s="141"/>
      <c r="G234" s="172"/>
      <c r="H234" s="172"/>
      <c r="I234" s="172"/>
      <c r="J234" s="172"/>
      <c r="K234" s="172"/>
      <c r="L234" s="172"/>
      <c r="M234" s="172"/>
      <c r="N234" s="170"/>
      <c r="O234" s="171"/>
    </row>
    <row r="235" spans="1:15">
      <c r="A235" s="173"/>
      <c r="B235" s="174"/>
      <c r="C235" s="174"/>
      <c r="D235" s="174"/>
      <c r="E235" s="174"/>
      <c r="F235" s="141"/>
      <c r="G235" s="172"/>
      <c r="H235" s="172"/>
      <c r="I235" s="172"/>
      <c r="J235" s="172"/>
      <c r="K235" s="172"/>
      <c r="L235" s="172"/>
      <c r="M235" s="172"/>
      <c r="N235" s="170"/>
      <c r="O235" s="171"/>
    </row>
    <row r="236" spans="1:15">
      <c r="A236" s="173"/>
      <c r="B236" s="174"/>
      <c r="C236" s="174"/>
      <c r="D236" s="174"/>
      <c r="E236" s="174"/>
      <c r="F236" s="141"/>
      <c r="G236" s="172">
        <v>0</v>
      </c>
      <c r="H236" s="172">
        <v>0</v>
      </c>
      <c r="I236" s="172">
        <v>0</v>
      </c>
      <c r="J236" s="172">
        <v>0</v>
      </c>
      <c r="K236" s="172">
        <v>0</v>
      </c>
      <c r="L236" s="172">
        <v>0</v>
      </c>
      <c r="M236" s="172">
        <v>0</v>
      </c>
      <c r="N236" s="170">
        <f t="shared" ref="N236" si="76">AVERAGE(G236:M238)</f>
        <v>0</v>
      </c>
      <c r="O236" s="171"/>
    </row>
    <row r="237" spans="1:15">
      <c r="A237" s="173"/>
      <c r="B237" s="174"/>
      <c r="C237" s="174"/>
      <c r="D237" s="174"/>
      <c r="E237" s="174"/>
      <c r="F237" s="141"/>
      <c r="G237" s="172"/>
      <c r="H237" s="172"/>
      <c r="I237" s="172"/>
      <c r="J237" s="172"/>
      <c r="K237" s="172"/>
      <c r="L237" s="172"/>
      <c r="M237" s="172"/>
      <c r="N237" s="170"/>
      <c r="O237" s="171"/>
    </row>
    <row r="238" spans="1:15">
      <c r="A238" s="173"/>
      <c r="B238" s="174"/>
      <c r="C238" s="174"/>
      <c r="D238" s="174"/>
      <c r="E238" s="174"/>
      <c r="F238" s="141"/>
      <c r="G238" s="172"/>
      <c r="H238" s="172"/>
      <c r="I238" s="172"/>
      <c r="J238" s="172"/>
      <c r="K238" s="172"/>
      <c r="L238" s="172"/>
      <c r="M238" s="172"/>
      <c r="N238" s="170"/>
      <c r="O238" s="171"/>
    </row>
    <row r="239" spans="1:15">
      <c r="A239" s="173"/>
      <c r="B239" s="174"/>
      <c r="C239" s="174"/>
      <c r="D239" s="174"/>
      <c r="E239" s="174"/>
      <c r="F239" s="141"/>
      <c r="G239" s="172">
        <v>0</v>
      </c>
      <c r="H239" s="172">
        <v>0</v>
      </c>
      <c r="I239" s="172">
        <v>0</v>
      </c>
      <c r="J239" s="172">
        <v>0</v>
      </c>
      <c r="K239" s="172">
        <v>0</v>
      </c>
      <c r="L239" s="172">
        <v>0</v>
      </c>
      <c r="M239" s="172">
        <v>0</v>
      </c>
      <c r="N239" s="170">
        <f t="shared" ref="N239" si="77">AVERAGE(G239:M241)</f>
        <v>0</v>
      </c>
      <c r="O239" s="171"/>
    </row>
    <row r="240" spans="1:15">
      <c r="A240" s="173"/>
      <c r="B240" s="174"/>
      <c r="C240" s="174"/>
      <c r="D240" s="174"/>
      <c r="E240" s="174"/>
      <c r="F240" s="141"/>
      <c r="G240" s="172"/>
      <c r="H240" s="172"/>
      <c r="I240" s="172"/>
      <c r="J240" s="172"/>
      <c r="K240" s="172"/>
      <c r="L240" s="172"/>
      <c r="M240" s="172"/>
      <c r="N240" s="170"/>
      <c r="O240" s="171"/>
    </row>
    <row r="241" spans="1:15">
      <c r="A241" s="173"/>
      <c r="B241" s="174"/>
      <c r="C241" s="174"/>
      <c r="D241" s="174"/>
      <c r="E241" s="174"/>
      <c r="F241" s="141"/>
      <c r="G241" s="172"/>
      <c r="H241" s="172"/>
      <c r="I241" s="172"/>
      <c r="J241" s="172"/>
      <c r="K241" s="172"/>
      <c r="L241" s="172"/>
      <c r="M241" s="172"/>
      <c r="N241" s="170"/>
      <c r="O241" s="171"/>
    </row>
    <row r="242" spans="1:15">
      <c r="A242" s="173"/>
      <c r="B242" s="174"/>
      <c r="C242" s="174"/>
      <c r="D242" s="174"/>
      <c r="E242" s="174"/>
      <c r="F242" s="141"/>
      <c r="G242" s="172">
        <v>0</v>
      </c>
      <c r="H242" s="172">
        <v>0</v>
      </c>
      <c r="I242" s="172">
        <v>0</v>
      </c>
      <c r="J242" s="172">
        <v>0</v>
      </c>
      <c r="K242" s="172">
        <v>0</v>
      </c>
      <c r="L242" s="172">
        <v>0</v>
      </c>
      <c r="M242" s="172">
        <v>0</v>
      </c>
      <c r="N242" s="170">
        <f t="shared" ref="N242" si="78">AVERAGE(G242:M244)</f>
        <v>0</v>
      </c>
      <c r="O242" s="171"/>
    </row>
    <row r="243" spans="1:15">
      <c r="A243" s="173"/>
      <c r="B243" s="174"/>
      <c r="C243" s="174"/>
      <c r="D243" s="174"/>
      <c r="E243" s="174"/>
      <c r="F243" s="141"/>
      <c r="G243" s="172"/>
      <c r="H243" s="172"/>
      <c r="I243" s="172"/>
      <c r="J243" s="172"/>
      <c r="K243" s="172"/>
      <c r="L243" s="172"/>
      <c r="M243" s="172"/>
      <c r="N243" s="170"/>
      <c r="O243" s="171"/>
    </row>
    <row r="244" spans="1:15">
      <c r="A244" s="173"/>
      <c r="B244" s="174"/>
      <c r="C244" s="174"/>
      <c r="D244" s="174"/>
      <c r="E244" s="174"/>
      <c r="F244" s="141"/>
      <c r="G244" s="172"/>
      <c r="H244" s="172"/>
      <c r="I244" s="172"/>
      <c r="J244" s="172"/>
      <c r="K244" s="172"/>
      <c r="L244" s="172"/>
      <c r="M244" s="172"/>
      <c r="N244" s="170"/>
      <c r="O244" s="171"/>
    </row>
    <row r="245" spans="1:15">
      <c r="A245" s="173"/>
      <c r="B245" s="174"/>
      <c r="C245" s="174"/>
      <c r="D245" s="174"/>
      <c r="E245" s="174"/>
      <c r="F245" s="141"/>
      <c r="G245" s="172">
        <v>0</v>
      </c>
      <c r="H245" s="172">
        <v>0</v>
      </c>
      <c r="I245" s="172">
        <v>0</v>
      </c>
      <c r="J245" s="172">
        <v>0</v>
      </c>
      <c r="K245" s="172">
        <v>0</v>
      </c>
      <c r="L245" s="172">
        <v>0</v>
      </c>
      <c r="M245" s="172">
        <v>0</v>
      </c>
      <c r="N245" s="170">
        <f t="shared" ref="N245" si="79">AVERAGE(G245:M247)</f>
        <v>0</v>
      </c>
      <c r="O245" s="171"/>
    </row>
    <row r="246" spans="1:15">
      <c r="A246" s="173"/>
      <c r="B246" s="174"/>
      <c r="C246" s="174"/>
      <c r="D246" s="174"/>
      <c r="E246" s="174"/>
      <c r="F246" s="141"/>
      <c r="G246" s="172"/>
      <c r="H246" s="172"/>
      <c r="I246" s="172"/>
      <c r="J246" s="172"/>
      <c r="K246" s="172"/>
      <c r="L246" s="172"/>
      <c r="M246" s="172"/>
      <c r="N246" s="170"/>
      <c r="O246" s="171"/>
    </row>
    <row r="247" spans="1:15">
      <c r="A247" s="173"/>
      <c r="B247" s="174"/>
      <c r="C247" s="174"/>
      <c r="D247" s="174"/>
      <c r="E247" s="174"/>
      <c r="F247" s="141"/>
      <c r="G247" s="172"/>
      <c r="H247" s="172"/>
      <c r="I247" s="172"/>
      <c r="J247" s="172"/>
      <c r="K247" s="172"/>
      <c r="L247" s="172"/>
      <c r="M247" s="172"/>
      <c r="N247" s="170"/>
      <c r="O247" s="171"/>
    </row>
    <row r="248" spans="1:15">
      <c r="A248" s="173"/>
      <c r="B248" s="174"/>
      <c r="C248" s="174"/>
      <c r="D248" s="174"/>
      <c r="E248" s="174"/>
      <c r="F248" s="141"/>
      <c r="G248" s="172">
        <v>0</v>
      </c>
      <c r="H248" s="172">
        <v>0</v>
      </c>
      <c r="I248" s="172">
        <v>0</v>
      </c>
      <c r="J248" s="172">
        <v>0</v>
      </c>
      <c r="K248" s="172">
        <v>0</v>
      </c>
      <c r="L248" s="172">
        <v>0</v>
      </c>
      <c r="M248" s="172">
        <v>5</v>
      </c>
      <c r="N248" s="170">
        <f t="shared" ref="N248" si="80">AVERAGE(G248:M250)</f>
        <v>0.7142857142857143</v>
      </c>
      <c r="O248" s="171"/>
    </row>
    <row r="249" spans="1:15">
      <c r="A249" s="173"/>
      <c r="B249" s="174"/>
      <c r="C249" s="174"/>
      <c r="D249" s="174"/>
      <c r="E249" s="174"/>
      <c r="F249" s="141"/>
      <c r="G249" s="172"/>
      <c r="H249" s="172"/>
      <c r="I249" s="172"/>
      <c r="J249" s="172"/>
      <c r="K249" s="172"/>
      <c r="L249" s="172"/>
      <c r="M249" s="172"/>
      <c r="N249" s="170"/>
      <c r="O249" s="171"/>
    </row>
    <row r="250" spans="1:15">
      <c r="A250" s="173"/>
      <c r="B250" s="174"/>
      <c r="C250" s="174"/>
      <c r="D250" s="174"/>
      <c r="E250" s="174"/>
      <c r="F250" s="141"/>
      <c r="G250" s="172"/>
      <c r="H250" s="172"/>
      <c r="I250" s="172"/>
      <c r="J250" s="172"/>
      <c r="K250" s="172"/>
      <c r="L250" s="172"/>
      <c r="M250" s="172"/>
      <c r="N250" s="170"/>
      <c r="O250" s="171"/>
    </row>
  </sheetData>
  <autoFilter ref="A2:N250" xr:uid="{056EC301-52F8-4B26-BE2B-A63499BADF67}"/>
  <mergeCells count="1164">
    <mergeCell ref="J248:J250"/>
    <mergeCell ref="K248:K250"/>
    <mergeCell ref="L248:L250"/>
    <mergeCell ref="M248:M250"/>
    <mergeCell ref="N248:N250"/>
    <mergeCell ref="O248:O250"/>
    <mergeCell ref="N245:N247"/>
    <mergeCell ref="O245:O247"/>
    <mergeCell ref="A248:A250"/>
    <mergeCell ref="B248:B250"/>
    <mergeCell ref="C248:C250"/>
    <mergeCell ref="D248:D250"/>
    <mergeCell ref="E248:E250"/>
    <mergeCell ref="G248:G250"/>
    <mergeCell ref="H248:H250"/>
    <mergeCell ref="I248:I250"/>
    <mergeCell ref="H245:H247"/>
    <mergeCell ref="I245:I247"/>
    <mergeCell ref="J245:J247"/>
    <mergeCell ref="K245:K247"/>
    <mergeCell ref="L245:L247"/>
    <mergeCell ref="M245:M247"/>
    <mergeCell ref="A245:A247"/>
    <mergeCell ref="B245:B247"/>
    <mergeCell ref="C245:C247"/>
    <mergeCell ref="D245:D247"/>
    <mergeCell ref="E245:E247"/>
    <mergeCell ref="G245:G247"/>
    <mergeCell ref="J242:J244"/>
    <mergeCell ref="K242:K244"/>
    <mergeCell ref="L242:L244"/>
    <mergeCell ref="M242:M244"/>
    <mergeCell ref="N242:N244"/>
    <mergeCell ref="O242:O244"/>
    <mergeCell ref="N239:N241"/>
    <mergeCell ref="O239:O241"/>
    <mergeCell ref="A242:A244"/>
    <mergeCell ref="B242:B244"/>
    <mergeCell ref="C242:C244"/>
    <mergeCell ref="D242:D244"/>
    <mergeCell ref="E242:E244"/>
    <mergeCell ref="G242:G244"/>
    <mergeCell ref="H242:H244"/>
    <mergeCell ref="I242:I244"/>
    <mergeCell ref="H239:H241"/>
    <mergeCell ref="I239:I241"/>
    <mergeCell ref="J239:J241"/>
    <mergeCell ref="K239:K241"/>
    <mergeCell ref="L239:L241"/>
    <mergeCell ref="M239:M241"/>
    <mergeCell ref="A239:A241"/>
    <mergeCell ref="B239:B241"/>
    <mergeCell ref="C239:C241"/>
    <mergeCell ref="D239:D241"/>
    <mergeCell ref="E239:E241"/>
    <mergeCell ref="G239:G241"/>
    <mergeCell ref="J236:J238"/>
    <mergeCell ref="K236:K238"/>
    <mergeCell ref="L236:L238"/>
    <mergeCell ref="M236:M238"/>
    <mergeCell ref="N236:N238"/>
    <mergeCell ref="O236:O238"/>
    <mergeCell ref="N233:N235"/>
    <mergeCell ref="O233:O235"/>
    <mergeCell ref="A236:A238"/>
    <mergeCell ref="B236:B238"/>
    <mergeCell ref="C236:C238"/>
    <mergeCell ref="D236:D238"/>
    <mergeCell ref="E236:E238"/>
    <mergeCell ref="G236:G238"/>
    <mergeCell ref="H236:H238"/>
    <mergeCell ref="I236:I238"/>
    <mergeCell ref="H233:H235"/>
    <mergeCell ref="I233:I235"/>
    <mergeCell ref="J233:J235"/>
    <mergeCell ref="K233:K235"/>
    <mergeCell ref="L233:L235"/>
    <mergeCell ref="M233:M235"/>
    <mergeCell ref="A233:A235"/>
    <mergeCell ref="B233:B235"/>
    <mergeCell ref="C233:C235"/>
    <mergeCell ref="D233:D235"/>
    <mergeCell ref="E233:E235"/>
    <mergeCell ref="G233:G235"/>
    <mergeCell ref="J230:J232"/>
    <mergeCell ref="K230:K232"/>
    <mergeCell ref="L230:L232"/>
    <mergeCell ref="M230:M232"/>
    <mergeCell ref="N230:N232"/>
    <mergeCell ref="O230:O232"/>
    <mergeCell ref="N227:N229"/>
    <mergeCell ref="O227:O229"/>
    <mergeCell ref="A230:A232"/>
    <mergeCell ref="B230:B232"/>
    <mergeCell ref="C230:C232"/>
    <mergeCell ref="D230:D232"/>
    <mergeCell ref="E230:E232"/>
    <mergeCell ref="G230:G232"/>
    <mergeCell ref="H230:H232"/>
    <mergeCell ref="I230:I232"/>
    <mergeCell ref="H227:H229"/>
    <mergeCell ref="I227:I229"/>
    <mergeCell ref="J227:J229"/>
    <mergeCell ref="K227:K229"/>
    <mergeCell ref="L227:L229"/>
    <mergeCell ref="M227:M229"/>
    <mergeCell ref="A227:A229"/>
    <mergeCell ref="B227:B229"/>
    <mergeCell ref="C227:C229"/>
    <mergeCell ref="D227:D229"/>
    <mergeCell ref="E227:E229"/>
    <mergeCell ref="G227:G229"/>
    <mergeCell ref="J224:J226"/>
    <mergeCell ref="K224:K226"/>
    <mergeCell ref="L224:L226"/>
    <mergeCell ref="M224:M226"/>
    <mergeCell ref="N224:N226"/>
    <mergeCell ref="O224:O226"/>
    <mergeCell ref="N221:N223"/>
    <mergeCell ref="O221:O223"/>
    <mergeCell ref="A224:A226"/>
    <mergeCell ref="B224:B226"/>
    <mergeCell ref="C224:C226"/>
    <mergeCell ref="D224:D226"/>
    <mergeCell ref="E224:E226"/>
    <mergeCell ref="G224:G226"/>
    <mergeCell ref="H224:H226"/>
    <mergeCell ref="I224:I226"/>
    <mergeCell ref="H221:H223"/>
    <mergeCell ref="I221:I223"/>
    <mergeCell ref="J221:J223"/>
    <mergeCell ref="K221:K223"/>
    <mergeCell ref="L221:L223"/>
    <mergeCell ref="M221:M223"/>
    <mergeCell ref="A221:A223"/>
    <mergeCell ref="B221:B223"/>
    <mergeCell ref="C221:C223"/>
    <mergeCell ref="D221:D223"/>
    <mergeCell ref="E221:E223"/>
    <mergeCell ref="G221:G223"/>
    <mergeCell ref="J218:J220"/>
    <mergeCell ref="K218:K220"/>
    <mergeCell ref="L218:L220"/>
    <mergeCell ref="M218:M220"/>
    <mergeCell ref="N218:N220"/>
    <mergeCell ref="O218:O220"/>
    <mergeCell ref="N215:N217"/>
    <mergeCell ref="O215:O217"/>
    <mergeCell ref="A218:A220"/>
    <mergeCell ref="B218:B220"/>
    <mergeCell ref="C218:C220"/>
    <mergeCell ref="D218:D220"/>
    <mergeCell ref="E218:E220"/>
    <mergeCell ref="G218:G220"/>
    <mergeCell ref="H218:H220"/>
    <mergeCell ref="I218:I220"/>
    <mergeCell ref="H215:H217"/>
    <mergeCell ref="I215:I217"/>
    <mergeCell ref="J215:J217"/>
    <mergeCell ref="K215:K217"/>
    <mergeCell ref="L215:L217"/>
    <mergeCell ref="M215:M217"/>
    <mergeCell ref="A215:A217"/>
    <mergeCell ref="B215:B217"/>
    <mergeCell ref="C215:C217"/>
    <mergeCell ref="D215:D217"/>
    <mergeCell ref="E215:E217"/>
    <mergeCell ref="G215:G217"/>
    <mergeCell ref="J212:J214"/>
    <mergeCell ref="K212:K214"/>
    <mergeCell ref="L212:L214"/>
    <mergeCell ref="M212:M214"/>
    <mergeCell ref="N212:N214"/>
    <mergeCell ref="O212:O214"/>
    <mergeCell ref="N209:N211"/>
    <mergeCell ref="O209:O211"/>
    <mergeCell ref="A212:A214"/>
    <mergeCell ref="B212:B214"/>
    <mergeCell ref="C212:C214"/>
    <mergeCell ref="D212:D214"/>
    <mergeCell ref="E212:E214"/>
    <mergeCell ref="G212:G214"/>
    <mergeCell ref="H212:H214"/>
    <mergeCell ref="I212:I214"/>
    <mergeCell ref="H209:H211"/>
    <mergeCell ref="I209:I211"/>
    <mergeCell ref="J209:J211"/>
    <mergeCell ref="K209:K211"/>
    <mergeCell ref="L209:L211"/>
    <mergeCell ref="M209:M211"/>
    <mergeCell ref="A209:A211"/>
    <mergeCell ref="B209:B211"/>
    <mergeCell ref="C209:C211"/>
    <mergeCell ref="D209:D211"/>
    <mergeCell ref="E209:E211"/>
    <mergeCell ref="G209:G211"/>
    <mergeCell ref="J206:J208"/>
    <mergeCell ref="K206:K208"/>
    <mergeCell ref="L206:L208"/>
    <mergeCell ref="M206:M208"/>
    <mergeCell ref="N206:N208"/>
    <mergeCell ref="O206:O208"/>
    <mergeCell ref="N203:N205"/>
    <mergeCell ref="O203:O205"/>
    <mergeCell ref="A206:A208"/>
    <mergeCell ref="B206:B208"/>
    <mergeCell ref="C206:C208"/>
    <mergeCell ref="D206:D208"/>
    <mergeCell ref="E206:E208"/>
    <mergeCell ref="G206:G208"/>
    <mergeCell ref="H206:H208"/>
    <mergeCell ref="I206:I208"/>
    <mergeCell ref="H203:H205"/>
    <mergeCell ref="I203:I205"/>
    <mergeCell ref="J203:J205"/>
    <mergeCell ref="K203:K205"/>
    <mergeCell ref="L203:L205"/>
    <mergeCell ref="M203:M205"/>
    <mergeCell ref="A203:A205"/>
    <mergeCell ref="B203:B205"/>
    <mergeCell ref="C203:C205"/>
    <mergeCell ref="D203:D205"/>
    <mergeCell ref="E203:E205"/>
    <mergeCell ref="G203:G205"/>
    <mergeCell ref="J200:J202"/>
    <mergeCell ref="K200:K202"/>
    <mergeCell ref="L200:L202"/>
    <mergeCell ref="M200:M202"/>
    <mergeCell ref="N200:N202"/>
    <mergeCell ref="O200:O202"/>
    <mergeCell ref="N197:N199"/>
    <mergeCell ref="O197:O199"/>
    <mergeCell ref="A200:A202"/>
    <mergeCell ref="B200:B202"/>
    <mergeCell ref="C200:C202"/>
    <mergeCell ref="D200:D202"/>
    <mergeCell ref="E200:E202"/>
    <mergeCell ref="G200:G202"/>
    <mergeCell ref="H200:H202"/>
    <mergeCell ref="I200:I202"/>
    <mergeCell ref="H197:H199"/>
    <mergeCell ref="I197:I199"/>
    <mergeCell ref="J197:J199"/>
    <mergeCell ref="K197:K199"/>
    <mergeCell ref="L197:L199"/>
    <mergeCell ref="M197:M199"/>
    <mergeCell ref="A197:A199"/>
    <mergeCell ref="B197:B199"/>
    <mergeCell ref="C197:C199"/>
    <mergeCell ref="D197:D199"/>
    <mergeCell ref="E197:E199"/>
    <mergeCell ref="G197:G199"/>
    <mergeCell ref="J194:J196"/>
    <mergeCell ref="K194:K196"/>
    <mergeCell ref="L194:L196"/>
    <mergeCell ref="M194:M196"/>
    <mergeCell ref="N194:N196"/>
    <mergeCell ref="O194:O196"/>
    <mergeCell ref="N191:N193"/>
    <mergeCell ref="O191:O193"/>
    <mergeCell ref="A194:A196"/>
    <mergeCell ref="B194:B196"/>
    <mergeCell ref="C194:C196"/>
    <mergeCell ref="D194:D196"/>
    <mergeCell ref="E194:E196"/>
    <mergeCell ref="G194:G196"/>
    <mergeCell ref="H194:H196"/>
    <mergeCell ref="I194:I196"/>
    <mergeCell ref="H191:H193"/>
    <mergeCell ref="I191:I193"/>
    <mergeCell ref="J191:J193"/>
    <mergeCell ref="K191:K193"/>
    <mergeCell ref="L191:L193"/>
    <mergeCell ref="M191:M193"/>
    <mergeCell ref="A191:A193"/>
    <mergeCell ref="B191:B193"/>
    <mergeCell ref="C191:C193"/>
    <mergeCell ref="D191:D193"/>
    <mergeCell ref="E191:E193"/>
    <mergeCell ref="G191:G193"/>
    <mergeCell ref="J188:J190"/>
    <mergeCell ref="K188:K190"/>
    <mergeCell ref="L188:L190"/>
    <mergeCell ref="M188:M190"/>
    <mergeCell ref="N188:N190"/>
    <mergeCell ref="O188:O190"/>
    <mergeCell ref="N185:N187"/>
    <mergeCell ref="O185:O187"/>
    <mergeCell ref="A188:A190"/>
    <mergeCell ref="B188:B190"/>
    <mergeCell ref="C188:C190"/>
    <mergeCell ref="D188:D190"/>
    <mergeCell ref="E188:E190"/>
    <mergeCell ref="G188:G190"/>
    <mergeCell ref="H188:H190"/>
    <mergeCell ref="I188:I190"/>
    <mergeCell ref="H185:H187"/>
    <mergeCell ref="I185:I187"/>
    <mergeCell ref="J185:J187"/>
    <mergeCell ref="K185:K187"/>
    <mergeCell ref="L185:L187"/>
    <mergeCell ref="M185:M187"/>
    <mergeCell ref="A185:A187"/>
    <mergeCell ref="B185:B187"/>
    <mergeCell ref="C185:C187"/>
    <mergeCell ref="D185:D187"/>
    <mergeCell ref="E185:E187"/>
    <mergeCell ref="G185:G187"/>
    <mergeCell ref="J182:J184"/>
    <mergeCell ref="K182:K184"/>
    <mergeCell ref="L182:L184"/>
    <mergeCell ref="M182:M184"/>
    <mergeCell ref="N182:N184"/>
    <mergeCell ref="O182:O184"/>
    <mergeCell ref="N179:N181"/>
    <mergeCell ref="O179:O181"/>
    <mergeCell ref="A182:A184"/>
    <mergeCell ref="B182:B184"/>
    <mergeCell ref="C182:C184"/>
    <mergeCell ref="D182:D184"/>
    <mergeCell ref="E182:E184"/>
    <mergeCell ref="G182:G184"/>
    <mergeCell ref="H182:H184"/>
    <mergeCell ref="I182:I184"/>
    <mergeCell ref="H179:H181"/>
    <mergeCell ref="I179:I181"/>
    <mergeCell ref="J179:J181"/>
    <mergeCell ref="K179:K181"/>
    <mergeCell ref="L179:L181"/>
    <mergeCell ref="M179:M181"/>
    <mergeCell ref="A179:A181"/>
    <mergeCell ref="B179:B181"/>
    <mergeCell ref="C179:C181"/>
    <mergeCell ref="D179:D181"/>
    <mergeCell ref="E179:E181"/>
    <mergeCell ref="G179:G181"/>
    <mergeCell ref="J176:J178"/>
    <mergeCell ref="K176:K178"/>
    <mergeCell ref="L176:L178"/>
    <mergeCell ref="M176:M178"/>
    <mergeCell ref="N176:N178"/>
    <mergeCell ref="O176:O178"/>
    <mergeCell ref="N173:N175"/>
    <mergeCell ref="O173:O175"/>
    <mergeCell ref="A176:A178"/>
    <mergeCell ref="B176:B178"/>
    <mergeCell ref="C176:C178"/>
    <mergeCell ref="D176:D178"/>
    <mergeCell ref="E176:E178"/>
    <mergeCell ref="G176:G178"/>
    <mergeCell ref="H176:H178"/>
    <mergeCell ref="I176:I178"/>
    <mergeCell ref="H173:H175"/>
    <mergeCell ref="I173:I175"/>
    <mergeCell ref="J173:J175"/>
    <mergeCell ref="K173:K175"/>
    <mergeCell ref="L173:L175"/>
    <mergeCell ref="M173:M175"/>
    <mergeCell ref="A173:A175"/>
    <mergeCell ref="B173:B175"/>
    <mergeCell ref="C173:C175"/>
    <mergeCell ref="D173:D175"/>
    <mergeCell ref="E173:E175"/>
    <mergeCell ref="G173:G175"/>
    <mergeCell ref="J170:J172"/>
    <mergeCell ref="K170:K172"/>
    <mergeCell ref="L170:L172"/>
    <mergeCell ref="M170:M172"/>
    <mergeCell ref="N170:N172"/>
    <mergeCell ref="O170:O172"/>
    <mergeCell ref="N167:N169"/>
    <mergeCell ref="O167:O169"/>
    <mergeCell ref="A170:A172"/>
    <mergeCell ref="B170:B172"/>
    <mergeCell ref="C170:C172"/>
    <mergeCell ref="D170:D172"/>
    <mergeCell ref="E170:E172"/>
    <mergeCell ref="G170:G172"/>
    <mergeCell ref="H170:H172"/>
    <mergeCell ref="I170:I172"/>
    <mergeCell ref="H167:H169"/>
    <mergeCell ref="I167:I169"/>
    <mergeCell ref="J167:J169"/>
    <mergeCell ref="K167:K169"/>
    <mergeCell ref="L167:L169"/>
    <mergeCell ref="M167:M169"/>
    <mergeCell ref="A167:A169"/>
    <mergeCell ref="B167:B169"/>
    <mergeCell ref="C167:C169"/>
    <mergeCell ref="D167:D169"/>
    <mergeCell ref="E167:E169"/>
    <mergeCell ref="G167:G169"/>
    <mergeCell ref="J164:J166"/>
    <mergeCell ref="K164:K166"/>
    <mergeCell ref="L164:L166"/>
    <mergeCell ref="M164:M166"/>
    <mergeCell ref="N164:N166"/>
    <mergeCell ref="O164:O166"/>
    <mergeCell ref="N161:N163"/>
    <mergeCell ref="O161:O163"/>
    <mergeCell ref="A164:A166"/>
    <mergeCell ref="B164:B166"/>
    <mergeCell ref="C164:C166"/>
    <mergeCell ref="D164:D166"/>
    <mergeCell ref="E164:E166"/>
    <mergeCell ref="G164:G166"/>
    <mergeCell ref="H164:H166"/>
    <mergeCell ref="I164:I166"/>
    <mergeCell ref="H161:H163"/>
    <mergeCell ref="I161:I163"/>
    <mergeCell ref="J161:J163"/>
    <mergeCell ref="K161:K163"/>
    <mergeCell ref="L161:L163"/>
    <mergeCell ref="M161:M163"/>
    <mergeCell ref="A161:A163"/>
    <mergeCell ref="B161:B163"/>
    <mergeCell ref="C161:C163"/>
    <mergeCell ref="D161:D163"/>
    <mergeCell ref="E161:E163"/>
    <mergeCell ref="G161:G163"/>
    <mergeCell ref="J158:J160"/>
    <mergeCell ref="K158:K160"/>
    <mergeCell ref="L158:L160"/>
    <mergeCell ref="M158:M160"/>
    <mergeCell ref="N158:N160"/>
    <mergeCell ref="O158:O160"/>
    <mergeCell ref="N155:N157"/>
    <mergeCell ref="O155:O157"/>
    <mergeCell ref="A158:A160"/>
    <mergeCell ref="B158:B160"/>
    <mergeCell ref="C158:C160"/>
    <mergeCell ref="D158:D160"/>
    <mergeCell ref="E158:E160"/>
    <mergeCell ref="G158:G160"/>
    <mergeCell ref="H158:H160"/>
    <mergeCell ref="I158:I160"/>
    <mergeCell ref="H155:H157"/>
    <mergeCell ref="I155:I157"/>
    <mergeCell ref="J155:J157"/>
    <mergeCell ref="K155:K157"/>
    <mergeCell ref="L155:L157"/>
    <mergeCell ref="M155:M157"/>
    <mergeCell ref="A155:A157"/>
    <mergeCell ref="B155:B157"/>
    <mergeCell ref="C155:C157"/>
    <mergeCell ref="D155:D157"/>
    <mergeCell ref="E155:E157"/>
    <mergeCell ref="G155:G157"/>
    <mergeCell ref="J152:J154"/>
    <mergeCell ref="K152:K154"/>
    <mergeCell ref="L152:L154"/>
    <mergeCell ref="M152:M154"/>
    <mergeCell ref="N152:N154"/>
    <mergeCell ref="O152:O154"/>
    <mergeCell ref="N149:N151"/>
    <mergeCell ref="O149:O151"/>
    <mergeCell ref="A152:A154"/>
    <mergeCell ref="B152:B154"/>
    <mergeCell ref="C152:C154"/>
    <mergeCell ref="D152:D154"/>
    <mergeCell ref="E152:E154"/>
    <mergeCell ref="G152:G154"/>
    <mergeCell ref="H152:H154"/>
    <mergeCell ref="I152:I154"/>
    <mergeCell ref="H149:H151"/>
    <mergeCell ref="I149:I151"/>
    <mergeCell ref="J149:J151"/>
    <mergeCell ref="K149:K151"/>
    <mergeCell ref="L149:L151"/>
    <mergeCell ref="M149:M151"/>
    <mergeCell ref="A149:A151"/>
    <mergeCell ref="B149:B151"/>
    <mergeCell ref="C149:C151"/>
    <mergeCell ref="D149:D151"/>
    <mergeCell ref="E149:E151"/>
    <mergeCell ref="G149:G151"/>
    <mergeCell ref="J146:J148"/>
    <mergeCell ref="K146:K148"/>
    <mergeCell ref="L146:L148"/>
    <mergeCell ref="M146:M148"/>
    <mergeCell ref="N146:N148"/>
    <mergeCell ref="O146:O148"/>
    <mergeCell ref="N143:N145"/>
    <mergeCell ref="O143:O145"/>
    <mergeCell ref="A146:A148"/>
    <mergeCell ref="B146:B148"/>
    <mergeCell ref="C146:C148"/>
    <mergeCell ref="D146:D148"/>
    <mergeCell ref="E146:E148"/>
    <mergeCell ref="G146:G148"/>
    <mergeCell ref="H146:H148"/>
    <mergeCell ref="I146:I148"/>
    <mergeCell ref="H143:H145"/>
    <mergeCell ref="I143:I145"/>
    <mergeCell ref="J143:J145"/>
    <mergeCell ref="K143:K145"/>
    <mergeCell ref="L143:L145"/>
    <mergeCell ref="M143:M145"/>
    <mergeCell ref="A143:A145"/>
    <mergeCell ref="B143:B145"/>
    <mergeCell ref="C143:C145"/>
    <mergeCell ref="D143:D145"/>
    <mergeCell ref="E143:E145"/>
    <mergeCell ref="G143:G145"/>
    <mergeCell ref="J140:J142"/>
    <mergeCell ref="K140:K142"/>
    <mergeCell ref="L140:L142"/>
    <mergeCell ref="M140:M142"/>
    <mergeCell ref="N140:N142"/>
    <mergeCell ref="O140:O142"/>
    <mergeCell ref="N137:N139"/>
    <mergeCell ref="O137:O139"/>
    <mergeCell ref="A140:A142"/>
    <mergeCell ref="B140:B142"/>
    <mergeCell ref="C140:C142"/>
    <mergeCell ref="D140:D142"/>
    <mergeCell ref="E140:E142"/>
    <mergeCell ref="G140:G142"/>
    <mergeCell ref="H140:H142"/>
    <mergeCell ref="I140:I142"/>
    <mergeCell ref="H137:H139"/>
    <mergeCell ref="I137:I139"/>
    <mergeCell ref="J137:J139"/>
    <mergeCell ref="K137:K139"/>
    <mergeCell ref="L137:L139"/>
    <mergeCell ref="M137:M139"/>
    <mergeCell ref="A137:A139"/>
    <mergeCell ref="B137:B139"/>
    <mergeCell ref="C137:C139"/>
    <mergeCell ref="D137:D139"/>
    <mergeCell ref="E137:E139"/>
    <mergeCell ref="G137:G139"/>
    <mergeCell ref="J134:J136"/>
    <mergeCell ref="K134:K136"/>
    <mergeCell ref="L134:L136"/>
    <mergeCell ref="M134:M136"/>
    <mergeCell ref="N134:N136"/>
    <mergeCell ref="O134:O136"/>
    <mergeCell ref="N131:N133"/>
    <mergeCell ref="O131:O133"/>
    <mergeCell ref="A134:A136"/>
    <mergeCell ref="B134:B136"/>
    <mergeCell ref="C134:C136"/>
    <mergeCell ref="D134:D136"/>
    <mergeCell ref="E134:E136"/>
    <mergeCell ref="G134:G136"/>
    <mergeCell ref="H134:H136"/>
    <mergeCell ref="I134:I136"/>
    <mergeCell ref="H131:H133"/>
    <mergeCell ref="I131:I133"/>
    <mergeCell ref="J131:J133"/>
    <mergeCell ref="K131:K133"/>
    <mergeCell ref="L131:L133"/>
    <mergeCell ref="M131:M133"/>
    <mergeCell ref="A131:A133"/>
    <mergeCell ref="B131:B133"/>
    <mergeCell ref="C131:C133"/>
    <mergeCell ref="D131:D133"/>
    <mergeCell ref="E131:E133"/>
    <mergeCell ref="G131:G133"/>
    <mergeCell ref="J128:J130"/>
    <mergeCell ref="K128:K130"/>
    <mergeCell ref="L128:L130"/>
    <mergeCell ref="M128:M130"/>
    <mergeCell ref="N128:N130"/>
    <mergeCell ref="O128:O130"/>
    <mergeCell ref="N125:N127"/>
    <mergeCell ref="O125:O127"/>
    <mergeCell ref="A128:A130"/>
    <mergeCell ref="B128:B130"/>
    <mergeCell ref="C128:C130"/>
    <mergeCell ref="D128:D130"/>
    <mergeCell ref="E128:E130"/>
    <mergeCell ref="G128:G130"/>
    <mergeCell ref="H128:H130"/>
    <mergeCell ref="I128:I130"/>
    <mergeCell ref="H125:H127"/>
    <mergeCell ref="I125:I127"/>
    <mergeCell ref="J125:J127"/>
    <mergeCell ref="K125:K127"/>
    <mergeCell ref="L125:L127"/>
    <mergeCell ref="M125:M127"/>
    <mergeCell ref="A125:A127"/>
    <mergeCell ref="B125:B127"/>
    <mergeCell ref="C125:C127"/>
    <mergeCell ref="D125:D127"/>
    <mergeCell ref="E125:E127"/>
    <mergeCell ref="G125:G127"/>
    <mergeCell ref="J122:J124"/>
    <mergeCell ref="K122:K124"/>
    <mergeCell ref="L122:L124"/>
    <mergeCell ref="M122:M124"/>
    <mergeCell ref="N122:N124"/>
    <mergeCell ref="O122:O124"/>
    <mergeCell ref="N119:N121"/>
    <mergeCell ref="O119:O121"/>
    <mergeCell ref="A122:A124"/>
    <mergeCell ref="B122:B124"/>
    <mergeCell ref="C122:C124"/>
    <mergeCell ref="D122:D124"/>
    <mergeCell ref="E122:E124"/>
    <mergeCell ref="G122:G124"/>
    <mergeCell ref="H122:H124"/>
    <mergeCell ref="I122:I124"/>
    <mergeCell ref="H119:H121"/>
    <mergeCell ref="I119:I121"/>
    <mergeCell ref="J119:J121"/>
    <mergeCell ref="K119:K121"/>
    <mergeCell ref="L119:L121"/>
    <mergeCell ref="M119:M121"/>
    <mergeCell ref="A119:A121"/>
    <mergeCell ref="B119:B121"/>
    <mergeCell ref="C119:C121"/>
    <mergeCell ref="D119:D121"/>
    <mergeCell ref="E119:E121"/>
    <mergeCell ref="G119:G121"/>
    <mergeCell ref="J116:J118"/>
    <mergeCell ref="K116:K118"/>
    <mergeCell ref="L116:L118"/>
    <mergeCell ref="M116:M118"/>
    <mergeCell ref="N116:N118"/>
    <mergeCell ref="O116:O118"/>
    <mergeCell ref="N113:N115"/>
    <mergeCell ref="O113:O115"/>
    <mergeCell ref="A116:A118"/>
    <mergeCell ref="B116:B118"/>
    <mergeCell ref="C116:C118"/>
    <mergeCell ref="D116:D118"/>
    <mergeCell ref="E116:E118"/>
    <mergeCell ref="G116:G118"/>
    <mergeCell ref="H116:H118"/>
    <mergeCell ref="I116:I118"/>
    <mergeCell ref="H113:H115"/>
    <mergeCell ref="I113:I115"/>
    <mergeCell ref="J113:J115"/>
    <mergeCell ref="K113:K115"/>
    <mergeCell ref="L113:L115"/>
    <mergeCell ref="M113:M115"/>
    <mergeCell ref="A113:A115"/>
    <mergeCell ref="B113:B115"/>
    <mergeCell ref="C113:C115"/>
    <mergeCell ref="D113:D115"/>
    <mergeCell ref="E113:E115"/>
    <mergeCell ref="G113:G115"/>
    <mergeCell ref="J110:J112"/>
    <mergeCell ref="K110:K112"/>
    <mergeCell ref="L110:L112"/>
    <mergeCell ref="M110:M112"/>
    <mergeCell ref="N110:N112"/>
    <mergeCell ref="O110:O112"/>
    <mergeCell ref="N107:N109"/>
    <mergeCell ref="O107:O109"/>
    <mergeCell ref="A110:A112"/>
    <mergeCell ref="B110:B112"/>
    <mergeCell ref="C110:C112"/>
    <mergeCell ref="D110:D112"/>
    <mergeCell ref="E110:E112"/>
    <mergeCell ref="G110:G112"/>
    <mergeCell ref="H110:H112"/>
    <mergeCell ref="I110:I112"/>
    <mergeCell ref="H107:H109"/>
    <mergeCell ref="I107:I109"/>
    <mergeCell ref="J107:J109"/>
    <mergeCell ref="K107:K109"/>
    <mergeCell ref="L107:L109"/>
    <mergeCell ref="M107:M109"/>
    <mergeCell ref="A107:A109"/>
    <mergeCell ref="B107:B109"/>
    <mergeCell ref="C107:C109"/>
    <mergeCell ref="D107:D109"/>
    <mergeCell ref="E107:E109"/>
    <mergeCell ref="G107:G109"/>
    <mergeCell ref="J104:J106"/>
    <mergeCell ref="K104:K106"/>
    <mergeCell ref="L104:L106"/>
    <mergeCell ref="M104:M106"/>
    <mergeCell ref="N104:N106"/>
    <mergeCell ref="O104:O106"/>
    <mergeCell ref="N101:N103"/>
    <mergeCell ref="O101:O103"/>
    <mergeCell ref="A104:A106"/>
    <mergeCell ref="B104:B106"/>
    <mergeCell ref="C104:C106"/>
    <mergeCell ref="D104:D106"/>
    <mergeCell ref="E104:E106"/>
    <mergeCell ref="G104:G106"/>
    <mergeCell ref="H104:H106"/>
    <mergeCell ref="I104:I106"/>
    <mergeCell ref="H101:H103"/>
    <mergeCell ref="I101:I103"/>
    <mergeCell ref="J101:J103"/>
    <mergeCell ref="K101:K103"/>
    <mergeCell ref="L101:L103"/>
    <mergeCell ref="M101:M103"/>
    <mergeCell ref="A101:A103"/>
    <mergeCell ref="B101:B103"/>
    <mergeCell ref="C101:C103"/>
    <mergeCell ref="D101:D103"/>
    <mergeCell ref="E101:E103"/>
    <mergeCell ref="G101:G103"/>
    <mergeCell ref="J98:J100"/>
    <mergeCell ref="K98:K100"/>
    <mergeCell ref="L98:L100"/>
    <mergeCell ref="M98:M100"/>
    <mergeCell ref="N98:N100"/>
    <mergeCell ref="O98:O100"/>
    <mergeCell ref="N95:N97"/>
    <mergeCell ref="O95:O97"/>
    <mergeCell ref="A98:A100"/>
    <mergeCell ref="B98:B100"/>
    <mergeCell ref="C98:C100"/>
    <mergeCell ref="D98:D100"/>
    <mergeCell ref="E98:E100"/>
    <mergeCell ref="G98:G100"/>
    <mergeCell ref="H98:H100"/>
    <mergeCell ref="I98:I100"/>
    <mergeCell ref="H95:H97"/>
    <mergeCell ref="I95:I97"/>
    <mergeCell ref="J95:J97"/>
    <mergeCell ref="K95:K97"/>
    <mergeCell ref="L95:L97"/>
    <mergeCell ref="M95:M97"/>
    <mergeCell ref="A95:A97"/>
    <mergeCell ref="B95:B97"/>
    <mergeCell ref="C95:C97"/>
    <mergeCell ref="D95:D97"/>
    <mergeCell ref="E95:E97"/>
    <mergeCell ref="G95:G97"/>
    <mergeCell ref="J92:J94"/>
    <mergeCell ref="K92:K94"/>
    <mergeCell ref="L92:L94"/>
    <mergeCell ref="M92:M94"/>
    <mergeCell ref="N92:N94"/>
    <mergeCell ref="O92:O94"/>
    <mergeCell ref="N89:N91"/>
    <mergeCell ref="O89:O91"/>
    <mergeCell ref="A92:A94"/>
    <mergeCell ref="B92:B94"/>
    <mergeCell ref="C92:C94"/>
    <mergeCell ref="D92:D94"/>
    <mergeCell ref="E92:E94"/>
    <mergeCell ref="G92:G94"/>
    <mergeCell ref="H92:H94"/>
    <mergeCell ref="I92:I94"/>
    <mergeCell ref="H89:H91"/>
    <mergeCell ref="I89:I91"/>
    <mergeCell ref="J89:J91"/>
    <mergeCell ref="K89:K91"/>
    <mergeCell ref="L89:L91"/>
    <mergeCell ref="M89:M91"/>
    <mergeCell ref="A89:A91"/>
    <mergeCell ref="B89:B91"/>
    <mergeCell ref="C89:C91"/>
    <mergeCell ref="D89:D91"/>
    <mergeCell ref="E89:E91"/>
    <mergeCell ref="G89:G91"/>
    <mergeCell ref="J86:J88"/>
    <mergeCell ref="K86:K88"/>
    <mergeCell ref="L86:L88"/>
    <mergeCell ref="M86:M88"/>
    <mergeCell ref="N86:N88"/>
    <mergeCell ref="O86:O88"/>
    <mergeCell ref="N83:N85"/>
    <mergeCell ref="O83:O85"/>
    <mergeCell ref="A86:A88"/>
    <mergeCell ref="B86:B88"/>
    <mergeCell ref="C86:C88"/>
    <mergeCell ref="D86:D88"/>
    <mergeCell ref="E86:E88"/>
    <mergeCell ref="G86:G88"/>
    <mergeCell ref="H86:H88"/>
    <mergeCell ref="I86:I88"/>
    <mergeCell ref="H83:H85"/>
    <mergeCell ref="I83:I85"/>
    <mergeCell ref="J83:J85"/>
    <mergeCell ref="K83:K85"/>
    <mergeCell ref="L83:L85"/>
    <mergeCell ref="M83:M85"/>
    <mergeCell ref="A83:A85"/>
    <mergeCell ref="B83:B85"/>
    <mergeCell ref="C83:C85"/>
    <mergeCell ref="D83:D85"/>
    <mergeCell ref="E83:E85"/>
    <mergeCell ref="G83:G85"/>
    <mergeCell ref="J80:J82"/>
    <mergeCell ref="K80:K82"/>
    <mergeCell ref="L80:L82"/>
    <mergeCell ref="M80:M82"/>
    <mergeCell ref="N80:N82"/>
    <mergeCell ref="O80:O82"/>
    <mergeCell ref="N77:N79"/>
    <mergeCell ref="O77:O79"/>
    <mergeCell ref="A80:A82"/>
    <mergeCell ref="B80:B82"/>
    <mergeCell ref="C80:C82"/>
    <mergeCell ref="D80:D82"/>
    <mergeCell ref="E80:E82"/>
    <mergeCell ref="G80:G82"/>
    <mergeCell ref="H80:H82"/>
    <mergeCell ref="I80:I82"/>
    <mergeCell ref="H77:H79"/>
    <mergeCell ref="I77:I79"/>
    <mergeCell ref="J77:J79"/>
    <mergeCell ref="K77:K79"/>
    <mergeCell ref="L77:L79"/>
    <mergeCell ref="M77:M79"/>
    <mergeCell ref="A77:A79"/>
    <mergeCell ref="B77:B79"/>
    <mergeCell ref="C77:C79"/>
    <mergeCell ref="D77:D79"/>
    <mergeCell ref="E77:E79"/>
    <mergeCell ref="G77:G79"/>
    <mergeCell ref="J74:J76"/>
    <mergeCell ref="K74:K76"/>
    <mergeCell ref="L74:L76"/>
    <mergeCell ref="M74:M76"/>
    <mergeCell ref="N74:N76"/>
    <mergeCell ref="O74:O76"/>
    <mergeCell ref="N71:N73"/>
    <mergeCell ref="O71:O73"/>
    <mergeCell ref="A74:A76"/>
    <mergeCell ref="B74:B76"/>
    <mergeCell ref="C74:C76"/>
    <mergeCell ref="D74:D76"/>
    <mergeCell ref="E74:E76"/>
    <mergeCell ref="G74:G76"/>
    <mergeCell ref="H74:H76"/>
    <mergeCell ref="I74:I76"/>
    <mergeCell ref="H71:H73"/>
    <mergeCell ref="I71:I73"/>
    <mergeCell ref="J71:J73"/>
    <mergeCell ref="K71:K73"/>
    <mergeCell ref="L71:L73"/>
    <mergeCell ref="M71:M73"/>
    <mergeCell ref="A71:A73"/>
    <mergeCell ref="B71:B73"/>
    <mergeCell ref="C71:C73"/>
    <mergeCell ref="D71:D73"/>
    <mergeCell ref="E71:E73"/>
    <mergeCell ref="G71:G73"/>
    <mergeCell ref="J68:J70"/>
    <mergeCell ref="K68:K70"/>
    <mergeCell ref="L68:L70"/>
    <mergeCell ref="M68:M70"/>
    <mergeCell ref="N68:N70"/>
    <mergeCell ref="O68:O70"/>
    <mergeCell ref="N65:N67"/>
    <mergeCell ref="O65:O67"/>
    <mergeCell ref="A68:A70"/>
    <mergeCell ref="B68:B70"/>
    <mergeCell ref="C68:C70"/>
    <mergeCell ref="D68:D70"/>
    <mergeCell ref="E68:E70"/>
    <mergeCell ref="G68:G70"/>
    <mergeCell ref="H68:H70"/>
    <mergeCell ref="I68:I70"/>
    <mergeCell ref="H65:H67"/>
    <mergeCell ref="I65:I67"/>
    <mergeCell ref="J65:J67"/>
    <mergeCell ref="K65:K67"/>
    <mergeCell ref="L65:L67"/>
    <mergeCell ref="M65:M67"/>
    <mergeCell ref="A65:A67"/>
    <mergeCell ref="B65:B67"/>
    <mergeCell ref="C65:C67"/>
    <mergeCell ref="D65:D67"/>
    <mergeCell ref="E65:E67"/>
    <mergeCell ref="G65:G67"/>
    <mergeCell ref="J62:J64"/>
    <mergeCell ref="K62:K64"/>
    <mergeCell ref="L62:L64"/>
    <mergeCell ref="M62:M64"/>
    <mergeCell ref="N62:N64"/>
    <mergeCell ref="O62:O64"/>
    <mergeCell ref="N59:N61"/>
    <mergeCell ref="O59:O61"/>
    <mergeCell ref="A62:A64"/>
    <mergeCell ref="B62:B64"/>
    <mergeCell ref="C62:C64"/>
    <mergeCell ref="D62:D64"/>
    <mergeCell ref="E62:E64"/>
    <mergeCell ref="G62:G64"/>
    <mergeCell ref="H62:H64"/>
    <mergeCell ref="I62:I64"/>
    <mergeCell ref="H59:H61"/>
    <mergeCell ref="I59:I61"/>
    <mergeCell ref="J59:J61"/>
    <mergeCell ref="K59:K61"/>
    <mergeCell ref="L59:L61"/>
    <mergeCell ref="M59:M61"/>
    <mergeCell ref="A59:A61"/>
    <mergeCell ref="B59:B61"/>
    <mergeCell ref="C59:C61"/>
    <mergeCell ref="D59:D61"/>
    <mergeCell ref="E59:E61"/>
    <mergeCell ref="G59:G61"/>
    <mergeCell ref="J56:J58"/>
    <mergeCell ref="K56:K58"/>
    <mergeCell ref="L56:L58"/>
    <mergeCell ref="M56:M58"/>
    <mergeCell ref="N56:N58"/>
    <mergeCell ref="O56:O58"/>
    <mergeCell ref="N53:N55"/>
    <mergeCell ref="O53:O55"/>
    <mergeCell ref="A56:A58"/>
    <mergeCell ref="B56:B58"/>
    <mergeCell ref="C56:C58"/>
    <mergeCell ref="D56:D58"/>
    <mergeCell ref="E56:E58"/>
    <mergeCell ref="G56:G58"/>
    <mergeCell ref="H56:H58"/>
    <mergeCell ref="I56:I58"/>
    <mergeCell ref="H53:H55"/>
    <mergeCell ref="I53:I55"/>
    <mergeCell ref="J53:J55"/>
    <mergeCell ref="K53:K55"/>
    <mergeCell ref="L53:L55"/>
    <mergeCell ref="M53:M55"/>
    <mergeCell ref="A53:A55"/>
    <mergeCell ref="B53:B55"/>
    <mergeCell ref="C53:C55"/>
    <mergeCell ref="D53:D55"/>
    <mergeCell ref="E53:E55"/>
    <mergeCell ref="G53:G55"/>
    <mergeCell ref="J50:J52"/>
    <mergeCell ref="K50:K52"/>
    <mergeCell ref="L50:L52"/>
    <mergeCell ref="M50:M52"/>
    <mergeCell ref="N50:N52"/>
    <mergeCell ref="O50:O52"/>
    <mergeCell ref="N47:N49"/>
    <mergeCell ref="O47:O49"/>
    <mergeCell ref="A50:A52"/>
    <mergeCell ref="B50:B52"/>
    <mergeCell ref="C50:C52"/>
    <mergeCell ref="D50:D52"/>
    <mergeCell ref="E50:E52"/>
    <mergeCell ref="G50:G52"/>
    <mergeCell ref="H50:H52"/>
    <mergeCell ref="I50:I52"/>
    <mergeCell ref="H47:H49"/>
    <mergeCell ref="I47:I49"/>
    <mergeCell ref="J47:J49"/>
    <mergeCell ref="K47:K49"/>
    <mergeCell ref="L47:L49"/>
    <mergeCell ref="M47:M49"/>
    <mergeCell ref="A47:A49"/>
    <mergeCell ref="B47:B49"/>
    <mergeCell ref="C47:C49"/>
    <mergeCell ref="D47:D49"/>
    <mergeCell ref="E47:E49"/>
    <mergeCell ref="G47:G49"/>
    <mergeCell ref="J45:J46"/>
    <mergeCell ref="K45:K46"/>
    <mergeCell ref="L45:L46"/>
    <mergeCell ref="M45:M46"/>
    <mergeCell ref="N45:N46"/>
    <mergeCell ref="O45:O46"/>
    <mergeCell ref="N42:N44"/>
    <mergeCell ref="O42:O44"/>
    <mergeCell ref="A45:A46"/>
    <mergeCell ref="B45:B46"/>
    <mergeCell ref="C45:C46"/>
    <mergeCell ref="D45:D46"/>
    <mergeCell ref="E45:E46"/>
    <mergeCell ref="G45:G46"/>
    <mergeCell ref="H45:H46"/>
    <mergeCell ref="I45:I46"/>
    <mergeCell ref="H42:H44"/>
    <mergeCell ref="I42:I44"/>
    <mergeCell ref="J42:J44"/>
    <mergeCell ref="K42:K44"/>
    <mergeCell ref="L42:L44"/>
    <mergeCell ref="M42:M44"/>
    <mergeCell ref="A42:A44"/>
    <mergeCell ref="B42:B44"/>
    <mergeCell ref="C42:C44"/>
    <mergeCell ref="D42:D44"/>
    <mergeCell ref="E42:E44"/>
    <mergeCell ref="G42:G44"/>
    <mergeCell ref="J39:J41"/>
    <mergeCell ref="K39:K41"/>
    <mergeCell ref="L39:L41"/>
    <mergeCell ref="M39:M41"/>
    <mergeCell ref="N39:N41"/>
    <mergeCell ref="O39:O41"/>
    <mergeCell ref="N36:N38"/>
    <mergeCell ref="O36:O38"/>
    <mergeCell ref="A39:A41"/>
    <mergeCell ref="B39:B41"/>
    <mergeCell ref="C39:C41"/>
    <mergeCell ref="D39:D41"/>
    <mergeCell ref="E39:E41"/>
    <mergeCell ref="G39:G41"/>
    <mergeCell ref="H39:H41"/>
    <mergeCell ref="I39:I41"/>
    <mergeCell ref="H36:H38"/>
    <mergeCell ref="I36:I38"/>
    <mergeCell ref="J36:J38"/>
    <mergeCell ref="K36:K38"/>
    <mergeCell ref="L36:L38"/>
    <mergeCell ref="M36:M38"/>
    <mergeCell ref="A36:A38"/>
    <mergeCell ref="B36:B38"/>
    <mergeCell ref="C36:C38"/>
    <mergeCell ref="D36:D38"/>
    <mergeCell ref="E36:E38"/>
    <mergeCell ref="G36:G38"/>
    <mergeCell ref="J33:J35"/>
    <mergeCell ref="K33:K35"/>
    <mergeCell ref="L33:L35"/>
    <mergeCell ref="M33:M35"/>
    <mergeCell ref="N33:N35"/>
    <mergeCell ref="O33:O35"/>
    <mergeCell ref="N30:N32"/>
    <mergeCell ref="O30:O32"/>
    <mergeCell ref="A33:A35"/>
    <mergeCell ref="B33:B35"/>
    <mergeCell ref="C33:C35"/>
    <mergeCell ref="D33:D35"/>
    <mergeCell ref="E33:E35"/>
    <mergeCell ref="G33:G35"/>
    <mergeCell ref="H33:H35"/>
    <mergeCell ref="I33:I35"/>
    <mergeCell ref="H30:H32"/>
    <mergeCell ref="I30:I32"/>
    <mergeCell ref="J30:J32"/>
    <mergeCell ref="K30:K32"/>
    <mergeCell ref="L30:L32"/>
    <mergeCell ref="M30:M32"/>
    <mergeCell ref="A30:A32"/>
    <mergeCell ref="B30:B32"/>
    <mergeCell ref="C30:C32"/>
    <mergeCell ref="D30:D32"/>
    <mergeCell ref="E30:E32"/>
    <mergeCell ref="G30:G32"/>
    <mergeCell ref="J27:J29"/>
    <mergeCell ref="K27:K29"/>
    <mergeCell ref="L27:L29"/>
    <mergeCell ref="M27:M29"/>
    <mergeCell ref="N27:N29"/>
    <mergeCell ref="O27:O29"/>
    <mergeCell ref="N24:N26"/>
    <mergeCell ref="O24:O26"/>
    <mergeCell ref="A27:A29"/>
    <mergeCell ref="B27:B29"/>
    <mergeCell ref="C27:C29"/>
    <mergeCell ref="D27:D29"/>
    <mergeCell ref="E27:E29"/>
    <mergeCell ref="G27:G29"/>
    <mergeCell ref="H27:H29"/>
    <mergeCell ref="I27:I29"/>
    <mergeCell ref="H24:H26"/>
    <mergeCell ref="I24:I26"/>
    <mergeCell ref="J24:J26"/>
    <mergeCell ref="K24:K26"/>
    <mergeCell ref="L24:L26"/>
    <mergeCell ref="M24:M26"/>
    <mergeCell ref="A24:A26"/>
    <mergeCell ref="B24:B26"/>
    <mergeCell ref="C24:C26"/>
    <mergeCell ref="D24:D26"/>
    <mergeCell ref="E24:E26"/>
    <mergeCell ref="G24:G26"/>
    <mergeCell ref="J21:J23"/>
    <mergeCell ref="K21:K23"/>
    <mergeCell ref="L21:L23"/>
    <mergeCell ref="M21:M23"/>
    <mergeCell ref="N21:N23"/>
    <mergeCell ref="O21:O23"/>
    <mergeCell ref="N18:N20"/>
    <mergeCell ref="O18:O20"/>
    <mergeCell ref="A21:A23"/>
    <mergeCell ref="B21:B23"/>
    <mergeCell ref="C21:C23"/>
    <mergeCell ref="D21:D23"/>
    <mergeCell ref="E21:E23"/>
    <mergeCell ref="G21:G23"/>
    <mergeCell ref="H21:H23"/>
    <mergeCell ref="I21:I23"/>
    <mergeCell ref="H18:H20"/>
    <mergeCell ref="I18:I20"/>
    <mergeCell ref="J18:J20"/>
    <mergeCell ref="K18:K20"/>
    <mergeCell ref="L18:L20"/>
    <mergeCell ref="M18:M20"/>
    <mergeCell ref="A18:A20"/>
    <mergeCell ref="B18:B20"/>
    <mergeCell ref="C18:C20"/>
    <mergeCell ref="D18:D20"/>
    <mergeCell ref="E18:E20"/>
    <mergeCell ref="G18:G20"/>
    <mergeCell ref="O15:O17"/>
    <mergeCell ref="N12:N14"/>
    <mergeCell ref="O12:O14"/>
    <mergeCell ref="A15:A17"/>
    <mergeCell ref="B15:B17"/>
    <mergeCell ref="C15:C17"/>
    <mergeCell ref="D15:D17"/>
    <mergeCell ref="E15:E17"/>
    <mergeCell ref="G15:G17"/>
    <mergeCell ref="H15:H17"/>
    <mergeCell ref="I15:I17"/>
    <mergeCell ref="H12:H14"/>
    <mergeCell ref="I12:I14"/>
    <mergeCell ref="J12:J14"/>
    <mergeCell ref="K12:K14"/>
    <mergeCell ref="L12:L14"/>
    <mergeCell ref="M12:M14"/>
    <mergeCell ref="A12:A14"/>
    <mergeCell ref="B12:B14"/>
    <mergeCell ref="C12:C14"/>
    <mergeCell ref="D12:D14"/>
    <mergeCell ref="E12:E14"/>
    <mergeCell ref="G12:G14"/>
    <mergeCell ref="H6:H8"/>
    <mergeCell ref="I6:I8"/>
    <mergeCell ref="J6:J8"/>
    <mergeCell ref="K6:K8"/>
    <mergeCell ref="L6:L8"/>
    <mergeCell ref="M6:M8"/>
    <mergeCell ref="A6:A8"/>
    <mergeCell ref="B6:B8"/>
    <mergeCell ref="C6:C8"/>
    <mergeCell ref="D6:D8"/>
    <mergeCell ref="E6:E8"/>
    <mergeCell ref="G6:G8"/>
    <mergeCell ref="J15:J17"/>
    <mergeCell ref="K15:K17"/>
    <mergeCell ref="L15:L17"/>
    <mergeCell ref="M15:M17"/>
    <mergeCell ref="N15:N17"/>
    <mergeCell ref="J3:J5"/>
    <mergeCell ref="K3:K5"/>
    <mergeCell ref="L3:L5"/>
    <mergeCell ref="M3:M5"/>
    <mergeCell ref="N3:N5"/>
    <mergeCell ref="O3:O5"/>
    <mergeCell ref="I1:J1"/>
    <mergeCell ref="K1:M1"/>
    <mergeCell ref="A3:A5"/>
    <mergeCell ref="B3:B5"/>
    <mergeCell ref="C3:C5"/>
    <mergeCell ref="D3:D5"/>
    <mergeCell ref="E3:E5"/>
    <mergeCell ref="G3:G5"/>
    <mergeCell ref="H3:H5"/>
    <mergeCell ref="I3:I5"/>
    <mergeCell ref="J9:J11"/>
    <mergeCell ref="K9:K11"/>
    <mergeCell ref="L9:L11"/>
    <mergeCell ref="M9:M11"/>
    <mergeCell ref="N9:N11"/>
    <mergeCell ref="O9:O11"/>
    <mergeCell ref="N6:N8"/>
    <mergeCell ref="O6:O8"/>
    <mergeCell ref="A9:A11"/>
    <mergeCell ref="B9:B11"/>
    <mergeCell ref="C9:C11"/>
    <mergeCell ref="D9:D11"/>
    <mergeCell ref="E9:E11"/>
    <mergeCell ref="G9:G11"/>
    <mergeCell ref="H9:H11"/>
    <mergeCell ref="I9:I11"/>
  </mergeCells>
  <conditionalFormatting sqref="G3:N62 N63:N64 G65:N990">
    <cfRule type="colorScale" priority="1">
      <colorScale>
        <cfvo type="min"/>
        <cfvo type="percentile" val="50"/>
        <cfvo type="max"/>
        <color rgb="FF63BE7B"/>
        <color rgb="FFFFEB84"/>
        <color rgb="FFF8696B"/>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27B3D4D-2840-4412-A2BA-353B26FF35CC}">
          <x14:formula1>
            <xm:f>'Guide suivi GDP '!$E$3:$E$8</xm:f>
          </x14:formula1>
          <xm:sqref>C3:C62 C65:C250</xm:sqref>
        </x14:dataValidation>
        <x14:dataValidation type="list" allowBlank="1" showInputMessage="1" showErrorMessage="1" xr:uid="{FF49210E-BA40-44B2-9CDC-09D383773EA2}">
          <x14:formula1>
            <xm:f>'Guide suivi GDP '!$E$14:$E$19</xm:f>
          </x14:formula1>
          <xm:sqref>E3:F62 E65:F250</xm:sqref>
        </x14:dataValidation>
        <x14:dataValidation type="list" allowBlank="1" showInputMessage="1" showErrorMessage="1" xr:uid="{0AA58CF7-3D74-4904-A658-E645DB53249F}">
          <x14:formula1>
            <xm:f>'Guide suivi GDP '!$E$20:$E$24</xm:f>
          </x14:formula1>
          <xm:sqref>D3:D62 D65:D250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90FE-E85A-46BE-9ADE-C9CC1CB23DEA}">
  <sheetPr filterMode="1">
    <tabColor rgb="FF92D050"/>
  </sheetPr>
  <dimension ref="A1:Q142"/>
  <sheetViews>
    <sheetView zoomScale="115" zoomScaleNormal="115" workbookViewId="0">
      <pane xSplit="1" ySplit="2" topLeftCell="D143" activePane="bottomRight" state="frozen"/>
      <selection pane="topRight"/>
      <selection pane="bottomLeft" activeCell="B1" sqref="B1"/>
      <selection pane="bottomRight" activeCell="D143" sqref="D143"/>
    </sheetView>
  </sheetViews>
  <sheetFormatPr baseColWidth="10" defaultColWidth="9.140625" defaultRowHeight="12.75" outlineLevelCol="1"/>
  <cols>
    <col min="1" max="1" width="24"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customWidth="1"/>
    <col min="9" max="9" width="12.7109375" style="26" customWidth="1"/>
    <col min="10" max="10" width="11" style="26" customWidth="1"/>
    <col min="11" max="11" width="8.85546875" style="26" customWidth="1"/>
    <col min="12" max="12" width="11.7109375" style="26" customWidth="1"/>
    <col min="13" max="13" width="12.28515625" style="26" customWidth="1"/>
    <col min="14" max="14" width="15.7109375" style="26" customWidth="1"/>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hidden="1" customHeight="1">
      <c r="A3" s="153" t="s">
        <v>98</v>
      </c>
      <c r="B3" s="39">
        <v>0</v>
      </c>
      <c r="C3" s="141" t="s">
        <v>51</v>
      </c>
      <c r="D3" s="141" t="s">
        <v>26</v>
      </c>
      <c r="E3" s="141" t="s">
        <v>47</v>
      </c>
      <c r="F3" s="141" t="s">
        <v>39</v>
      </c>
      <c r="G3" s="141" t="s">
        <v>230</v>
      </c>
      <c r="H3" s="29">
        <v>2</v>
      </c>
      <c r="I3" s="145">
        <v>0</v>
      </c>
      <c r="J3" s="145">
        <v>0</v>
      </c>
      <c r="K3" s="145">
        <v>0</v>
      </c>
      <c r="L3" s="145">
        <v>0</v>
      </c>
      <c r="M3" s="145">
        <v>2</v>
      </c>
      <c r="N3" s="145">
        <v>1</v>
      </c>
      <c r="O3" s="142">
        <f t="shared" ref="O3:O24" si="0">AVERAGE(H3:N3)</f>
        <v>0.7142857142857143</v>
      </c>
      <c r="P3" s="143" t="s">
        <v>99</v>
      </c>
    </row>
    <row r="4" spans="1:16" ht="45" hidden="1" customHeight="1">
      <c r="A4" s="28" t="s">
        <v>100</v>
      </c>
      <c r="B4" s="39">
        <v>0</v>
      </c>
      <c r="C4" s="141" t="s">
        <v>51</v>
      </c>
      <c r="D4" s="141" t="s">
        <v>26</v>
      </c>
      <c r="E4" s="141" t="s">
        <v>45</v>
      </c>
      <c r="F4" s="141" t="s">
        <v>37</v>
      </c>
      <c r="G4" s="141"/>
      <c r="H4" s="29">
        <v>0</v>
      </c>
      <c r="I4" s="145">
        <v>0</v>
      </c>
      <c r="J4" s="145">
        <v>0</v>
      </c>
      <c r="K4" s="145">
        <v>0</v>
      </c>
      <c r="L4" s="145" t="s">
        <v>101</v>
      </c>
      <c r="M4" s="145">
        <v>0</v>
      </c>
      <c r="N4" s="145">
        <v>0</v>
      </c>
      <c r="O4" s="20">
        <f t="shared" si="0"/>
        <v>0</v>
      </c>
      <c r="P4" s="143" t="s">
        <v>102</v>
      </c>
    </row>
    <row r="5" spans="1:16" ht="45" hidden="1" customHeight="1">
      <c r="A5" s="153" t="s">
        <v>103</v>
      </c>
      <c r="B5" s="39">
        <v>0</v>
      </c>
      <c r="C5" s="141" t="s">
        <v>51</v>
      </c>
      <c r="D5" s="141" t="s">
        <v>26</v>
      </c>
      <c r="E5" s="141" t="s">
        <v>48</v>
      </c>
      <c r="F5" s="141"/>
      <c r="G5" s="141"/>
      <c r="H5" s="29">
        <v>0</v>
      </c>
      <c r="I5" s="145" t="s">
        <v>104</v>
      </c>
      <c r="J5" s="145" t="s">
        <v>104</v>
      </c>
      <c r="K5" s="145" t="s">
        <v>104</v>
      </c>
      <c r="L5" s="145" t="s">
        <v>101</v>
      </c>
      <c r="M5" s="145" t="s">
        <v>101</v>
      </c>
      <c r="N5" s="145" t="s">
        <v>101</v>
      </c>
      <c r="O5" s="142">
        <f t="shared" si="0"/>
        <v>0</v>
      </c>
      <c r="P5" s="143" t="s">
        <v>186</v>
      </c>
    </row>
    <row r="6" spans="1:16" ht="45" hidden="1" customHeight="1">
      <c r="A6" s="41" t="s">
        <v>106</v>
      </c>
      <c r="B6" s="39">
        <v>0</v>
      </c>
      <c r="C6" s="141" t="s">
        <v>51</v>
      </c>
      <c r="D6" s="141"/>
      <c r="E6" s="141"/>
      <c r="F6" s="141"/>
      <c r="G6" s="141"/>
      <c r="H6" s="29">
        <v>0</v>
      </c>
      <c r="I6" s="145" t="s">
        <v>101</v>
      </c>
      <c r="J6" s="145" t="s">
        <v>101</v>
      </c>
      <c r="K6" s="145" t="s">
        <v>104</v>
      </c>
      <c r="L6" s="145" t="s">
        <v>101</v>
      </c>
      <c r="M6" s="145" t="s">
        <v>101</v>
      </c>
      <c r="N6" s="145" t="s">
        <v>96</v>
      </c>
      <c r="O6" s="142">
        <f t="shared" si="0"/>
        <v>0</v>
      </c>
      <c r="P6" s="143" t="s">
        <v>107</v>
      </c>
    </row>
    <row r="7" spans="1:16" ht="45" hidden="1"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231</v>
      </c>
    </row>
    <row r="8" spans="1:16" ht="45" hidden="1" customHeight="1">
      <c r="A8" s="40" t="s">
        <v>110</v>
      </c>
      <c r="B8" s="39">
        <v>0</v>
      </c>
      <c r="C8" s="141" t="s">
        <v>51</v>
      </c>
      <c r="D8" s="141" t="s">
        <v>6</v>
      </c>
      <c r="E8" s="141"/>
      <c r="F8" s="141"/>
      <c r="G8" s="141"/>
      <c r="H8" s="29" t="s">
        <v>101</v>
      </c>
      <c r="I8" s="145" t="s">
        <v>101</v>
      </c>
      <c r="J8" s="145" t="s">
        <v>101</v>
      </c>
      <c r="K8" s="145" t="s">
        <v>104</v>
      </c>
      <c r="L8" s="145" t="s">
        <v>101</v>
      </c>
      <c r="M8" s="145" t="s">
        <v>101</v>
      </c>
      <c r="N8" s="145" t="s">
        <v>101</v>
      </c>
      <c r="O8" s="142" t="e">
        <f t="shared" si="0"/>
        <v>#DIV/0!</v>
      </c>
      <c r="P8" s="143" t="s">
        <v>107</v>
      </c>
    </row>
    <row r="9" spans="1:16" ht="45" hidden="1" customHeight="1">
      <c r="A9" s="40" t="s">
        <v>111</v>
      </c>
      <c r="B9" s="39">
        <v>0</v>
      </c>
      <c r="C9" s="141" t="s">
        <v>51</v>
      </c>
      <c r="D9" s="141" t="s">
        <v>26</v>
      </c>
      <c r="E9" s="141" t="s">
        <v>45</v>
      </c>
      <c r="F9" s="141" t="s">
        <v>37</v>
      </c>
      <c r="G9" s="141"/>
      <c r="H9" s="29">
        <v>0</v>
      </c>
      <c r="I9" s="145">
        <v>0</v>
      </c>
      <c r="J9" s="145">
        <v>0</v>
      </c>
      <c r="K9" s="145">
        <v>0</v>
      </c>
      <c r="L9" s="145">
        <v>0</v>
      </c>
      <c r="M9" s="145">
        <v>0</v>
      </c>
      <c r="N9" s="145">
        <v>0</v>
      </c>
      <c r="O9" s="142">
        <f t="shared" si="0"/>
        <v>0</v>
      </c>
      <c r="P9" s="143" t="s">
        <v>112</v>
      </c>
    </row>
    <row r="10" spans="1:16" ht="45" hidden="1" customHeight="1">
      <c r="A10" s="41" t="s">
        <v>113</v>
      </c>
      <c r="B10" s="39">
        <v>0</v>
      </c>
      <c r="C10" s="141" t="s">
        <v>51</v>
      </c>
      <c r="D10" s="141" t="s">
        <v>6</v>
      </c>
      <c r="E10" s="141" t="s">
        <v>44</v>
      </c>
      <c r="F10" s="141" t="s">
        <v>39</v>
      </c>
      <c r="G10" s="141"/>
      <c r="H10" s="29">
        <v>0</v>
      </c>
      <c r="I10" s="145">
        <v>0</v>
      </c>
      <c r="J10" s="145">
        <v>0</v>
      </c>
      <c r="K10" s="145">
        <v>0</v>
      </c>
      <c r="L10" s="145">
        <v>0</v>
      </c>
      <c r="M10" s="145">
        <v>0</v>
      </c>
      <c r="N10" s="145">
        <v>0</v>
      </c>
      <c r="O10" s="142">
        <f t="shared" si="0"/>
        <v>0</v>
      </c>
      <c r="P10" s="143" t="s">
        <v>188</v>
      </c>
    </row>
    <row r="11" spans="1:16" ht="45" hidden="1" customHeight="1">
      <c r="A11" s="153" t="s">
        <v>232</v>
      </c>
      <c r="B11" s="39">
        <v>0</v>
      </c>
      <c r="C11" s="141" t="s">
        <v>174</v>
      </c>
      <c r="D11" s="141" t="s">
        <v>6</v>
      </c>
      <c r="E11" s="141" t="s">
        <v>44</v>
      </c>
      <c r="F11" s="141" t="s">
        <v>38</v>
      </c>
      <c r="G11" s="141"/>
      <c r="H11" s="29">
        <v>0</v>
      </c>
      <c r="I11" s="145">
        <v>0</v>
      </c>
      <c r="J11" s="145">
        <v>0</v>
      </c>
      <c r="K11" s="145">
        <v>0</v>
      </c>
      <c r="L11" s="145">
        <v>0</v>
      </c>
      <c r="M11" s="145">
        <v>0</v>
      </c>
      <c r="N11" s="145">
        <v>0</v>
      </c>
      <c r="O11" s="142">
        <f t="shared" si="0"/>
        <v>0</v>
      </c>
      <c r="P11" s="143" t="s">
        <v>233</v>
      </c>
    </row>
    <row r="12" spans="1:16" ht="45" hidden="1" customHeight="1">
      <c r="A12" s="153" t="s">
        <v>117</v>
      </c>
      <c r="B12" s="39">
        <v>0</v>
      </c>
      <c r="C12" s="141" t="s">
        <v>51</v>
      </c>
      <c r="D12" s="141" t="s">
        <v>14</v>
      </c>
      <c r="E12" s="141" t="s">
        <v>45</v>
      </c>
      <c r="F12" s="141" t="s">
        <v>38</v>
      </c>
      <c r="G12" s="141"/>
      <c r="H12" s="29" t="s">
        <v>118</v>
      </c>
      <c r="I12" s="145" t="s">
        <v>118</v>
      </c>
      <c r="J12" s="145" t="s">
        <v>118</v>
      </c>
      <c r="K12" s="145" t="s">
        <v>118</v>
      </c>
      <c r="L12" s="145" t="s">
        <v>118</v>
      </c>
      <c r="M12" s="145" t="s">
        <v>118</v>
      </c>
      <c r="N12" s="145" t="s">
        <v>118</v>
      </c>
      <c r="O12" s="142" t="e">
        <f t="shared" si="0"/>
        <v>#DIV/0!</v>
      </c>
      <c r="P12" s="143" t="s">
        <v>119</v>
      </c>
    </row>
    <row r="13" spans="1:16" ht="45" hidden="1" customHeight="1">
      <c r="A13" s="153" t="s">
        <v>234</v>
      </c>
      <c r="B13" s="39">
        <v>0</v>
      </c>
      <c r="C13" s="141" t="s">
        <v>51</v>
      </c>
      <c r="D13" s="141" t="s">
        <v>18</v>
      </c>
      <c r="E13" s="141" t="s">
        <v>44</v>
      </c>
      <c r="F13" s="141" t="s">
        <v>40</v>
      </c>
      <c r="G13" s="141"/>
      <c r="H13" s="29">
        <v>4</v>
      </c>
      <c r="I13" s="145">
        <v>4</v>
      </c>
      <c r="J13" s="145">
        <v>1</v>
      </c>
      <c r="K13" s="145">
        <v>4</v>
      </c>
      <c r="L13" s="145">
        <v>1</v>
      </c>
      <c r="M13" s="145">
        <v>3</v>
      </c>
      <c r="N13" s="145">
        <v>3</v>
      </c>
      <c r="O13" s="142">
        <f t="shared" si="0"/>
        <v>2.8571428571428572</v>
      </c>
      <c r="P13" s="143" t="s">
        <v>121</v>
      </c>
    </row>
    <row r="14" spans="1:16" ht="45" hidden="1" customHeight="1">
      <c r="A14" s="153" t="s">
        <v>122</v>
      </c>
      <c r="B14" s="39">
        <v>0</v>
      </c>
      <c r="C14" s="141" t="s">
        <v>123</v>
      </c>
      <c r="D14" s="141" t="s">
        <v>14</v>
      </c>
      <c r="E14" s="141" t="s">
        <v>44</v>
      </c>
      <c r="F14" s="141" t="s">
        <v>40</v>
      </c>
      <c r="G14" s="141"/>
      <c r="H14" s="29">
        <v>3</v>
      </c>
      <c r="I14" s="145">
        <v>0</v>
      </c>
      <c r="J14" s="145">
        <v>4</v>
      </c>
      <c r="K14" s="145">
        <v>1</v>
      </c>
      <c r="L14" s="145" t="s">
        <v>118</v>
      </c>
      <c r="M14" s="145">
        <v>2</v>
      </c>
      <c r="N14" s="145" t="s">
        <v>118</v>
      </c>
      <c r="O14" s="142">
        <f t="shared" si="0"/>
        <v>2</v>
      </c>
      <c r="P14" s="143" t="s">
        <v>235</v>
      </c>
    </row>
    <row r="15" spans="1:16" ht="45" hidden="1" customHeight="1">
      <c r="A15" s="153" t="s">
        <v>125</v>
      </c>
      <c r="B15" s="39">
        <v>0</v>
      </c>
      <c r="C15" s="141" t="s">
        <v>123</v>
      </c>
      <c r="D15" s="141" t="s">
        <v>14</v>
      </c>
      <c r="E15" s="141" t="s">
        <v>44</v>
      </c>
      <c r="F15" s="141" t="s">
        <v>41</v>
      </c>
      <c r="G15" s="141"/>
      <c r="H15" s="29">
        <v>2</v>
      </c>
      <c r="I15" s="145">
        <v>4</v>
      </c>
      <c r="J15" s="145">
        <v>1</v>
      </c>
      <c r="K15" s="145">
        <v>4</v>
      </c>
      <c r="L15" s="145">
        <v>2</v>
      </c>
      <c r="M15" s="145">
        <v>2</v>
      </c>
      <c r="N15" s="145">
        <v>1</v>
      </c>
      <c r="O15" s="142">
        <f t="shared" si="0"/>
        <v>2.2857142857142856</v>
      </c>
      <c r="P15" s="143" t="s">
        <v>236</v>
      </c>
    </row>
    <row r="16" spans="1:16" ht="45" customHeight="1">
      <c r="A16" s="153" t="s">
        <v>127</v>
      </c>
      <c r="B16" s="39">
        <v>0</v>
      </c>
      <c r="C16" s="141" t="s">
        <v>210</v>
      </c>
      <c r="D16" s="141" t="s">
        <v>26</v>
      </c>
      <c r="E16" s="141" t="s">
        <v>48</v>
      </c>
      <c r="F16" s="141"/>
      <c r="G16" s="141"/>
      <c r="H16" s="29">
        <v>1</v>
      </c>
      <c r="I16" s="145">
        <v>3</v>
      </c>
      <c r="J16" s="145">
        <v>3</v>
      </c>
      <c r="K16" s="145">
        <v>4</v>
      </c>
      <c r="L16" s="145">
        <v>3</v>
      </c>
      <c r="M16" s="145">
        <v>4</v>
      </c>
      <c r="N16" s="145">
        <v>1</v>
      </c>
      <c r="O16" s="142">
        <f t="shared" si="0"/>
        <v>2.7142857142857144</v>
      </c>
      <c r="P16" s="143" t="s">
        <v>237</v>
      </c>
    </row>
    <row r="17" spans="1:16" ht="45" hidden="1" customHeight="1">
      <c r="A17" s="153" t="s">
        <v>129</v>
      </c>
      <c r="B17" s="39">
        <v>0</v>
      </c>
      <c r="C17" s="141" t="s">
        <v>123</v>
      </c>
      <c r="D17" s="141" t="s">
        <v>26</v>
      </c>
      <c r="E17" s="141" t="s">
        <v>47</v>
      </c>
      <c r="F17" s="141" t="s">
        <v>41</v>
      </c>
      <c r="G17" s="141"/>
      <c r="H17" s="29">
        <v>0</v>
      </c>
      <c r="I17" s="145">
        <v>0</v>
      </c>
      <c r="J17" s="145">
        <v>0</v>
      </c>
      <c r="K17" s="145">
        <v>0</v>
      </c>
      <c r="L17" s="145">
        <v>0</v>
      </c>
      <c r="M17" s="145">
        <v>0</v>
      </c>
      <c r="N17" s="145">
        <v>0</v>
      </c>
      <c r="O17" s="142">
        <f t="shared" si="0"/>
        <v>0</v>
      </c>
      <c r="P17" s="143" t="s">
        <v>238</v>
      </c>
    </row>
    <row r="18" spans="1:16" ht="45" hidden="1" customHeight="1">
      <c r="A18" s="153" t="s">
        <v>130</v>
      </c>
      <c r="B18" s="39">
        <v>0</v>
      </c>
      <c r="C18" s="141" t="s">
        <v>123</v>
      </c>
      <c r="D18" s="141" t="s">
        <v>26</v>
      </c>
      <c r="E18" s="141" t="s">
        <v>44</v>
      </c>
      <c r="F18" s="141" t="s">
        <v>40</v>
      </c>
      <c r="G18" s="141"/>
      <c r="H18" s="29">
        <v>1</v>
      </c>
      <c r="I18" s="145">
        <v>1</v>
      </c>
      <c r="J18" s="145">
        <v>1</v>
      </c>
      <c r="K18" s="145">
        <v>1</v>
      </c>
      <c r="L18" s="145">
        <v>1</v>
      </c>
      <c r="M18" s="145">
        <v>0</v>
      </c>
      <c r="N18" s="145">
        <v>0</v>
      </c>
      <c r="O18" s="142">
        <f t="shared" si="0"/>
        <v>0.7142857142857143</v>
      </c>
      <c r="P18" s="143" t="s">
        <v>239</v>
      </c>
    </row>
    <row r="19" spans="1:16" ht="45" hidden="1" customHeight="1">
      <c r="A19" s="153" t="s">
        <v>132</v>
      </c>
      <c r="B19" s="39">
        <v>0</v>
      </c>
      <c r="C19" s="141" t="s">
        <v>123</v>
      </c>
      <c r="D19" s="141" t="s">
        <v>26</v>
      </c>
      <c r="E19" s="141" t="s">
        <v>48</v>
      </c>
      <c r="F19" s="141"/>
      <c r="G19" s="141"/>
      <c r="H19" s="29">
        <v>1</v>
      </c>
      <c r="I19" s="145">
        <v>2</v>
      </c>
      <c r="J19" s="145">
        <v>0</v>
      </c>
      <c r="K19" s="145">
        <v>0</v>
      </c>
      <c r="L19" s="145">
        <v>0</v>
      </c>
      <c r="M19" s="145">
        <v>0</v>
      </c>
      <c r="N19" s="145">
        <v>0</v>
      </c>
      <c r="O19" s="142">
        <f t="shared" si="0"/>
        <v>0.42857142857142855</v>
      </c>
      <c r="P19" s="143" t="s">
        <v>133</v>
      </c>
    </row>
    <row r="20" spans="1:16" ht="45" hidden="1" customHeight="1">
      <c r="A20" s="153" t="s">
        <v>134</v>
      </c>
      <c r="B20" s="39">
        <v>0</v>
      </c>
      <c r="C20" s="141" t="s">
        <v>123</v>
      </c>
      <c r="D20" s="141" t="s">
        <v>18</v>
      </c>
      <c r="E20" s="141" t="s">
        <v>44</v>
      </c>
      <c r="F20" s="141" t="s">
        <v>38</v>
      </c>
      <c r="G20" s="141"/>
      <c r="H20" s="29">
        <v>0</v>
      </c>
      <c r="I20" s="145">
        <v>0</v>
      </c>
      <c r="J20" s="145">
        <v>0</v>
      </c>
      <c r="K20" s="145">
        <v>0</v>
      </c>
      <c r="L20" s="145">
        <v>0</v>
      </c>
      <c r="M20" s="145">
        <v>0</v>
      </c>
      <c r="N20" s="145">
        <v>0</v>
      </c>
      <c r="O20" s="142">
        <f t="shared" si="0"/>
        <v>0</v>
      </c>
      <c r="P20" s="143" t="s">
        <v>194</v>
      </c>
    </row>
    <row r="21" spans="1:16" ht="45" hidden="1" customHeight="1">
      <c r="A21" s="153" t="s">
        <v>136</v>
      </c>
      <c r="B21" s="39">
        <v>0</v>
      </c>
      <c r="C21" s="141" t="s">
        <v>123</v>
      </c>
      <c r="D21" s="141" t="s">
        <v>10</v>
      </c>
      <c r="E21" s="141" t="s">
        <v>44</v>
      </c>
      <c r="F21" s="141" t="s">
        <v>38</v>
      </c>
      <c r="G21" s="141"/>
      <c r="H21" s="29">
        <v>3</v>
      </c>
      <c r="I21" s="145">
        <v>0</v>
      </c>
      <c r="J21" s="145">
        <v>1</v>
      </c>
      <c r="K21" s="145">
        <v>0</v>
      </c>
      <c r="L21" s="145">
        <v>0</v>
      </c>
      <c r="M21" s="145">
        <v>1</v>
      </c>
      <c r="N21" s="145">
        <v>0</v>
      </c>
      <c r="O21" s="142">
        <f t="shared" si="0"/>
        <v>0.7142857142857143</v>
      </c>
      <c r="P21" s="143" t="s">
        <v>240</v>
      </c>
    </row>
    <row r="22" spans="1:16" ht="45" customHeight="1">
      <c r="A22" s="153" t="s">
        <v>138</v>
      </c>
      <c r="B22" s="39">
        <v>0</v>
      </c>
      <c r="C22" s="141" t="s">
        <v>210</v>
      </c>
      <c r="D22" s="141" t="s">
        <v>26</v>
      </c>
      <c r="E22" s="141" t="s">
        <v>48</v>
      </c>
      <c r="F22" s="141"/>
      <c r="G22" s="141"/>
      <c r="H22" s="29">
        <v>1</v>
      </c>
      <c r="I22" s="145">
        <v>0</v>
      </c>
      <c r="J22" s="145">
        <v>0</v>
      </c>
      <c r="K22" s="145">
        <v>0</v>
      </c>
      <c r="L22" s="145">
        <v>0</v>
      </c>
      <c r="M22" s="145">
        <v>1</v>
      </c>
      <c r="N22" s="145">
        <v>0</v>
      </c>
      <c r="O22" s="142">
        <f t="shared" si="0"/>
        <v>0.2857142857142857</v>
      </c>
      <c r="P22" s="143" t="s">
        <v>241</v>
      </c>
    </row>
    <row r="23" spans="1:16" ht="45" hidden="1" customHeight="1">
      <c r="A23" s="153" t="s">
        <v>139</v>
      </c>
      <c r="B23" s="39">
        <v>0</v>
      </c>
      <c r="C23" s="141" t="s">
        <v>123</v>
      </c>
      <c r="D23" s="141" t="s">
        <v>26</v>
      </c>
      <c r="E23" s="141" t="s">
        <v>48</v>
      </c>
      <c r="F23" s="141"/>
      <c r="G23" s="141"/>
      <c r="H23" s="29">
        <v>2</v>
      </c>
      <c r="I23" s="145">
        <v>0</v>
      </c>
      <c r="J23" s="145">
        <v>0</v>
      </c>
      <c r="K23" s="145">
        <v>0</v>
      </c>
      <c r="L23" s="145">
        <v>0</v>
      </c>
      <c r="M23" s="145">
        <v>1</v>
      </c>
      <c r="N23" s="145">
        <v>0</v>
      </c>
      <c r="O23" s="142">
        <f t="shared" si="0"/>
        <v>0.42857142857142855</v>
      </c>
      <c r="P23" s="143" t="s">
        <v>242</v>
      </c>
    </row>
    <row r="24" spans="1:16" ht="45" customHeight="1">
      <c r="A24" s="153" t="s">
        <v>243</v>
      </c>
      <c r="B24" s="39">
        <v>0</v>
      </c>
      <c r="C24" s="141" t="s">
        <v>210</v>
      </c>
      <c r="D24" s="141" t="s">
        <v>26</v>
      </c>
      <c r="E24" s="141" t="s">
        <v>48</v>
      </c>
      <c r="F24" s="141"/>
      <c r="G24" s="141"/>
      <c r="H24" s="29">
        <v>5</v>
      </c>
      <c r="I24" s="145">
        <v>3</v>
      </c>
      <c r="J24" s="145">
        <v>0</v>
      </c>
      <c r="K24" s="145">
        <v>0</v>
      </c>
      <c r="L24" s="145">
        <v>0</v>
      </c>
      <c r="M24" s="145">
        <v>3</v>
      </c>
      <c r="N24" s="145">
        <v>0</v>
      </c>
      <c r="O24" s="142">
        <f t="shared" si="0"/>
        <v>1.5714285714285714</v>
      </c>
      <c r="P24" s="143" t="s">
        <v>198</v>
      </c>
    </row>
    <row r="25" spans="1:16" ht="45" customHeight="1">
      <c r="A25" s="153" t="s">
        <v>143</v>
      </c>
      <c r="B25" s="39">
        <v>0</v>
      </c>
      <c r="C25" s="141" t="s">
        <v>210</v>
      </c>
      <c r="D25" s="141" t="s">
        <v>26</v>
      </c>
      <c r="E25" s="141" t="s">
        <v>48</v>
      </c>
      <c r="F25" s="141"/>
      <c r="G25" s="141"/>
      <c r="H25" s="29">
        <v>0</v>
      </c>
      <c r="I25" s="145">
        <v>0</v>
      </c>
      <c r="J25" s="145">
        <v>0</v>
      </c>
      <c r="K25" s="145">
        <v>0</v>
      </c>
      <c r="L25" s="145">
        <v>0</v>
      </c>
      <c r="M25" s="145">
        <v>0</v>
      </c>
      <c r="N25" s="145">
        <v>0</v>
      </c>
      <c r="O25" s="142">
        <f t="shared" ref="O25:O79" si="1">AVERAGE(H25:N25)</f>
        <v>0</v>
      </c>
      <c r="P25" s="143" t="s">
        <v>244</v>
      </c>
    </row>
    <row r="26" spans="1:16" ht="45" hidden="1" customHeight="1">
      <c r="A26" s="40" t="s">
        <v>145</v>
      </c>
      <c r="B26" s="39">
        <v>0</v>
      </c>
      <c r="C26" s="141" t="s">
        <v>123</v>
      </c>
      <c r="D26" s="141" t="s">
        <v>6</v>
      </c>
      <c r="E26" s="141"/>
      <c r="F26" s="141" t="s">
        <v>37</v>
      </c>
      <c r="G26" s="141"/>
      <c r="H26" s="29">
        <v>0</v>
      </c>
      <c r="I26" s="145">
        <v>0</v>
      </c>
      <c r="J26" s="145">
        <v>0</v>
      </c>
      <c r="K26" s="145">
        <v>0</v>
      </c>
      <c r="L26" s="145">
        <v>0</v>
      </c>
      <c r="M26" s="145">
        <v>0</v>
      </c>
      <c r="N26" s="145">
        <v>0</v>
      </c>
      <c r="O26" s="142">
        <f t="shared" si="1"/>
        <v>0</v>
      </c>
      <c r="P26" s="143" t="s">
        <v>146</v>
      </c>
    </row>
    <row r="27" spans="1:16" ht="45" hidden="1" customHeight="1">
      <c r="A27" s="40" t="s">
        <v>147</v>
      </c>
      <c r="B27" s="39">
        <v>0</v>
      </c>
      <c r="C27" s="141" t="s">
        <v>123</v>
      </c>
      <c r="D27" s="141" t="s">
        <v>6</v>
      </c>
      <c r="E27" s="141"/>
      <c r="F27" s="141" t="s">
        <v>39</v>
      </c>
      <c r="G27" s="141"/>
      <c r="H27" s="30">
        <v>3</v>
      </c>
      <c r="I27" s="139">
        <v>0</v>
      </c>
      <c r="J27" s="139">
        <v>0</v>
      </c>
      <c r="K27" s="139">
        <v>0</v>
      </c>
      <c r="L27" s="139">
        <v>0</v>
      </c>
      <c r="M27" s="139">
        <v>0</v>
      </c>
      <c r="N27" s="139">
        <v>0</v>
      </c>
      <c r="O27" s="142">
        <f t="shared" si="1"/>
        <v>0.42857142857142855</v>
      </c>
      <c r="P27" s="138" t="s">
        <v>245</v>
      </c>
    </row>
    <row r="28" spans="1:16" ht="45" hidden="1" customHeight="1">
      <c r="A28" s="153" t="s">
        <v>149</v>
      </c>
      <c r="B28" s="39">
        <v>0</v>
      </c>
      <c r="C28" s="141" t="s">
        <v>51</v>
      </c>
      <c r="D28" s="141" t="s">
        <v>26</v>
      </c>
      <c r="E28" s="141" t="s">
        <v>44</v>
      </c>
      <c r="F28" s="141" t="s">
        <v>37</v>
      </c>
      <c r="G28" s="141"/>
      <c r="H28" s="29">
        <v>5</v>
      </c>
      <c r="I28" s="145">
        <v>5</v>
      </c>
      <c r="J28" s="145">
        <v>5</v>
      </c>
      <c r="K28" s="145">
        <v>5</v>
      </c>
      <c r="L28" s="145">
        <v>5</v>
      </c>
      <c r="M28" s="145">
        <v>5</v>
      </c>
      <c r="N28" s="145">
        <v>5</v>
      </c>
      <c r="O28" s="142">
        <f t="shared" si="1"/>
        <v>5</v>
      </c>
      <c r="P28" s="143" t="s">
        <v>151</v>
      </c>
    </row>
    <row r="29" spans="1:16" ht="45" hidden="1" customHeight="1">
      <c r="A29" s="153" t="s">
        <v>246</v>
      </c>
      <c r="B29" s="39">
        <v>0</v>
      </c>
      <c r="C29" s="141" t="s">
        <v>150</v>
      </c>
      <c r="D29" s="141" t="s">
        <v>6</v>
      </c>
      <c r="E29" s="141"/>
      <c r="F29" s="141"/>
      <c r="G29" s="141"/>
      <c r="H29" s="29" t="s">
        <v>118</v>
      </c>
      <c r="I29" s="145" t="s">
        <v>118</v>
      </c>
      <c r="J29" s="145" t="s">
        <v>118</v>
      </c>
      <c r="K29" s="145" t="s">
        <v>118</v>
      </c>
      <c r="L29" s="145" t="s">
        <v>118</v>
      </c>
      <c r="M29" s="145" t="s">
        <v>118</v>
      </c>
      <c r="N29" s="145" t="s">
        <v>118</v>
      </c>
      <c r="O29" s="142" t="e">
        <f t="shared" si="1"/>
        <v>#DIV/0!</v>
      </c>
      <c r="P29" s="143" t="s">
        <v>247</v>
      </c>
    </row>
    <row r="30" spans="1:16" ht="45" hidden="1" customHeight="1">
      <c r="A30" s="153" t="s">
        <v>152</v>
      </c>
      <c r="B30" s="39">
        <v>5</v>
      </c>
      <c r="C30" s="141" t="s">
        <v>248</v>
      </c>
      <c r="D30" s="141" t="s">
        <v>14</v>
      </c>
      <c r="E30" s="141" t="s">
        <v>45</v>
      </c>
      <c r="F30" s="141" t="s">
        <v>42</v>
      </c>
      <c r="G30" s="141"/>
      <c r="H30" s="29">
        <v>3</v>
      </c>
      <c r="I30" s="145">
        <v>5</v>
      </c>
      <c r="J30" s="145">
        <v>5</v>
      </c>
      <c r="K30" s="145">
        <v>4</v>
      </c>
      <c r="L30" s="145">
        <v>2</v>
      </c>
      <c r="M30" s="145">
        <v>1</v>
      </c>
      <c r="N30" s="145" t="s">
        <v>118</v>
      </c>
      <c r="O30" s="142">
        <f t="shared" si="1"/>
        <v>3.3333333333333335</v>
      </c>
      <c r="P30" s="143" t="s">
        <v>249</v>
      </c>
    </row>
    <row r="31" spans="1:16" ht="45" customHeight="1">
      <c r="A31" s="153" t="s">
        <v>154</v>
      </c>
      <c r="B31" s="39">
        <v>0</v>
      </c>
      <c r="C31" s="141" t="s">
        <v>210</v>
      </c>
      <c r="D31" s="141" t="s">
        <v>26</v>
      </c>
      <c r="E31" s="141" t="s">
        <v>48</v>
      </c>
      <c r="F31" s="141"/>
      <c r="G31" s="141"/>
      <c r="H31" s="29">
        <v>0</v>
      </c>
      <c r="I31" s="145">
        <v>0</v>
      </c>
      <c r="J31" s="145">
        <v>0</v>
      </c>
      <c r="K31" s="145">
        <v>0</v>
      </c>
      <c r="L31" s="145">
        <v>0</v>
      </c>
      <c r="M31" s="145">
        <v>0</v>
      </c>
      <c r="N31" s="145">
        <v>0</v>
      </c>
      <c r="O31" s="142">
        <f t="shared" si="1"/>
        <v>0</v>
      </c>
      <c r="P31" s="143" t="s">
        <v>250</v>
      </c>
    </row>
    <row r="32" spans="1:16" ht="45" hidden="1" customHeight="1">
      <c r="A32" s="153" t="s">
        <v>156</v>
      </c>
      <c r="B32" s="39">
        <v>0</v>
      </c>
      <c r="C32" s="141" t="s">
        <v>150</v>
      </c>
      <c r="D32" s="141" t="s">
        <v>14</v>
      </c>
      <c r="E32" s="141" t="s">
        <v>44</v>
      </c>
      <c r="F32" s="141" t="s">
        <v>39</v>
      </c>
      <c r="G32" s="45">
        <v>45565</v>
      </c>
      <c r="H32" s="29">
        <v>2</v>
      </c>
      <c r="I32" s="145">
        <v>0</v>
      </c>
      <c r="J32" s="145">
        <v>4</v>
      </c>
      <c r="K32" s="145">
        <v>4</v>
      </c>
      <c r="L32" s="145">
        <v>0</v>
      </c>
      <c r="M32" s="145">
        <v>2</v>
      </c>
      <c r="N32" s="145">
        <v>3</v>
      </c>
      <c r="O32" s="142">
        <f t="shared" si="1"/>
        <v>2.1428571428571428</v>
      </c>
      <c r="P32" s="143" t="s">
        <v>251</v>
      </c>
    </row>
    <row r="33" spans="1:17" ht="45" hidden="1" customHeight="1">
      <c r="A33" s="153" t="s">
        <v>158</v>
      </c>
      <c r="B33" s="39">
        <v>0</v>
      </c>
      <c r="C33" s="141" t="s">
        <v>150</v>
      </c>
      <c r="D33" s="141" t="s">
        <v>10</v>
      </c>
      <c r="E33" s="141" t="s">
        <v>48</v>
      </c>
      <c r="F33" s="141" t="s">
        <v>38</v>
      </c>
      <c r="G33" s="141"/>
      <c r="H33" s="29">
        <v>2</v>
      </c>
      <c r="I33" s="145" t="s">
        <v>118</v>
      </c>
      <c r="J33" s="145" t="s">
        <v>118</v>
      </c>
      <c r="K33" s="145">
        <v>2</v>
      </c>
      <c r="L33" s="145">
        <v>0</v>
      </c>
      <c r="M33" s="145">
        <v>0</v>
      </c>
      <c r="N33" s="145" t="s">
        <v>118</v>
      </c>
      <c r="O33" s="142">
        <f t="shared" si="1"/>
        <v>1</v>
      </c>
      <c r="P33" s="143" t="s">
        <v>252</v>
      </c>
    </row>
    <row r="34" spans="1:17" ht="45" hidden="1" customHeight="1">
      <c r="A34" s="153" t="s">
        <v>253</v>
      </c>
      <c r="B34" s="39">
        <v>0</v>
      </c>
      <c r="C34" s="141" t="s">
        <v>150</v>
      </c>
      <c r="D34" s="141" t="s">
        <v>10</v>
      </c>
      <c r="E34" s="141" t="s">
        <v>44</v>
      </c>
      <c r="F34" s="141" t="s">
        <v>38</v>
      </c>
      <c r="G34" s="141"/>
      <c r="H34" s="29">
        <v>0</v>
      </c>
      <c r="I34" s="145">
        <v>3</v>
      </c>
      <c r="J34" s="145">
        <v>0</v>
      </c>
      <c r="K34" s="145">
        <v>3</v>
      </c>
      <c r="L34" s="145">
        <v>0</v>
      </c>
      <c r="M34" s="145">
        <v>0</v>
      </c>
      <c r="N34" s="145" t="s">
        <v>118</v>
      </c>
      <c r="O34" s="142">
        <f t="shared" si="1"/>
        <v>1</v>
      </c>
      <c r="P34" s="143" t="s">
        <v>254</v>
      </c>
    </row>
    <row r="35" spans="1:17" ht="45" hidden="1" customHeight="1">
      <c r="A35" s="153" t="s">
        <v>162</v>
      </c>
      <c r="B35" s="39">
        <v>0</v>
      </c>
      <c r="C35" s="141" t="s">
        <v>150</v>
      </c>
      <c r="D35" s="141"/>
      <c r="E35" s="141"/>
      <c r="F35" s="141"/>
      <c r="G35" s="141"/>
      <c r="H35" s="29">
        <v>0</v>
      </c>
      <c r="I35" s="145">
        <v>0</v>
      </c>
      <c r="J35" s="145">
        <v>0</v>
      </c>
      <c r="K35" s="145">
        <v>0</v>
      </c>
      <c r="L35" s="145">
        <v>0</v>
      </c>
      <c r="M35" s="145">
        <v>0</v>
      </c>
      <c r="N35" s="145">
        <v>0</v>
      </c>
      <c r="O35" s="142">
        <f t="shared" si="1"/>
        <v>0</v>
      </c>
      <c r="P35" s="143" t="s">
        <v>255</v>
      </c>
    </row>
    <row r="36" spans="1:17" ht="45" hidden="1" customHeight="1">
      <c r="A36" s="153" t="s">
        <v>164</v>
      </c>
      <c r="B36" s="39">
        <v>0</v>
      </c>
      <c r="C36" s="141" t="s">
        <v>150</v>
      </c>
      <c r="D36" s="141"/>
      <c r="E36" s="141"/>
      <c r="F36" s="141"/>
      <c r="G36" s="141"/>
      <c r="H36" s="29">
        <v>0</v>
      </c>
      <c r="I36" s="145">
        <v>0</v>
      </c>
      <c r="J36" s="145">
        <v>0</v>
      </c>
      <c r="K36" s="145">
        <v>0</v>
      </c>
      <c r="L36" s="145">
        <v>0</v>
      </c>
      <c r="M36" s="145">
        <v>0</v>
      </c>
      <c r="N36" s="145">
        <v>0</v>
      </c>
      <c r="O36" s="142">
        <f t="shared" si="1"/>
        <v>0</v>
      </c>
      <c r="P36" s="143" t="s">
        <v>204</v>
      </c>
    </row>
    <row r="37" spans="1:17" ht="45" hidden="1" customHeight="1">
      <c r="A37" s="153" t="s">
        <v>165</v>
      </c>
      <c r="B37" s="39">
        <v>0</v>
      </c>
      <c r="C37" s="141" t="s">
        <v>150</v>
      </c>
      <c r="D37" s="141"/>
      <c r="E37" s="141"/>
      <c r="F37" s="141"/>
      <c r="G37" s="141"/>
      <c r="H37" s="29">
        <v>0</v>
      </c>
      <c r="I37" s="145">
        <v>0</v>
      </c>
      <c r="J37" s="145">
        <v>0</v>
      </c>
      <c r="K37" s="145">
        <v>0</v>
      </c>
      <c r="L37" s="145">
        <v>0</v>
      </c>
      <c r="M37" s="145">
        <v>0</v>
      </c>
      <c r="N37" s="145">
        <v>0</v>
      </c>
      <c r="O37" s="142">
        <f t="shared" si="1"/>
        <v>0</v>
      </c>
      <c r="P37" s="143" t="s">
        <v>256</v>
      </c>
    </row>
    <row r="38" spans="1:17" ht="45" hidden="1" customHeight="1">
      <c r="A38" s="153" t="s">
        <v>205</v>
      </c>
      <c r="B38" s="39">
        <v>0</v>
      </c>
      <c r="C38" s="141" t="s">
        <v>174</v>
      </c>
      <c r="D38" s="141" t="s">
        <v>6</v>
      </c>
      <c r="E38" s="141"/>
      <c r="F38" s="141"/>
      <c r="G38" s="141"/>
      <c r="H38" s="29">
        <v>0</v>
      </c>
      <c r="I38" s="145">
        <v>0</v>
      </c>
      <c r="J38" s="145">
        <v>0</v>
      </c>
      <c r="K38" s="145">
        <v>0</v>
      </c>
      <c r="L38" s="145">
        <v>0</v>
      </c>
      <c r="M38" s="145">
        <v>0</v>
      </c>
      <c r="N38" s="145">
        <v>0</v>
      </c>
      <c r="O38" s="142">
        <f t="shared" si="1"/>
        <v>0</v>
      </c>
      <c r="P38" s="143" t="s">
        <v>257</v>
      </c>
    </row>
    <row r="39" spans="1:17" ht="45" hidden="1" customHeight="1">
      <c r="A39" s="28" t="s">
        <v>167</v>
      </c>
      <c r="B39" s="39">
        <v>5</v>
      </c>
      <c r="C39" s="141" t="s">
        <v>123</v>
      </c>
      <c r="D39" s="141" t="s">
        <v>10</v>
      </c>
      <c r="E39" s="141" t="s">
        <v>44</v>
      </c>
      <c r="F39" s="141" t="s">
        <v>38</v>
      </c>
      <c r="G39" s="141"/>
      <c r="H39" s="29">
        <v>3</v>
      </c>
      <c r="I39" s="145">
        <v>0</v>
      </c>
      <c r="J39" s="145" t="s">
        <v>118</v>
      </c>
      <c r="K39" s="145">
        <v>3</v>
      </c>
      <c r="L39" s="145" t="s">
        <v>118</v>
      </c>
      <c r="M39" s="145">
        <v>3</v>
      </c>
      <c r="N39" s="145" t="s">
        <v>118</v>
      </c>
      <c r="O39" s="142">
        <f t="shared" si="1"/>
        <v>2.25</v>
      </c>
      <c r="P39" s="143" t="s">
        <v>258</v>
      </c>
      <c r="Q39" s="13" t="s">
        <v>259</v>
      </c>
    </row>
    <row r="40" spans="1:17" ht="45" hidden="1" customHeight="1">
      <c r="A40" s="153" t="s">
        <v>168</v>
      </c>
      <c r="B40" s="39">
        <v>5</v>
      </c>
      <c r="C40" s="141" t="s">
        <v>123</v>
      </c>
      <c r="D40" s="141" t="s">
        <v>10</v>
      </c>
      <c r="E40" s="141" t="s">
        <v>44</v>
      </c>
      <c r="F40" s="141" t="s">
        <v>38</v>
      </c>
      <c r="G40" s="141"/>
      <c r="H40" s="29">
        <v>3</v>
      </c>
      <c r="I40" s="145">
        <v>0</v>
      </c>
      <c r="J40" s="145" t="s">
        <v>118</v>
      </c>
      <c r="K40" s="145">
        <v>3</v>
      </c>
      <c r="L40" s="145" t="s">
        <v>118</v>
      </c>
      <c r="M40" s="145">
        <v>3</v>
      </c>
      <c r="N40" s="145" t="s">
        <v>118</v>
      </c>
      <c r="O40" s="142">
        <f t="shared" si="1"/>
        <v>2.25</v>
      </c>
      <c r="P40" s="143" t="s">
        <v>260</v>
      </c>
      <c r="Q40" s="13" t="s">
        <v>259</v>
      </c>
    </row>
    <row r="41" spans="1:17" ht="45" customHeight="1">
      <c r="A41" s="153" t="s">
        <v>169</v>
      </c>
      <c r="B41" s="39">
        <v>3</v>
      </c>
      <c r="C41" s="141" t="s">
        <v>210</v>
      </c>
      <c r="D41" s="141" t="s">
        <v>14</v>
      </c>
      <c r="E41" s="141" t="s">
        <v>44</v>
      </c>
      <c r="F41" s="141" t="s">
        <v>39</v>
      </c>
      <c r="G41" s="141" t="s">
        <v>261</v>
      </c>
      <c r="H41" s="29">
        <v>0</v>
      </c>
      <c r="I41" s="145">
        <v>0</v>
      </c>
      <c r="J41" s="145">
        <v>0</v>
      </c>
      <c r="K41" s="145">
        <v>0</v>
      </c>
      <c r="L41" s="145">
        <v>0</v>
      </c>
      <c r="M41" s="145">
        <v>0</v>
      </c>
      <c r="N41" s="145">
        <v>2</v>
      </c>
      <c r="O41" s="142">
        <f t="shared" si="1"/>
        <v>0.2857142857142857</v>
      </c>
      <c r="P41" s="143" t="s">
        <v>262</v>
      </c>
    </row>
    <row r="42" spans="1:17" ht="45" customHeight="1">
      <c r="A42" s="153" t="s">
        <v>170</v>
      </c>
      <c r="B42" s="39">
        <v>0</v>
      </c>
      <c r="C42" s="141" t="s">
        <v>210</v>
      </c>
      <c r="D42" s="141" t="s">
        <v>26</v>
      </c>
      <c r="E42" s="141"/>
      <c r="F42" s="141"/>
      <c r="G42" s="45">
        <v>45565</v>
      </c>
      <c r="H42" s="139">
        <v>0</v>
      </c>
      <c r="I42" s="139">
        <v>0</v>
      </c>
      <c r="J42" s="139">
        <v>0</v>
      </c>
      <c r="K42" s="139">
        <v>0</v>
      </c>
      <c r="L42" s="139">
        <v>0</v>
      </c>
      <c r="M42" s="139">
        <v>0</v>
      </c>
      <c r="N42" s="139">
        <v>0</v>
      </c>
      <c r="O42" s="142">
        <f t="shared" si="1"/>
        <v>0</v>
      </c>
      <c r="P42" s="138" t="s">
        <v>263</v>
      </c>
    </row>
    <row r="43" spans="1:17" ht="45" hidden="1" customHeight="1">
      <c r="A43" s="153" t="s">
        <v>171</v>
      </c>
      <c r="B43" s="39">
        <v>0</v>
      </c>
      <c r="C43" s="141" t="s">
        <v>150</v>
      </c>
      <c r="D43" s="141" t="s">
        <v>6</v>
      </c>
      <c r="E43" s="141"/>
      <c r="F43" s="141"/>
      <c r="G43" s="141"/>
      <c r="H43" s="31">
        <v>0</v>
      </c>
      <c r="I43" s="146">
        <v>0</v>
      </c>
      <c r="J43" s="146">
        <v>0</v>
      </c>
      <c r="K43" s="146">
        <v>0</v>
      </c>
      <c r="L43" s="146">
        <v>0</v>
      </c>
      <c r="M43" s="146">
        <v>0</v>
      </c>
      <c r="N43" s="146">
        <v>0</v>
      </c>
      <c r="O43" s="142">
        <f t="shared" si="1"/>
        <v>0</v>
      </c>
      <c r="P43" s="144" t="s">
        <v>264</v>
      </c>
    </row>
    <row r="44" spans="1:17" ht="45" hidden="1" customHeight="1">
      <c r="A44" s="153" t="s">
        <v>172</v>
      </c>
      <c r="B44" s="39">
        <v>3</v>
      </c>
      <c r="C44" s="141" t="s">
        <v>51</v>
      </c>
      <c r="D44" s="141"/>
      <c r="E44" s="141"/>
      <c r="F44" s="141"/>
      <c r="G44" s="141"/>
      <c r="H44" s="30">
        <v>0</v>
      </c>
      <c r="I44" s="139">
        <v>0</v>
      </c>
      <c r="J44" s="139">
        <v>0</v>
      </c>
      <c r="K44" s="139">
        <v>0</v>
      </c>
      <c r="L44" s="139">
        <v>0</v>
      </c>
      <c r="M44" s="139">
        <v>0</v>
      </c>
      <c r="N44" s="139">
        <v>0</v>
      </c>
      <c r="O44" s="142">
        <f t="shared" si="1"/>
        <v>0</v>
      </c>
      <c r="P44" s="138" t="s">
        <v>265</v>
      </c>
    </row>
    <row r="45" spans="1:17" ht="45" hidden="1" customHeight="1">
      <c r="A45" s="153" t="s">
        <v>173</v>
      </c>
      <c r="B45" s="39">
        <v>0</v>
      </c>
      <c r="C45" s="141" t="s">
        <v>174</v>
      </c>
      <c r="D45" s="141" t="s">
        <v>6</v>
      </c>
      <c r="E45" s="141"/>
      <c r="F45" s="141"/>
      <c r="G45" s="141"/>
      <c r="H45" s="30" t="s">
        <v>118</v>
      </c>
      <c r="I45" s="139" t="s">
        <v>118</v>
      </c>
      <c r="J45" s="139" t="s">
        <v>118</v>
      </c>
      <c r="K45" s="139" t="s">
        <v>118</v>
      </c>
      <c r="L45" s="139" t="s">
        <v>118</v>
      </c>
      <c r="M45" s="139" t="s">
        <v>118</v>
      </c>
      <c r="N45" s="139" t="s">
        <v>118</v>
      </c>
      <c r="O45" s="142" t="e">
        <f t="shared" si="1"/>
        <v>#DIV/0!</v>
      </c>
      <c r="P45" s="138" t="s">
        <v>175</v>
      </c>
    </row>
    <row r="46" spans="1:17" ht="45" hidden="1" customHeight="1">
      <c r="A46" s="153" t="s">
        <v>176</v>
      </c>
      <c r="B46" s="39">
        <v>0</v>
      </c>
      <c r="C46" s="141" t="s">
        <v>174</v>
      </c>
      <c r="D46" s="141"/>
      <c r="E46" s="141"/>
      <c r="F46" s="141"/>
      <c r="G46" s="141"/>
      <c r="H46" s="30" t="s">
        <v>118</v>
      </c>
      <c r="I46" s="139" t="s">
        <v>118</v>
      </c>
      <c r="J46" s="139" t="s">
        <v>118</v>
      </c>
      <c r="K46" s="139" t="s">
        <v>118</v>
      </c>
      <c r="L46" s="139" t="s">
        <v>118</v>
      </c>
      <c r="M46" s="139" t="s">
        <v>118</v>
      </c>
      <c r="N46" s="139" t="s">
        <v>118</v>
      </c>
      <c r="O46" s="142" t="e">
        <f t="shared" si="1"/>
        <v>#DIV/0!</v>
      </c>
      <c r="P46" s="138" t="s">
        <v>266</v>
      </c>
    </row>
    <row r="47" spans="1:17" ht="45" hidden="1" customHeight="1">
      <c r="A47" s="153" t="s">
        <v>213</v>
      </c>
      <c r="B47" s="39">
        <v>0</v>
      </c>
      <c r="C47" s="141" t="s">
        <v>267</v>
      </c>
      <c r="D47" s="141" t="s">
        <v>6</v>
      </c>
      <c r="E47" s="141"/>
      <c r="F47" s="141"/>
      <c r="G47" s="141"/>
      <c r="H47" s="30" t="s">
        <v>118</v>
      </c>
      <c r="I47" s="139" t="s">
        <v>118</v>
      </c>
      <c r="J47" s="139" t="s">
        <v>118</v>
      </c>
      <c r="K47" s="139" t="s">
        <v>118</v>
      </c>
      <c r="L47" s="139" t="s">
        <v>118</v>
      </c>
      <c r="M47" s="139" t="s">
        <v>118</v>
      </c>
      <c r="N47" s="139" t="s">
        <v>118</v>
      </c>
      <c r="O47" s="142" t="e">
        <f t="shared" si="1"/>
        <v>#DIV/0!</v>
      </c>
      <c r="P47" s="138" t="s">
        <v>214</v>
      </c>
      <c r="Q47" s="13" t="s">
        <v>268</v>
      </c>
    </row>
    <row r="48" spans="1:17" ht="45" hidden="1" customHeight="1">
      <c r="A48" s="40" t="s">
        <v>179</v>
      </c>
      <c r="B48" s="39">
        <v>0</v>
      </c>
      <c r="C48" s="141" t="s">
        <v>174</v>
      </c>
      <c r="D48" s="141" t="s">
        <v>10</v>
      </c>
      <c r="E48" s="141"/>
      <c r="F48" s="141" t="s">
        <v>42</v>
      </c>
      <c r="G48" s="141"/>
      <c r="H48" s="29">
        <v>4</v>
      </c>
      <c r="I48" s="145">
        <v>0</v>
      </c>
      <c r="J48" s="145">
        <v>2</v>
      </c>
      <c r="K48" s="145">
        <v>0</v>
      </c>
      <c r="L48" s="145">
        <v>0</v>
      </c>
      <c r="M48" s="145">
        <v>2</v>
      </c>
      <c r="N48" s="145" t="s">
        <v>118</v>
      </c>
      <c r="O48" s="142">
        <f t="shared" si="1"/>
        <v>1.3333333333333333</v>
      </c>
      <c r="P48" s="143" t="s">
        <v>116</v>
      </c>
    </row>
    <row r="49" spans="1:16" ht="45" hidden="1" customHeight="1">
      <c r="A49" s="153" t="s">
        <v>180</v>
      </c>
      <c r="B49" s="39">
        <v>0</v>
      </c>
      <c r="C49" s="141" t="s">
        <v>174</v>
      </c>
      <c r="D49" s="141" t="s">
        <v>6</v>
      </c>
      <c r="E49" s="141"/>
      <c r="F49" s="141"/>
      <c r="G49" s="141"/>
      <c r="H49" s="30" t="s">
        <v>118</v>
      </c>
      <c r="I49" s="139" t="s">
        <v>118</v>
      </c>
      <c r="J49" s="139" t="s">
        <v>118</v>
      </c>
      <c r="K49" s="139" t="s">
        <v>118</v>
      </c>
      <c r="L49" s="139" t="s">
        <v>118</v>
      </c>
      <c r="M49" s="139" t="s">
        <v>118</v>
      </c>
      <c r="N49" s="139" t="s">
        <v>118</v>
      </c>
      <c r="O49" s="142" t="e">
        <f t="shared" si="1"/>
        <v>#DIV/0!</v>
      </c>
      <c r="P49" s="138" t="s">
        <v>269</v>
      </c>
    </row>
    <row r="50" spans="1:16" ht="45" hidden="1" customHeight="1">
      <c r="A50" s="153" t="s">
        <v>182</v>
      </c>
      <c r="B50" s="39">
        <v>0</v>
      </c>
      <c r="C50" s="141" t="s">
        <v>174</v>
      </c>
      <c r="D50" s="141" t="s">
        <v>14</v>
      </c>
      <c r="E50" s="141"/>
      <c r="F50" s="141"/>
      <c r="G50" s="141"/>
      <c r="H50" s="30">
        <v>0</v>
      </c>
      <c r="I50" s="139">
        <v>0</v>
      </c>
      <c r="J50" s="139">
        <v>0</v>
      </c>
      <c r="K50" s="139">
        <v>0</v>
      </c>
      <c r="L50" s="139">
        <v>0</v>
      </c>
      <c r="M50" s="139">
        <v>0</v>
      </c>
      <c r="N50" s="139">
        <v>0</v>
      </c>
      <c r="O50" s="142">
        <f t="shared" si="1"/>
        <v>0</v>
      </c>
      <c r="P50" s="138" t="s">
        <v>270</v>
      </c>
    </row>
    <row r="51" spans="1:16" ht="45" hidden="1" customHeight="1">
      <c r="A51" s="152" t="s">
        <v>184</v>
      </c>
      <c r="B51" s="39">
        <v>0</v>
      </c>
      <c r="C51" s="141" t="s">
        <v>174</v>
      </c>
      <c r="D51" s="141" t="s">
        <v>14</v>
      </c>
      <c r="E51" s="141"/>
      <c r="F51" s="141"/>
      <c r="G51" s="141"/>
      <c r="H51" s="31">
        <v>0</v>
      </c>
      <c r="I51" s="146">
        <v>0</v>
      </c>
      <c r="J51" s="146">
        <v>0</v>
      </c>
      <c r="K51" s="146">
        <v>0</v>
      </c>
      <c r="L51" s="146">
        <v>0</v>
      </c>
      <c r="M51" s="146">
        <v>0</v>
      </c>
      <c r="N51" s="146">
        <v>0</v>
      </c>
      <c r="O51" s="142">
        <f t="shared" si="1"/>
        <v>0</v>
      </c>
      <c r="P51" s="138" t="s">
        <v>271</v>
      </c>
    </row>
    <row r="52" spans="1:16" ht="45" hidden="1" customHeight="1">
      <c r="A52" s="40" t="s">
        <v>215</v>
      </c>
      <c r="B52" s="39">
        <v>0</v>
      </c>
      <c r="C52" s="141" t="s">
        <v>51</v>
      </c>
      <c r="D52" s="141" t="s">
        <v>6</v>
      </c>
      <c r="E52" s="141"/>
      <c r="F52" s="141"/>
      <c r="G52" s="141"/>
      <c r="H52" s="29">
        <v>0</v>
      </c>
      <c r="I52" s="145">
        <v>0</v>
      </c>
      <c r="J52" s="145">
        <v>0</v>
      </c>
      <c r="K52" s="145">
        <v>0</v>
      </c>
      <c r="L52" s="145">
        <v>0</v>
      </c>
      <c r="M52" s="145">
        <v>0</v>
      </c>
      <c r="N52" s="145">
        <v>0</v>
      </c>
      <c r="O52" s="142">
        <f t="shared" si="1"/>
        <v>0</v>
      </c>
      <c r="P52" s="143" t="s">
        <v>216</v>
      </c>
    </row>
    <row r="53" spans="1:16" ht="45" hidden="1" customHeight="1">
      <c r="A53" s="153" t="s">
        <v>217</v>
      </c>
      <c r="B53" s="39">
        <v>0</v>
      </c>
      <c r="C53" s="141" t="s">
        <v>123</v>
      </c>
      <c r="D53" s="141" t="s">
        <v>6</v>
      </c>
      <c r="E53" s="141"/>
      <c r="F53" s="141"/>
      <c r="G53" s="141"/>
      <c r="H53" s="29">
        <v>0</v>
      </c>
      <c r="I53" s="145">
        <v>0</v>
      </c>
      <c r="J53" s="145">
        <v>0</v>
      </c>
      <c r="K53" s="145">
        <v>0</v>
      </c>
      <c r="L53" s="145">
        <v>0</v>
      </c>
      <c r="M53" s="145">
        <v>0</v>
      </c>
      <c r="N53" s="145">
        <v>0</v>
      </c>
      <c r="O53" s="142">
        <f t="shared" si="1"/>
        <v>0</v>
      </c>
      <c r="P53" s="143" t="s">
        <v>272</v>
      </c>
    </row>
    <row r="54" spans="1:16" ht="45" hidden="1" customHeight="1">
      <c r="A54" s="153" t="s">
        <v>219</v>
      </c>
      <c r="B54" s="39">
        <v>0</v>
      </c>
      <c r="C54" s="141" t="s">
        <v>267</v>
      </c>
      <c r="D54" s="141" t="s">
        <v>6</v>
      </c>
      <c r="E54" s="141"/>
      <c r="F54" s="141"/>
      <c r="G54" s="141"/>
      <c r="H54" s="29">
        <v>0</v>
      </c>
      <c r="I54" s="145">
        <v>0</v>
      </c>
      <c r="J54" s="145">
        <v>0</v>
      </c>
      <c r="K54" s="145">
        <v>0</v>
      </c>
      <c r="L54" s="145">
        <v>0</v>
      </c>
      <c r="M54" s="145">
        <v>0</v>
      </c>
      <c r="N54" s="145">
        <v>0</v>
      </c>
      <c r="O54" s="142">
        <f t="shared" si="1"/>
        <v>0</v>
      </c>
      <c r="P54" s="155" t="s">
        <v>220</v>
      </c>
    </row>
    <row r="55" spans="1:16" ht="45" hidden="1" customHeight="1">
      <c r="A55" s="153" t="s">
        <v>221</v>
      </c>
      <c r="B55" s="39">
        <v>0</v>
      </c>
      <c r="C55" s="141" t="s">
        <v>267</v>
      </c>
      <c r="D55" s="141" t="s">
        <v>6</v>
      </c>
      <c r="E55" s="141"/>
      <c r="F55" s="141"/>
      <c r="G55" s="141"/>
      <c r="H55" s="29">
        <v>0</v>
      </c>
      <c r="I55" s="145">
        <v>0</v>
      </c>
      <c r="J55" s="145">
        <v>0</v>
      </c>
      <c r="K55" s="145">
        <v>0</v>
      </c>
      <c r="L55" s="145">
        <v>0</v>
      </c>
      <c r="M55" s="145">
        <v>0</v>
      </c>
      <c r="N55" s="145">
        <v>0</v>
      </c>
      <c r="O55" s="142">
        <f t="shared" si="1"/>
        <v>0</v>
      </c>
      <c r="P55" s="143" t="s">
        <v>222</v>
      </c>
    </row>
    <row r="56" spans="1:16" ht="45" hidden="1" customHeight="1">
      <c r="A56" s="153" t="s">
        <v>223</v>
      </c>
      <c r="B56" s="39">
        <v>0</v>
      </c>
      <c r="C56" s="141" t="s">
        <v>267</v>
      </c>
      <c r="D56" s="141" t="s">
        <v>6</v>
      </c>
      <c r="E56" s="141"/>
      <c r="F56" s="141"/>
      <c r="G56" s="141"/>
      <c r="H56" s="29">
        <v>0</v>
      </c>
      <c r="I56" s="145">
        <v>0</v>
      </c>
      <c r="J56" s="145">
        <v>0</v>
      </c>
      <c r="K56" s="145">
        <v>0</v>
      </c>
      <c r="L56" s="145">
        <v>0</v>
      </c>
      <c r="M56" s="145">
        <v>0</v>
      </c>
      <c r="N56" s="145">
        <v>0</v>
      </c>
      <c r="O56" s="142">
        <f t="shared" si="1"/>
        <v>0</v>
      </c>
      <c r="P56" s="143" t="s">
        <v>224</v>
      </c>
    </row>
    <row r="57" spans="1:16" ht="45" hidden="1" customHeight="1">
      <c r="A57" s="153" t="s">
        <v>225</v>
      </c>
      <c r="B57" s="39">
        <v>0</v>
      </c>
      <c r="C57" s="141" t="s">
        <v>267</v>
      </c>
      <c r="D57" s="141" t="s">
        <v>6</v>
      </c>
      <c r="E57" s="141"/>
      <c r="F57" s="141"/>
      <c r="G57" s="141"/>
      <c r="H57" s="29">
        <v>0</v>
      </c>
      <c r="I57" s="145">
        <v>0</v>
      </c>
      <c r="J57" s="145">
        <v>0</v>
      </c>
      <c r="K57" s="145">
        <v>0</v>
      </c>
      <c r="L57" s="145">
        <v>0</v>
      </c>
      <c r="M57" s="145">
        <v>0</v>
      </c>
      <c r="N57" s="145">
        <v>0</v>
      </c>
      <c r="O57" s="142">
        <f t="shared" si="1"/>
        <v>0</v>
      </c>
      <c r="P57" s="143" t="s">
        <v>226</v>
      </c>
    </row>
    <row r="58" spans="1:16" ht="45" hidden="1" customHeight="1">
      <c r="A58" s="153" t="s">
        <v>227</v>
      </c>
      <c r="B58" s="39">
        <v>2</v>
      </c>
      <c r="C58" s="141" t="s">
        <v>51</v>
      </c>
      <c r="D58" s="141" t="s">
        <v>6</v>
      </c>
      <c r="E58" s="141"/>
      <c r="F58" s="141"/>
      <c r="G58" s="141"/>
      <c r="H58" s="29" t="s">
        <v>118</v>
      </c>
      <c r="I58" s="29" t="s">
        <v>118</v>
      </c>
      <c r="J58" s="29" t="s">
        <v>118</v>
      </c>
      <c r="K58" s="29" t="s">
        <v>118</v>
      </c>
      <c r="L58" s="29" t="s">
        <v>118</v>
      </c>
      <c r="M58" s="29" t="s">
        <v>118</v>
      </c>
      <c r="N58" s="29" t="s">
        <v>118</v>
      </c>
      <c r="O58" s="142" t="e">
        <f t="shared" si="1"/>
        <v>#DIV/0!</v>
      </c>
      <c r="P58" s="143" t="s">
        <v>228</v>
      </c>
    </row>
    <row r="59" spans="1:16" ht="45" customHeight="1">
      <c r="A59" s="153" t="s">
        <v>273</v>
      </c>
      <c r="B59" s="39">
        <v>0</v>
      </c>
      <c r="C59" s="141" t="s">
        <v>210</v>
      </c>
      <c r="D59" s="141"/>
      <c r="E59" s="141"/>
      <c r="F59" s="141"/>
      <c r="G59" s="42"/>
      <c r="H59" s="139">
        <v>0</v>
      </c>
      <c r="I59" s="139">
        <v>0</v>
      </c>
      <c r="J59" s="139">
        <v>0</v>
      </c>
      <c r="K59" s="139">
        <v>0</v>
      </c>
      <c r="L59" s="139">
        <v>0</v>
      </c>
      <c r="M59" s="139">
        <v>0</v>
      </c>
      <c r="N59" s="139">
        <v>0</v>
      </c>
      <c r="O59" s="142">
        <f t="shared" si="1"/>
        <v>0</v>
      </c>
      <c r="P59" s="138"/>
    </row>
    <row r="60" spans="1:16" ht="45" customHeight="1">
      <c r="A60" s="153" t="s">
        <v>274</v>
      </c>
      <c r="B60" s="39">
        <v>0</v>
      </c>
      <c r="C60" s="141" t="s">
        <v>210</v>
      </c>
      <c r="D60" s="141"/>
      <c r="E60" s="141"/>
      <c r="F60" s="141"/>
      <c r="G60" s="42"/>
      <c r="H60" s="139" t="s">
        <v>118</v>
      </c>
      <c r="I60" s="139" t="s">
        <v>118</v>
      </c>
      <c r="J60" s="139" t="s">
        <v>118</v>
      </c>
      <c r="K60" s="139" t="s">
        <v>118</v>
      </c>
      <c r="L60" s="139" t="s">
        <v>118</v>
      </c>
      <c r="M60" s="139" t="s">
        <v>118</v>
      </c>
      <c r="N60" s="139" t="s">
        <v>118</v>
      </c>
      <c r="O60" s="142" t="e">
        <f t="shared" si="1"/>
        <v>#DIV/0!</v>
      </c>
      <c r="P60" s="138"/>
    </row>
    <row r="61" spans="1:16" ht="45" customHeight="1">
      <c r="A61" s="28" t="s">
        <v>275</v>
      </c>
      <c r="B61" s="39">
        <v>0</v>
      </c>
      <c r="C61" s="141" t="s">
        <v>210</v>
      </c>
      <c r="D61" s="35"/>
      <c r="E61" s="35"/>
      <c r="F61" s="35"/>
      <c r="G61" s="43"/>
      <c r="H61" s="139"/>
      <c r="I61" s="139"/>
      <c r="J61" s="139"/>
      <c r="K61" s="139"/>
      <c r="L61" s="139"/>
      <c r="M61" s="139"/>
      <c r="N61" s="139"/>
      <c r="O61" s="142" t="e">
        <f t="shared" si="1"/>
        <v>#DIV/0!</v>
      </c>
      <c r="P61" s="138" t="s">
        <v>276</v>
      </c>
    </row>
    <row r="62" spans="1:16" ht="45" customHeight="1">
      <c r="A62" s="140" t="s">
        <v>277</v>
      </c>
      <c r="B62" s="39">
        <v>0</v>
      </c>
      <c r="C62" s="141" t="s">
        <v>210</v>
      </c>
      <c r="D62" s="21"/>
      <c r="E62" s="21"/>
      <c r="F62" s="21"/>
      <c r="G62" s="44"/>
      <c r="H62" s="139">
        <v>0</v>
      </c>
      <c r="I62" s="139">
        <v>0</v>
      </c>
      <c r="J62" s="139">
        <v>0</v>
      </c>
      <c r="K62" s="139">
        <v>0</v>
      </c>
      <c r="L62" s="139">
        <v>0</v>
      </c>
      <c r="M62" s="139">
        <v>0</v>
      </c>
      <c r="N62" s="139">
        <v>0</v>
      </c>
      <c r="O62" s="142">
        <f t="shared" si="1"/>
        <v>0</v>
      </c>
      <c r="P62" s="24" t="s">
        <v>278</v>
      </c>
    </row>
    <row r="63" spans="1:16" ht="45" customHeight="1">
      <c r="A63" s="140" t="s">
        <v>279</v>
      </c>
      <c r="B63" s="39">
        <v>0</v>
      </c>
      <c r="C63" s="141" t="s">
        <v>210</v>
      </c>
      <c r="D63" s="21" t="s">
        <v>6</v>
      </c>
      <c r="E63" s="21"/>
      <c r="F63" s="21"/>
      <c r="G63" s="44"/>
      <c r="H63" s="139"/>
      <c r="I63" s="139"/>
      <c r="J63" s="139"/>
      <c r="K63" s="139"/>
      <c r="L63" s="139"/>
      <c r="M63" s="139"/>
      <c r="N63" s="139"/>
      <c r="O63" s="142" t="e">
        <f t="shared" si="1"/>
        <v>#DIV/0!</v>
      </c>
      <c r="P63" s="24"/>
    </row>
    <row r="64" spans="1:16" ht="45" customHeight="1">
      <c r="A64" s="140" t="s">
        <v>280</v>
      </c>
      <c r="B64" s="39">
        <v>0</v>
      </c>
      <c r="C64" s="141" t="s">
        <v>210</v>
      </c>
      <c r="D64" s="21"/>
      <c r="E64" s="21"/>
      <c r="F64" s="21"/>
      <c r="G64" s="44"/>
      <c r="H64" s="139"/>
      <c r="I64" s="139"/>
      <c r="J64" s="139"/>
      <c r="K64" s="139"/>
      <c r="L64" s="139"/>
      <c r="M64" s="139"/>
      <c r="N64" s="139"/>
      <c r="O64" s="142" t="e">
        <f t="shared" si="1"/>
        <v>#DIV/0!</v>
      </c>
      <c r="P64" s="24"/>
    </row>
    <row r="65" spans="1:16" ht="45" hidden="1" customHeight="1">
      <c r="A65" s="140" t="s">
        <v>281</v>
      </c>
      <c r="B65" s="39">
        <v>0</v>
      </c>
      <c r="C65" s="21" t="s">
        <v>267</v>
      </c>
      <c r="D65" s="21" t="s">
        <v>6</v>
      </c>
      <c r="E65" s="21"/>
      <c r="F65" s="21" t="s">
        <v>39</v>
      </c>
      <c r="G65" s="21"/>
      <c r="H65" s="37">
        <v>0</v>
      </c>
      <c r="I65" s="37">
        <v>0</v>
      </c>
      <c r="J65" s="37">
        <v>0</v>
      </c>
      <c r="K65" s="37">
        <v>0</v>
      </c>
      <c r="L65" s="37">
        <v>0</v>
      </c>
      <c r="M65" s="37">
        <v>0</v>
      </c>
      <c r="N65" s="37">
        <v>0</v>
      </c>
      <c r="O65" s="142">
        <f t="shared" si="1"/>
        <v>0</v>
      </c>
      <c r="P65" s="19" t="s">
        <v>282</v>
      </c>
    </row>
    <row r="66" spans="1:16" ht="45" customHeight="1">
      <c r="A66" s="140" t="s">
        <v>283</v>
      </c>
      <c r="B66" s="39">
        <v>0</v>
      </c>
      <c r="C66" s="21" t="s">
        <v>210</v>
      </c>
      <c r="D66" s="21" t="s">
        <v>6</v>
      </c>
      <c r="E66" s="21"/>
      <c r="F66" s="21"/>
      <c r="G66" s="21"/>
      <c r="H66" s="22"/>
      <c r="I66" s="22"/>
      <c r="J66" s="22"/>
      <c r="K66" s="22"/>
      <c r="L66" s="22"/>
      <c r="M66" s="22"/>
      <c r="N66" s="22"/>
      <c r="O66" s="142" t="e">
        <f t="shared" si="1"/>
        <v>#DIV/0!</v>
      </c>
      <c r="P66" s="24"/>
    </row>
    <row r="67" spans="1:16" ht="45" hidden="1" customHeight="1">
      <c r="A67" s="140" t="s">
        <v>284</v>
      </c>
      <c r="B67" s="39">
        <v>0</v>
      </c>
      <c r="C67" s="21" t="s">
        <v>267</v>
      </c>
      <c r="D67" s="21" t="s">
        <v>6</v>
      </c>
      <c r="E67" s="21"/>
      <c r="F67" s="21"/>
      <c r="G67" s="21"/>
      <c r="H67" s="22"/>
      <c r="I67" s="22"/>
      <c r="J67" s="22"/>
      <c r="K67" s="22"/>
      <c r="L67" s="22"/>
      <c r="M67" s="22"/>
      <c r="N67" s="22"/>
      <c r="O67" s="142" t="e">
        <f t="shared" si="1"/>
        <v>#DIV/0!</v>
      </c>
      <c r="P67" s="24" t="s">
        <v>285</v>
      </c>
    </row>
    <row r="68" spans="1:16" ht="45" hidden="1" customHeight="1">
      <c r="A68" s="140"/>
      <c r="B68" s="39">
        <v>0</v>
      </c>
      <c r="C68" s="21"/>
      <c r="D68" s="21"/>
      <c r="E68" s="21"/>
      <c r="F68" s="21"/>
      <c r="G68" s="21"/>
      <c r="H68" s="22">
        <v>0</v>
      </c>
      <c r="I68" s="22">
        <v>0</v>
      </c>
      <c r="J68" s="22">
        <v>0</v>
      </c>
      <c r="K68" s="22">
        <v>0</v>
      </c>
      <c r="L68" s="22">
        <v>0</v>
      </c>
      <c r="M68" s="22">
        <v>0</v>
      </c>
      <c r="N68" s="22">
        <v>0</v>
      </c>
      <c r="O68" s="142">
        <f t="shared" si="1"/>
        <v>0</v>
      </c>
      <c r="P68" s="24"/>
    </row>
    <row r="69" spans="1:16" ht="45" hidden="1" customHeight="1">
      <c r="A69" s="140"/>
      <c r="B69" s="39">
        <v>0</v>
      </c>
      <c r="C69" s="21"/>
      <c r="D69" s="21"/>
      <c r="E69" s="21"/>
      <c r="F69" s="21"/>
      <c r="G69" s="21"/>
      <c r="H69" s="22"/>
      <c r="I69" s="22"/>
      <c r="J69" s="22"/>
      <c r="K69" s="22"/>
      <c r="L69" s="22"/>
      <c r="M69" s="22"/>
      <c r="N69" s="22"/>
      <c r="O69" s="142" t="e">
        <f t="shared" si="1"/>
        <v>#DIV/0!</v>
      </c>
      <c r="P69" s="24"/>
    </row>
    <row r="70" spans="1:16" ht="45" hidden="1" customHeight="1">
      <c r="A70" s="140"/>
      <c r="B70" s="39">
        <v>0</v>
      </c>
      <c r="C70" s="21"/>
      <c r="D70" s="21"/>
      <c r="E70" s="21"/>
      <c r="F70" s="21"/>
      <c r="G70" s="21"/>
      <c r="H70" s="22"/>
      <c r="I70" s="22"/>
      <c r="J70" s="22"/>
      <c r="K70" s="22"/>
      <c r="L70" s="22"/>
      <c r="M70" s="22"/>
      <c r="N70" s="22"/>
      <c r="O70" s="142" t="e">
        <f t="shared" si="1"/>
        <v>#DIV/0!</v>
      </c>
      <c r="P70" s="24"/>
    </row>
    <row r="71" spans="1:16" ht="45" hidden="1" customHeight="1">
      <c r="A71" s="140"/>
      <c r="B71" s="39">
        <v>0</v>
      </c>
      <c r="C71" s="21"/>
      <c r="D71" s="21"/>
      <c r="E71" s="21"/>
      <c r="F71" s="21"/>
      <c r="G71" s="21"/>
      <c r="H71" s="22">
        <v>0</v>
      </c>
      <c r="I71" s="22">
        <v>0</v>
      </c>
      <c r="J71" s="22">
        <v>0</v>
      </c>
      <c r="K71" s="22">
        <v>0</v>
      </c>
      <c r="L71" s="22">
        <v>0</v>
      </c>
      <c r="M71" s="22">
        <v>0</v>
      </c>
      <c r="N71" s="22">
        <v>0</v>
      </c>
      <c r="O71" s="142">
        <f t="shared" si="1"/>
        <v>0</v>
      </c>
      <c r="P71" s="24"/>
    </row>
    <row r="72" spans="1:16" ht="45" hidden="1" customHeight="1">
      <c r="A72" s="140"/>
      <c r="B72" s="39">
        <v>0</v>
      </c>
      <c r="C72" s="21"/>
      <c r="D72" s="21"/>
      <c r="E72" s="21"/>
      <c r="F72" s="21"/>
      <c r="G72" s="21"/>
      <c r="H72" s="22"/>
      <c r="I72" s="22"/>
      <c r="J72" s="22"/>
      <c r="K72" s="22"/>
      <c r="L72" s="22"/>
      <c r="M72" s="22"/>
      <c r="N72" s="22"/>
      <c r="O72" s="142" t="e">
        <f t="shared" si="1"/>
        <v>#DIV/0!</v>
      </c>
      <c r="P72" s="24"/>
    </row>
    <row r="73" spans="1:16" ht="45" hidden="1" customHeight="1">
      <c r="A73" s="140"/>
      <c r="B73" s="39">
        <v>0</v>
      </c>
      <c r="C73" s="21"/>
      <c r="D73" s="21"/>
      <c r="E73" s="21"/>
      <c r="F73" s="21"/>
      <c r="G73" s="21"/>
      <c r="H73" s="22"/>
      <c r="I73" s="22"/>
      <c r="J73" s="22"/>
      <c r="K73" s="22"/>
      <c r="L73" s="22"/>
      <c r="M73" s="22"/>
      <c r="N73" s="22"/>
      <c r="O73" s="142" t="e">
        <f t="shared" si="1"/>
        <v>#DIV/0!</v>
      </c>
      <c r="P73" s="24"/>
    </row>
    <row r="74" spans="1:16" ht="45" hidden="1" customHeight="1">
      <c r="A74" s="140"/>
      <c r="B74" s="39">
        <v>0</v>
      </c>
      <c r="C74" s="21"/>
      <c r="D74" s="21"/>
      <c r="E74" s="21"/>
      <c r="F74" s="21"/>
      <c r="G74" s="21"/>
      <c r="H74" s="22">
        <v>0</v>
      </c>
      <c r="I74" s="22">
        <v>0</v>
      </c>
      <c r="J74" s="22">
        <v>0</v>
      </c>
      <c r="K74" s="22">
        <v>0</v>
      </c>
      <c r="L74" s="22">
        <v>0</v>
      </c>
      <c r="M74" s="22">
        <v>0</v>
      </c>
      <c r="N74" s="22">
        <v>0</v>
      </c>
      <c r="O74" s="142">
        <f t="shared" si="1"/>
        <v>0</v>
      </c>
      <c r="P74" s="24"/>
    </row>
    <row r="75" spans="1:16" ht="45" hidden="1" customHeight="1">
      <c r="A75" s="140"/>
      <c r="B75" s="39">
        <v>0</v>
      </c>
      <c r="C75" s="21"/>
      <c r="D75" s="21"/>
      <c r="E75" s="21"/>
      <c r="F75" s="21"/>
      <c r="G75" s="21"/>
      <c r="H75" s="22"/>
      <c r="I75" s="22"/>
      <c r="J75" s="22"/>
      <c r="K75" s="22"/>
      <c r="L75" s="22"/>
      <c r="M75" s="22"/>
      <c r="N75" s="22"/>
      <c r="O75" s="142" t="e">
        <f t="shared" si="1"/>
        <v>#DIV/0!</v>
      </c>
      <c r="P75" s="24"/>
    </row>
    <row r="76" spans="1:16" ht="45" hidden="1" customHeight="1">
      <c r="A76" s="140"/>
      <c r="B76" s="39">
        <v>0</v>
      </c>
      <c r="C76" s="21"/>
      <c r="D76" s="21"/>
      <c r="E76" s="21"/>
      <c r="F76" s="21"/>
      <c r="G76" s="21"/>
      <c r="H76" s="22"/>
      <c r="I76" s="22"/>
      <c r="J76" s="22"/>
      <c r="K76" s="22"/>
      <c r="L76" s="22"/>
      <c r="M76" s="22"/>
      <c r="N76" s="22"/>
      <c r="O76" s="142" t="e">
        <f t="shared" si="1"/>
        <v>#DIV/0!</v>
      </c>
      <c r="P76" s="24"/>
    </row>
    <row r="77" spans="1:16" ht="45" hidden="1" customHeight="1">
      <c r="A77" s="140"/>
      <c r="B77" s="39">
        <v>0</v>
      </c>
      <c r="C77" s="21"/>
      <c r="D77" s="21"/>
      <c r="E77" s="21"/>
      <c r="F77" s="21"/>
      <c r="G77" s="21"/>
      <c r="H77" s="22">
        <v>0</v>
      </c>
      <c r="I77" s="22">
        <v>0</v>
      </c>
      <c r="J77" s="22">
        <v>0</v>
      </c>
      <c r="K77" s="22">
        <v>0</v>
      </c>
      <c r="L77" s="22">
        <v>0</v>
      </c>
      <c r="M77" s="22">
        <v>0</v>
      </c>
      <c r="N77" s="22">
        <v>0</v>
      </c>
      <c r="O77" s="142">
        <f t="shared" si="1"/>
        <v>0</v>
      </c>
      <c r="P77" s="24"/>
    </row>
    <row r="78" spans="1:16" ht="45" hidden="1" customHeight="1">
      <c r="A78" s="140"/>
      <c r="B78" s="39">
        <v>0</v>
      </c>
      <c r="C78" s="21"/>
      <c r="D78" s="21"/>
      <c r="E78" s="21"/>
      <c r="F78" s="21"/>
      <c r="G78" s="21"/>
      <c r="H78" s="22" t="s">
        <v>118</v>
      </c>
      <c r="I78" s="22"/>
      <c r="J78" s="22"/>
      <c r="K78" s="22"/>
      <c r="L78" s="22"/>
      <c r="M78" s="22"/>
      <c r="N78" s="22"/>
      <c r="O78" s="142" t="e">
        <f t="shared" si="1"/>
        <v>#DIV/0!</v>
      </c>
      <c r="P78" s="24"/>
    </row>
    <row r="79" spans="1:16" ht="45" hidden="1" customHeight="1">
      <c r="A79" s="140"/>
      <c r="B79" s="39">
        <v>0</v>
      </c>
      <c r="C79" s="21"/>
      <c r="D79" s="21"/>
      <c r="E79" s="21"/>
      <c r="F79" s="21"/>
      <c r="G79" s="21"/>
      <c r="H79" s="22"/>
      <c r="I79" s="22"/>
      <c r="J79" s="22"/>
      <c r="K79" s="22"/>
      <c r="L79" s="22"/>
      <c r="M79" s="22"/>
      <c r="N79" s="22"/>
      <c r="O79" s="142" t="e">
        <f t="shared" si="1"/>
        <v>#DIV/0!</v>
      </c>
      <c r="P79" s="24"/>
    </row>
    <row r="80" spans="1:16" ht="45" hidden="1" customHeight="1">
      <c r="A80" s="140"/>
      <c r="B80" s="39">
        <v>0</v>
      </c>
      <c r="C80" s="21"/>
      <c r="D80" s="21"/>
      <c r="E80" s="21"/>
      <c r="F80" s="21"/>
      <c r="G80" s="21"/>
      <c r="H80" s="22">
        <v>0</v>
      </c>
      <c r="I80" s="22">
        <v>0</v>
      </c>
      <c r="J80" s="22">
        <v>0</v>
      </c>
      <c r="K80" s="22">
        <v>0</v>
      </c>
      <c r="L80" s="22">
        <v>0</v>
      </c>
      <c r="M80" s="22">
        <v>0</v>
      </c>
      <c r="N80" s="22">
        <v>0</v>
      </c>
      <c r="O80" s="23">
        <f t="shared" ref="O80" si="2">AVERAGE(H80:N82)</f>
        <v>0</v>
      </c>
      <c r="P80" s="24"/>
    </row>
    <row r="81" spans="1:16" ht="45" hidden="1" customHeight="1">
      <c r="A81" s="140"/>
      <c r="B81" s="39">
        <v>0</v>
      </c>
      <c r="C81" s="21"/>
      <c r="D81" s="21"/>
      <c r="E81" s="21"/>
      <c r="F81" s="21"/>
      <c r="G81" s="21"/>
      <c r="H81" s="22">
        <v>0</v>
      </c>
      <c r="I81" s="22">
        <v>0</v>
      </c>
      <c r="J81" s="22">
        <v>0</v>
      </c>
      <c r="K81" s="22">
        <v>0</v>
      </c>
      <c r="L81" s="22">
        <v>0</v>
      </c>
      <c r="M81" s="22">
        <v>0</v>
      </c>
      <c r="N81" s="22">
        <v>0</v>
      </c>
      <c r="O81" s="23">
        <f t="shared" ref="O81:O142" si="3">AVERAGE(H81:N83)</f>
        <v>0</v>
      </c>
      <c r="P81" s="24"/>
    </row>
    <row r="82" spans="1:16" ht="45" hidden="1"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hidden="1"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si="3"/>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3"/>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3"/>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3"/>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3"/>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3"/>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3"/>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3"/>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3"/>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3"/>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3"/>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3"/>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3"/>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3"/>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3"/>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3"/>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3"/>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3"/>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3"/>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3"/>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3"/>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3"/>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3"/>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3"/>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3"/>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3"/>
        <v>0</v>
      </c>
      <c r="P137" s="24"/>
    </row>
    <row r="138" spans="1:16" ht="45" hidden="1" customHeight="1">
      <c r="A138" s="152"/>
      <c r="B138" s="39">
        <v>0</v>
      </c>
      <c r="C138" s="25"/>
      <c r="D138" s="25"/>
      <c r="E138" s="25"/>
      <c r="F138" s="25"/>
      <c r="G138" s="25"/>
      <c r="H138" s="36">
        <v>0</v>
      </c>
      <c r="I138" s="37">
        <v>0</v>
      </c>
      <c r="J138" s="37">
        <v>0</v>
      </c>
      <c r="K138" s="37">
        <v>0</v>
      </c>
      <c r="L138" s="37">
        <v>0</v>
      </c>
      <c r="M138" s="37">
        <v>0</v>
      </c>
      <c r="N138" s="37">
        <v>0</v>
      </c>
      <c r="O138" s="38">
        <f t="shared" si="3"/>
        <v>0</v>
      </c>
      <c r="P138" s="19"/>
    </row>
    <row r="139" spans="1:16" ht="45" hidden="1" customHeight="1">
      <c r="A139" s="153"/>
      <c r="B139" s="39">
        <v>0</v>
      </c>
      <c r="C139" s="21"/>
      <c r="D139" s="21"/>
      <c r="E139" s="21"/>
      <c r="F139" s="21"/>
      <c r="G139" s="21"/>
      <c r="H139" s="32">
        <v>0</v>
      </c>
      <c r="I139" s="22">
        <v>0</v>
      </c>
      <c r="J139" s="22">
        <v>0</v>
      </c>
      <c r="K139" s="22">
        <v>0</v>
      </c>
      <c r="L139" s="22">
        <v>0</v>
      </c>
      <c r="M139" s="22">
        <v>0</v>
      </c>
      <c r="N139" s="22">
        <v>0</v>
      </c>
      <c r="O139" s="23">
        <f t="shared" si="3"/>
        <v>0</v>
      </c>
      <c r="P139" s="24"/>
    </row>
    <row r="140" spans="1:16" ht="45" hidden="1" customHeight="1">
      <c r="A140" s="153"/>
      <c r="B140" s="39">
        <v>0</v>
      </c>
      <c r="C140" s="21"/>
      <c r="D140" s="21"/>
      <c r="E140" s="21"/>
      <c r="F140" s="21"/>
      <c r="G140" s="21"/>
      <c r="H140" s="32">
        <v>0</v>
      </c>
      <c r="I140" s="22">
        <v>0</v>
      </c>
      <c r="J140" s="22">
        <v>0</v>
      </c>
      <c r="K140" s="22">
        <v>0</v>
      </c>
      <c r="L140" s="22">
        <v>0</v>
      </c>
      <c r="M140" s="22">
        <v>0</v>
      </c>
      <c r="N140" s="22">
        <v>0</v>
      </c>
      <c r="O140" s="23">
        <f t="shared" si="3"/>
        <v>0.23809523809523808</v>
      </c>
      <c r="P140" s="24"/>
    </row>
    <row r="141" spans="1:16" ht="45" hidden="1" customHeight="1">
      <c r="A141" s="153"/>
      <c r="B141" s="39">
        <v>0</v>
      </c>
      <c r="C141" s="21"/>
      <c r="D141" s="21"/>
      <c r="E141" s="21"/>
      <c r="F141" s="21"/>
      <c r="G141" s="21"/>
      <c r="H141" s="32">
        <v>0</v>
      </c>
      <c r="I141" s="22">
        <v>0</v>
      </c>
      <c r="J141" s="22">
        <v>0</v>
      </c>
      <c r="K141" s="22">
        <v>0</v>
      </c>
      <c r="L141" s="22">
        <v>0</v>
      </c>
      <c r="M141" s="22">
        <v>0</v>
      </c>
      <c r="N141" s="22">
        <v>0</v>
      </c>
      <c r="O141" s="23">
        <f t="shared" si="3"/>
        <v>0.35714285714285715</v>
      </c>
      <c r="P141" s="24"/>
    </row>
    <row r="142" spans="1:16" ht="45" hidden="1" customHeight="1">
      <c r="A142" s="153"/>
      <c r="B142" s="39">
        <v>5</v>
      </c>
      <c r="C142" s="21"/>
      <c r="D142" s="21"/>
      <c r="E142" s="21"/>
      <c r="F142" s="21"/>
      <c r="G142" s="21"/>
      <c r="H142" s="32">
        <v>0</v>
      </c>
      <c r="I142" s="22">
        <v>0</v>
      </c>
      <c r="J142" s="22">
        <v>0</v>
      </c>
      <c r="K142" s="22">
        <v>0</v>
      </c>
      <c r="L142" s="22">
        <v>0</v>
      </c>
      <c r="M142" s="22">
        <v>0</v>
      </c>
      <c r="N142" s="22">
        <v>5</v>
      </c>
      <c r="O142" s="23">
        <f t="shared" si="3"/>
        <v>0.7142857142857143</v>
      </c>
      <c r="P142" s="24"/>
    </row>
  </sheetData>
  <autoFilter ref="A2:P142" xr:uid="{C4E090FE-E85A-46BE-9ADE-C9CC1CB23DEA}">
    <filterColumn colId="2">
      <filters>
        <filter val="Audrey"/>
      </filters>
    </filterColumn>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88">
      <colorScale>
        <cfvo type="min"/>
        <cfvo type="percentile" val="50"/>
        <cfvo type="max"/>
        <color rgb="FF63BE7B"/>
        <color rgb="FFFFEB84"/>
        <color rgb="FFF8696B"/>
      </colorScale>
    </cfRule>
  </conditionalFormatting>
  <dataValidations count="1">
    <dataValidation allowBlank="1" showInputMessage="1" showErrorMessage="1" sqref="G3:G142" xr:uid="{D2054366-346B-4988-8604-0F1CAF635015}"/>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C9FA1BA-1106-4186-AD10-84027C925C15}">
          <x14:formula1>
            <xm:f>'Guide suivi GDP '!$E$14:$E$19</xm:f>
          </x14:formula1>
          <xm:sqref>F3:F142</xm:sqref>
        </x14:dataValidation>
        <x14:dataValidation type="list" allowBlank="1" showInputMessage="1" showErrorMessage="1" xr:uid="{611AA471-C6EE-4E98-8302-13EBD95D72BA}">
          <x14:formula1>
            <xm:f>'Guide suivi GDP '!$E$20:$E$24</xm:f>
          </x14:formula1>
          <xm:sqref>E3:E142</xm:sqref>
        </x14:dataValidation>
        <x14:dataValidation type="list" allowBlank="1" showInputMessage="1" showErrorMessage="1" xr:uid="{89140680-7484-4C91-A64F-37634161BEFF}">
          <x14:formula1>
            <xm:f>'Guide suivi GDP '!$E$3:$E$8</xm:f>
          </x14:formula1>
          <xm:sqref>D3:D142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430E-5682-4111-8BB3-C39E478591AF}">
  <sheetPr filterMode="1">
    <tabColor rgb="FF92D050"/>
  </sheetPr>
  <dimension ref="A1:Q142"/>
  <sheetViews>
    <sheetView zoomScale="115" zoomScaleNormal="115" workbookViewId="0">
      <pane xSplit="1" ySplit="2" topLeftCell="B26" activePane="bottomRight" state="frozen"/>
      <selection pane="topRight"/>
      <selection pane="bottomLeft" activeCell="B1" sqref="B1"/>
      <selection pane="bottomRight" activeCell="A22" sqref="A22"/>
    </sheetView>
  </sheetViews>
  <sheetFormatPr baseColWidth="10" defaultColWidth="9.140625" defaultRowHeight="12.75" outlineLevelCol="1"/>
  <cols>
    <col min="1" max="1" width="24"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customWidth="1"/>
    <col min="9" max="9" width="12.7109375" style="26" customWidth="1"/>
    <col min="10" max="10" width="11" style="26" customWidth="1"/>
    <col min="11" max="11" width="8.85546875" style="26" customWidth="1"/>
    <col min="12" max="12" width="11.7109375" style="26" customWidth="1"/>
    <col min="13" max="13" width="12.28515625" style="26" customWidth="1"/>
    <col min="14" max="14" width="15.7109375" style="26" customWidth="1"/>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hidden="1"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102</v>
      </c>
    </row>
    <row r="4" spans="1:16"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146</v>
      </c>
    </row>
    <row r="5" spans="1:16" ht="45" hidden="1" customHeight="1">
      <c r="A5" s="153"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286</v>
      </c>
    </row>
    <row r="6" spans="1:16" ht="45" hidden="1" customHeight="1">
      <c r="A6" s="153" t="s">
        <v>170</v>
      </c>
      <c r="B6" s="39">
        <v>0</v>
      </c>
      <c r="C6" s="141" t="s">
        <v>210</v>
      </c>
      <c r="D6" s="141" t="s">
        <v>26</v>
      </c>
      <c r="E6" s="141"/>
      <c r="F6" s="141"/>
      <c r="G6" s="45">
        <v>45565</v>
      </c>
      <c r="H6" s="29">
        <v>0</v>
      </c>
      <c r="I6" s="145">
        <v>0</v>
      </c>
      <c r="J6" s="145">
        <v>0</v>
      </c>
      <c r="K6" s="145">
        <v>0</v>
      </c>
      <c r="L6" s="145">
        <v>0</v>
      </c>
      <c r="M6" s="145">
        <v>0</v>
      </c>
      <c r="N6" s="145">
        <v>0</v>
      </c>
      <c r="O6" s="142">
        <f t="shared" si="0"/>
        <v>0</v>
      </c>
      <c r="P6" s="143" t="s">
        <v>263</v>
      </c>
    </row>
    <row r="7" spans="1:16" ht="45" hidden="1"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231</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6</v>
      </c>
      <c r="E9" s="141" t="s">
        <v>44</v>
      </c>
      <c r="F9" s="141" t="s">
        <v>38</v>
      </c>
      <c r="G9" s="141"/>
      <c r="H9" s="29">
        <v>0</v>
      </c>
      <c r="I9" s="145">
        <v>0</v>
      </c>
      <c r="J9" s="145">
        <v>0</v>
      </c>
      <c r="K9" s="145">
        <v>0</v>
      </c>
      <c r="L9" s="145">
        <v>0</v>
      </c>
      <c r="M9" s="145">
        <v>0</v>
      </c>
      <c r="N9" s="145">
        <v>0</v>
      </c>
      <c r="O9" s="142">
        <f t="shared" si="0"/>
        <v>0</v>
      </c>
      <c r="P9" s="143" t="s">
        <v>233</v>
      </c>
    </row>
    <row r="10" spans="1:16" ht="45" hidden="1" customHeight="1">
      <c r="A10" s="153" t="s">
        <v>273</v>
      </c>
      <c r="B10" s="39">
        <v>0</v>
      </c>
      <c r="C10" s="141" t="s">
        <v>210</v>
      </c>
      <c r="D10" s="141"/>
      <c r="E10" s="141"/>
      <c r="F10" s="141"/>
      <c r="G10" s="141"/>
      <c r="H10" s="29">
        <v>0</v>
      </c>
      <c r="I10" s="145">
        <v>0</v>
      </c>
      <c r="J10" s="145">
        <v>0</v>
      </c>
      <c r="K10" s="145">
        <v>0</v>
      </c>
      <c r="L10" s="145">
        <v>0</v>
      </c>
      <c r="M10" s="145">
        <v>0</v>
      </c>
      <c r="N10" s="145">
        <v>0</v>
      </c>
      <c r="O10" s="142">
        <f t="shared" si="0"/>
        <v>0</v>
      </c>
      <c r="P10" s="143"/>
    </row>
    <row r="11" spans="1:16" ht="45" hidden="1" customHeight="1">
      <c r="A11" s="153" t="s">
        <v>275</v>
      </c>
      <c r="B11" s="39">
        <v>0</v>
      </c>
      <c r="C11" s="141" t="s">
        <v>210</v>
      </c>
      <c r="D11" s="141"/>
      <c r="E11" s="141"/>
      <c r="F11" s="141"/>
      <c r="G11" s="141"/>
      <c r="H11" s="29"/>
      <c r="I11" s="145"/>
      <c r="J11" s="145"/>
      <c r="K11" s="145"/>
      <c r="L11" s="145"/>
      <c r="M11" s="145"/>
      <c r="N11" s="145"/>
      <c r="O11" s="142" t="e">
        <f t="shared" si="0"/>
        <v>#DIV/0!</v>
      </c>
      <c r="P11" s="143" t="s">
        <v>276</v>
      </c>
    </row>
    <row r="12" spans="1:16" ht="45" hidden="1" customHeight="1">
      <c r="A12" s="153" t="s">
        <v>274</v>
      </c>
      <c r="B12" s="39">
        <v>0</v>
      </c>
      <c r="C12" s="141" t="s">
        <v>210</v>
      </c>
      <c r="D12" s="141"/>
      <c r="E12" s="141"/>
      <c r="F12" s="141"/>
      <c r="G12" s="141"/>
      <c r="H12" s="29" t="s">
        <v>118</v>
      </c>
      <c r="I12" s="145" t="s">
        <v>118</v>
      </c>
      <c r="J12" s="145" t="s">
        <v>118</v>
      </c>
      <c r="K12" s="145" t="s">
        <v>118</v>
      </c>
      <c r="L12" s="145" t="s">
        <v>118</v>
      </c>
      <c r="M12" s="145" t="s">
        <v>118</v>
      </c>
      <c r="N12" s="145" t="s">
        <v>118</v>
      </c>
      <c r="O12" s="142" t="e">
        <f t="shared" si="0"/>
        <v>#DIV/0!</v>
      </c>
      <c r="P12" s="143"/>
    </row>
    <row r="13" spans="1:16" ht="45" hidden="1" customHeight="1">
      <c r="A13" s="153" t="s">
        <v>280</v>
      </c>
      <c r="B13" s="39">
        <v>0</v>
      </c>
      <c r="C13" s="141" t="s">
        <v>210</v>
      </c>
      <c r="D13" s="21"/>
      <c r="E13" s="21"/>
      <c r="F13" s="21"/>
      <c r="G13" s="21"/>
      <c r="H13" s="29"/>
      <c r="I13" s="145"/>
      <c r="J13" s="145"/>
      <c r="K13" s="145"/>
      <c r="L13" s="145"/>
      <c r="M13" s="145"/>
      <c r="N13" s="145"/>
      <c r="O13" s="142" t="e">
        <f t="shared" si="0"/>
        <v>#DIV/0!</v>
      </c>
      <c r="P13" s="46"/>
    </row>
    <row r="14" spans="1:16" ht="45" hidden="1" customHeight="1">
      <c r="A14" s="153" t="s">
        <v>277</v>
      </c>
      <c r="B14" s="39">
        <v>0</v>
      </c>
      <c r="C14" s="141" t="s">
        <v>210</v>
      </c>
      <c r="D14" s="21"/>
      <c r="E14" s="21"/>
      <c r="F14" s="21"/>
      <c r="G14" s="21"/>
      <c r="H14" s="29">
        <v>0</v>
      </c>
      <c r="I14" s="145">
        <v>0</v>
      </c>
      <c r="J14" s="145">
        <v>0</v>
      </c>
      <c r="K14" s="145">
        <v>0</v>
      </c>
      <c r="L14" s="145">
        <v>0</v>
      </c>
      <c r="M14" s="145">
        <v>0</v>
      </c>
      <c r="N14" s="145">
        <v>0</v>
      </c>
      <c r="O14" s="142">
        <f t="shared" si="0"/>
        <v>0</v>
      </c>
      <c r="P14" s="46" t="s">
        <v>287</v>
      </c>
    </row>
    <row r="15" spans="1:16" ht="45" hidden="1" customHeight="1">
      <c r="A15" s="153" t="s">
        <v>279</v>
      </c>
      <c r="B15" s="39">
        <v>0</v>
      </c>
      <c r="C15" s="141" t="s">
        <v>210</v>
      </c>
      <c r="D15" s="21" t="s">
        <v>6</v>
      </c>
      <c r="E15" s="21"/>
      <c r="F15" s="21"/>
      <c r="G15" s="21"/>
      <c r="H15" s="29"/>
      <c r="I15" s="145"/>
      <c r="J15" s="145"/>
      <c r="K15" s="145"/>
      <c r="L15" s="145"/>
      <c r="M15" s="145"/>
      <c r="N15" s="145"/>
      <c r="O15" s="142" t="e">
        <f t="shared" si="0"/>
        <v>#DIV/0!</v>
      </c>
      <c r="P15" s="46" t="s">
        <v>288</v>
      </c>
    </row>
    <row r="16" spans="1:16" ht="45" hidden="1" customHeight="1">
      <c r="A16" s="153" t="s">
        <v>125</v>
      </c>
      <c r="B16" s="39">
        <v>0</v>
      </c>
      <c r="C16" s="141" t="s">
        <v>123</v>
      </c>
      <c r="D16" s="141" t="s">
        <v>14</v>
      </c>
      <c r="E16" s="141" t="s">
        <v>44</v>
      </c>
      <c r="F16" s="141" t="s">
        <v>41</v>
      </c>
      <c r="G16" s="141"/>
      <c r="H16" s="29">
        <v>2</v>
      </c>
      <c r="I16" s="145">
        <v>5</v>
      </c>
      <c r="J16" s="145">
        <v>0</v>
      </c>
      <c r="K16" s="145">
        <v>4</v>
      </c>
      <c r="L16" s="145">
        <v>1</v>
      </c>
      <c r="M16" s="145">
        <v>1</v>
      </c>
      <c r="N16" s="145">
        <v>1</v>
      </c>
      <c r="O16" s="142">
        <f t="shared" si="0"/>
        <v>2</v>
      </c>
      <c r="P16" s="143" t="s">
        <v>289</v>
      </c>
    </row>
    <row r="17" spans="1:16" ht="45" hidden="1" customHeight="1">
      <c r="A17" s="153" t="s">
        <v>127</v>
      </c>
      <c r="B17" s="39">
        <v>0</v>
      </c>
      <c r="C17" s="141" t="s">
        <v>210</v>
      </c>
      <c r="D17" s="141" t="s">
        <v>26</v>
      </c>
      <c r="E17" s="141" t="s">
        <v>48</v>
      </c>
      <c r="F17" s="141"/>
      <c r="G17" s="141"/>
      <c r="H17" s="29">
        <v>1</v>
      </c>
      <c r="I17" s="145">
        <v>3</v>
      </c>
      <c r="J17" s="145">
        <v>3</v>
      </c>
      <c r="K17" s="145">
        <v>4</v>
      </c>
      <c r="L17" s="145">
        <v>3</v>
      </c>
      <c r="M17" s="145">
        <v>4</v>
      </c>
      <c r="N17" s="145">
        <v>1</v>
      </c>
      <c r="O17" s="142">
        <f t="shared" si="0"/>
        <v>2.7142857142857144</v>
      </c>
      <c r="P17" s="143" t="s">
        <v>290</v>
      </c>
    </row>
    <row r="18" spans="1:16" ht="45" hidden="1" customHeight="1">
      <c r="A18" s="153" t="s">
        <v>243</v>
      </c>
      <c r="B18" s="39">
        <v>0</v>
      </c>
      <c r="C18" s="141" t="s">
        <v>210</v>
      </c>
      <c r="D18" s="141" t="s">
        <v>26</v>
      </c>
      <c r="E18" s="141" t="s">
        <v>48</v>
      </c>
      <c r="F18" s="141"/>
      <c r="G18" s="141"/>
      <c r="H18" s="29">
        <v>5</v>
      </c>
      <c r="I18" s="145">
        <v>3</v>
      </c>
      <c r="J18" s="145">
        <v>0</v>
      </c>
      <c r="K18" s="145">
        <v>0</v>
      </c>
      <c r="L18" s="145">
        <v>0</v>
      </c>
      <c r="M18" s="145">
        <v>3</v>
      </c>
      <c r="N18" s="145">
        <v>0</v>
      </c>
      <c r="O18" s="142">
        <f t="shared" si="0"/>
        <v>1.5714285714285714</v>
      </c>
      <c r="P18" s="143" t="s">
        <v>291</v>
      </c>
    </row>
    <row r="19" spans="1:16" ht="45" hidden="1" customHeight="1">
      <c r="A19" s="41" t="s">
        <v>113</v>
      </c>
      <c r="B19" s="39">
        <v>0</v>
      </c>
      <c r="C19" s="141" t="s">
        <v>51</v>
      </c>
      <c r="D19" s="141" t="s">
        <v>6</v>
      </c>
      <c r="E19" s="141" t="s">
        <v>44</v>
      </c>
      <c r="F19" s="141" t="s">
        <v>39</v>
      </c>
      <c r="G19" s="141"/>
      <c r="H19" s="29">
        <v>0</v>
      </c>
      <c r="I19" s="145">
        <v>0</v>
      </c>
      <c r="J19" s="145">
        <v>0</v>
      </c>
      <c r="K19" s="145">
        <v>0</v>
      </c>
      <c r="L19" s="145">
        <v>0</v>
      </c>
      <c r="M19" s="145">
        <v>0</v>
      </c>
      <c r="N19" s="145">
        <v>0</v>
      </c>
      <c r="O19" s="142">
        <f t="shared" si="0"/>
        <v>0</v>
      </c>
      <c r="P19" s="143" t="s">
        <v>188</v>
      </c>
    </row>
    <row r="20" spans="1:16" ht="45" hidden="1" customHeight="1">
      <c r="A20" s="153" t="s">
        <v>213</v>
      </c>
      <c r="B20" s="39">
        <v>0</v>
      </c>
      <c r="C20" s="141" t="s">
        <v>210</v>
      </c>
      <c r="D20" s="141" t="s">
        <v>6</v>
      </c>
      <c r="E20" s="141"/>
      <c r="F20" s="141"/>
      <c r="G20" s="141"/>
      <c r="H20" s="29" t="s">
        <v>118</v>
      </c>
      <c r="I20" s="145" t="s">
        <v>118</v>
      </c>
      <c r="J20" s="145" t="s">
        <v>118</v>
      </c>
      <c r="K20" s="145" t="s">
        <v>118</v>
      </c>
      <c r="L20" s="145" t="s">
        <v>118</v>
      </c>
      <c r="M20" s="145" t="s">
        <v>118</v>
      </c>
      <c r="N20" s="145" t="s">
        <v>118</v>
      </c>
      <c r="O20" s="142" t="e">
        <f t="shared" si="0"/>
        <v>#DIV/0!</v>
      </c>
      <c r="P20" s="143" t="s">
        <v>214</v>
      </c>
    </row>
    <row r="21" spans="1:16" ht="45" hidden="1" customHeight="1">
      <c r="A21" s="153" t="s">
        <v>154</v>
      </c>
      <c r="B21" s="39">
        <v>0</v>
      </c>
      <c r="C21" s="141" t="s">
        <v>210</v>
      </c>
      <c r="D21" s="141" t="s">
        <v>26</v>
      </c>
      <c r="E21" s="141" t="s">
        <v>48</v>
      </c>
      <c r="F21" s="141"/>
      <c r="G21" s="141"/>
      <c r="H21" s="29">
        <v>0</v>
      </c>
      <c r="I21" s="145">
        <v>0</v>
      </c>
      <c r="J21" s="145">
        <v>0</v>
      </c>
      <c r="K21" s="145">
        <v>0</v>
      </c>
      <c r="L21" s="145">
        <v>0</v>
      </c>
      <c r="M21" s="145">
        <v>0</v>
      </c>
      <c r="N21" s="145">
        <v>0</v>
      </c>
      <c r="O21" s="142">
        <f t="shared" si="0"/>
        <v>0</v>
      </c>
      <c r="P21" s="143" t="s">
        <v>292</v>
      </c>
    </row>
    <row r="22" spans="1:16" ht="45" hidden="1" customHeight="1">
      <c r="A22" s="153" t="s">
        <v>284</v>
      </c>
      <c r="B22" s="39">
        <v>0</v>
      </c>
      <c r="C22" s="21" t="s">
        <v>51</v>
      </c>
      <c r="D22" s="21" t="s">
        <v>6</v>
      </c>
      <c r="E22" s="21"/>
      <c r="F22" s="21"/>
      <c r="G22" s="21"/>
      <c r="H22" s="48"/>
      <c r="I22" s="51"/>
      <c r="J22" s="51"/>
      <c r="K22" s="51"/>
      <c r="L22" s="51"/>
      <c r="M22" s="51"/>
      <c r="N22" s="51"/>
      <c r="O22" s="142" t="e">
        <f t="shared" si="0"/>
        <v>#DIV/0!</v>
      </c>
      <c r="P22" s="46" t="s">
        <v>285</v>
      </c>
    </row>
    <row r="23" spans="1:16" ht="45" hidden="1" customHeight="1">
      <c r="A23" s="153" t="s">
        <v>227</v>
      </c>
      <c r="B23" s="39">
        <v>2</v>
      </c>
      <c r="C23" s="141" t="s">
        <v>51</v>
      </c>
      <c r="D23" s="141" t="s">
        <v>6</v>
      </c>
      <c r="E23" s="141"/>
      <c r="F23" s="141"/>
      <c r="G23" s="141"/>
      <c r="H23" s="29" t="s">
        <v>118</v>
      </c>
      <c r="I23" s="145" t="s">
        <v>118</v>
      </c>
      <c r="J23" s="145" t="s">
        <v>118</v>
      </c>
      <c r="K23" s="145" t="s">
        <v>118</v>
      </c>
      <c r="L23" s="145" t="s">
        <v>118</v>
      </c>
      <c r="M23" s="145" t="s">
        <v>118</v>
      </c>
      <c r="N23" s="145" t="s">
        <v>118</v>
      </c>
      <c r="O23" s="142" t="e">
        <f t="shared" si="0"/>
        <v>#DIV/0!</v>
      </c>
      <c r="P23" s="143" t="s">
        <v>228</v>
      </c>
    </row>
    <row r="24" spans="1:16" ht="45" hidden="1" customHeight="1">
      <c r="A24" s="153" t="s">
        <v>180</v>
      </c>
      <c r="B24" s="39">
        <v>0</v>
      </c>
      <c r="C24" s="141" t="s">
        <v>174</v>
      </c>
      <c r="D24" s="141" t="s">
        <v>6</v>
      </c>
      <c r="E24" s="141"/>
      <c r="F24" s="141"/>
      <c r="G24" s="141"/>
      <c r="H24" s="29" t="s">
        <v>118</v>
      </c>
      <c r="I24" s="145" t="s">
        <v>118</v>
      </c>
      <c r="J24" s="145" t="s">
        <v>118</v>
      </c>
      <c r="K24" s="145" t="s">
        <v>118</v>
      </c>
      <c r="L24" s="145" t="s">
        <v>118</v>
      </c>
      <c r="M24" s="145" t="s">
        <v>118</v>
      </c>
      <c r="N24" s="145" t="s">
        <v>118</v>
      </c>
      <c r="O24" s="142" t="e">
        <f t="shared" si="0"/>
        <v>#DIV/0!</v>
      </c>
      <c r="P24" s="143" t="s">
        <v>269</v>
      </c>
    </row>
    <row r="25" spans="1:16" ht="45" hidden="1" customHeight="1">
      <c r="A25" s="40" t="s">
        <v>215</v>
      </c>
      <c r="B25" s="39">
        <v>0</v>
      </c>
      <c r="C25" s="141" t="s">
        <v>51</v>
      </c>
      <c r="D25" s="141" t="s">
        <v>6</v>
      </c>
      <c r="E25" s="141"/>
      <c r="F25" s="141"/>
      <c r="G25" s="141"/>
      <c r="H25" s="29">
        <v>0</v>
      </c>
      <c r="I25" s="145">
        <v>0</v>
      </c>
      <c r="J25" s="145">
        <v>0</v>
      </c>
      <c r="K25" s="145">
        <v>0</v>
      </c>
      <c r="L25" s="145">
        <v>0</v>
      </c>
      <c r="M25" s="145">
        <v>0</v>
      </c>
      <c r="N25" s="145">
        <v>0</v>
      </c>
      <c r="O25" s="142">
        <f t="shared" si="0"/>
        <v>0</v>
      </c>
      <c r="P25" s="143" t="s">
        <v>216</v>
      </c>
    </row>
    <row r="26" spans="1:16" ht="45" customHeight="1">
      <c r="A26" s="153" t="s">
        <v>156</v>
      </c>
      <c r="B26" s="39">
        <v>0</v>
      </c>
      <c r="C26" s="141" t="s">
        <v>150</v>
      </c>
      <c r="D26" s="141" t="s">
        <v>14</v>
      </c>
      <c r="E26" s="141" t="s">
        <v>44</v>
      </c>
      <c r="F26" s="141" t="s">
        <v>39</v>
      </c>
      <c r="G26" s="45">
        <v>45565</v>
      </c>
      <c r="H26" s="29">
        <v>2</v>
      </c>
      <c r="I26" s="145">
        <v>5</v>
      </c>
      <c r="J26" s="145">
        <v>4</v>
      </c>
      <c r="K26" s="145">
        <v>5</v>
      </c>
      <c r="L26" s="145">
        <v>2</v>
      </c>
      <c r="M26" s="145">
        <v>4</v>
      </c>
      <c r="N26" s="145">
        <v>3</v>
      </c>
      <c r="O26" s="142">
        <f t="shared" si="0"/>
        <v>3.5714285714285716</v>
      </c>
      <c r="P26" s="143" t="s">
        <v>293</v>
      </c>
    </row>
    <row r="27" spans="1:16" ht="45" hidden="1" customHeight="1">
      <c r="A27" s="153" t="s">
        <v>98</v>
      </c>
      <c r="B27" s="39">
        <v>0</v>
      </c>
      <c r="C27" s="141" t="s">
        <v>51</v>
      </c>
      <c r="D27" s="141" t="s">
        <v>26</v>
      </c>
      <c r="E27" s="141" t="s">
        <v>47</v>
      </c>
      <c r="F27" s="141" t="s">
        <v>39</v>
      </c>
      <c r="G27" s="141" t="s">
        <v>230</v>
      </c>
      <c r="H27" s="30">
        <v>2</v>
      </c>
      <c r="I27" s="139">
        <v>0</v>
      </c>
      <c r="J27" s="139">
        <v>0</v>
      </c>
      <c r="K27" s="139">
        <v>0</v>
      </c>
      <c r="L27" s="139">
        <v>0</v>
      </c>
      <c r="M27" s="139">
        <v>2</v>
      </c>
      <c r="N27" s="139">
        <v>1</v>
      </c>
      <c r="O27" s="142">
        <f t="shared" si="0"/>
        <v>0.7142857142857143</v>
      </c>
      <c r="P27" s="138" t="s">
        <v>99</v>
      </c>
    </row>
    <row r="28" spans="1:16" ht="45" hidden="1" customHeight="1">
      <c r="A28" s="153" t="s">
        <v>283</v>
      </c>
      <c r="B28" s="39">
        <v>0</v>
      </c>
      <c r="C28" s="21" t="s">
        <v>210</v>
      </c>
      <c r="D28" s="21" t="s">
        <v>6</v>
      </c>
      <c r="E28" s="21"/>
      <c r="F28" s="21"/>
      <c r="G28" s="21"/>
      <c r="H28" s="48"/>
      <c r="I28" s="51"/>
      <c r="J28" s="51"/>
      <c r="K28" s="51"/>
      <c r="L28" s="51"/>
      <c r="M28" s="51"/>
      <c r="N28" s="51"/>
      <c r="O28" s="142" t="e">
        <f t="shared" si="0"/>
        <v>#DIV/0!</v>
      </c>
      <c r="P28" s="46" t="s">
        <v>294</v>
      </c>
    </row>
    <row r="29" spans="1:16" ht="45" hidden="1" customHeight="1">
      <c r="A29" s="153" t="s">
        <v>103</v>
      </c>
      <c r="B29" s="39">
        <v>0</v>
      </c>
      <c r="C29" s="141" t="s">
        <v>51</v>
      </c>
      <c r="D29" s="141" t="s">
        <v>26</v>
      </c>
      <c r="E29" s="141" t="s">
        <v>48</v>
      </c>
      <c r="F29" s="141"/>
      <c r="G29" s="141"/>
      <c r="H29" s="29">
        <v>0</v>
      </c>
      <c r="I29" s="145" t="s">
        <v>104</v>
      </c>
      <c r="J29" s="145" t="s">
        <v>104</v>
      </c>
      <c r="K29" s="145" t="s">
        <v>104</v>
      </c>
      <c r="L29" s="145" t="s">
        <v>101</v>
      </c>
      <c r="M29" s="145" t="s">
        <v>101</v>
      </c>
      <c r="N29" s="145" t="s">
        <v>101</v>
      </c>
      <c r="O29" s="142">
        <f t="shared" si="0"/>
        <v>0</v>
      </c>
      <c r="P29" s="143" t="s">
        <v>186</v>
      </c>
    </row>
    <row r="30" spans="1:16" ht="45" hidden="1" customHeight="1">
      <c r="A30" s="153" t="s">
        <v>225</v>
      </c>
      <c r="B30" s="39">
        <v>0</v>
      </c>
      <c r="C30" s="141" t="s">
        <v>267</v>
      </c>
      <c r="D30" s="141" t="s">
        <v>6</v>
      </c>
      <c r="E30" s="141"/>
      <c r="F30" s="141"/>
      <c r="G30" s="141"/>
      <c r="H30" s="29">
        <v>0</v>
      </c>
      <c r="I30" s="145">
        <v>0</v>
      </c>
      <c r="J30" s="145">
        <v>0</v>
      </c>
      <c r="K30" s="145">
        <v>0</v>
      </c>
      <c r="L30" s="145">
        <v>0</v>
      </c>
      <c r="M30" s="145">
        <v>0</v>
      </c>
      <c r="N30" s="145">
        <v>0</v>
      </c>
      <c r="O30" s="142">
        <f t="shared" si="0"/>
        <v>0</v>
      </c>
      <c r="P30" s="143" t="s">
        <v>226</v>
      </c>
    </row>
    <row r="31" spans="1:16" ht="45" hidden="1" customHeight="1">
      <c r="A31" s="153" t="s">
        <v>132</v>
      </c>
      <c r="B31" s="39">
        <v>0</v>
      </c>
      <c r="C31" s="141" t="s">
        <v>123</v>
      </c>
      <c r="D31" s="141" t="s">
        <v>26</v>
      </c>
      <c r="E31" s="141" t="s">
        <v>48</v>
      </c>
      <c r="F31" s="141"/>
      <c r="G31" s="141"/>
      <c r="H31" s="29">
        <v>1</v>
      </c>
      <c r="I31" s="145">
        <v>2</v>
      </c>
      <c r="J31" s="145">
        <v>0</v>
      </c>
      <c r="K31" s="145">
        <v>0</v>
      </c>
      <c r="L31" s="145">
        <v>0</v>
      </c>
      <c r="M31" s="145">
        <v>0</v>
      </c>
      <c r="N31" s="145">
        <v>0</v>
      </c>
      <c r="O31" s="142">
        <f t="shared" si="0"/>
        <v>0.42857142857142855</v>
      </c>
      <c r="P31" s="143" t="s">
        <v>295</v>
      </c>
    </row>
    <row r="32" spans="1:16" ht="45" hidden="1" customHeight="1">
      <c r="A32" s="40" t="s">
        <v>147</v>
      </c>
      <c r="B32" s="39">
        <v>0</v>
      </c>
      <c r="C32" s="141" t="s">
        <v>123</v>
      </c>
      <c r="D32" s="141" t="s">
        <v>6</v>
      </c>
      <c r="E32" s="141"/>
      <c r="F32" s="141" t="s">
        <v>39</v>
      </c>
      <c r="G32" s="141"/>
      <c r="H32" s="29">
        <v>3</v>
      </c>
      <c r="I32" s="145">
        <v>0</v>
      </c>
      <c r="J32" s="145">
        <v>0</v>
      </c>
      <c r="K32" s="145">
        <v>0</v>
      </c>
      <c r="L32" s="145">
        <v>0</v>
      </c>
      <c r="M32" s="145">
        <v>0</v>
      </c>
      <c r="N32" s="145">
        <v>0</v>
      </c>
      <c r="O32" s="142">
        <f t="shared" si="0"/>
        <v>0.42857142857142855</v>
      </c>
      <c r="P32" s="143" t="s">
        <v>245</v>
      </c>
    </row>
    <row r="33" spans="1:17" ht="45" customHeight="1">
      <c r="A33" s="153" t="s">
        <v>165</v>
      </c>
      <c r="B33" s="39">
        <v>0</v>
      </c>
      <c r="C33" s="141" t="s">
        <v>150</v>
      </c>
      <c r="D33" s="141"/>
      <c r="E33" s="141"/>
      <c r="F33" s="141"/>
      <c r="G33" s="141"/>
      <c r="H33" s="29">
        <v>0</v>
      </c>
      <c r="I33" s="145">
        <v>0</v>
      </c>
      <c r="J33" s="145">
        <v>0</v>
      </c>
      <c r="K33" s="145">
        <v>0</v>
      </c>
      <c r="L33" s="145">
        <v>0</v>
      </c>
      <c r="M33" s="145">
        <v>0</v>
      </c>
      <c r="N33" s="145">
        <v>0</v>
      </c>
      <c r="O33" s="142">
        <f t="shared" si="0"/>
        <v>0</v>
      </c>
      <c r="P33" s="143" t="s">
        <v>107</v>
      </c>
    </row>
    <row r="34" spans="1:17" ht="45" hidden="1" customHeight="1">
      <c r="A34" s="40" t="s">
        <v>110</v>
      </c>
      <c r="B34" s="39">
        <v>0</v>
      </c>
      <c r="C34" s="141" t="s">
        <v>51</v>
      </c>
      <c r="D34" s="141" t="s">
        <v>6</v>
      </c>
      <c r="E34" s="141"/>
      <c r="F34" s="141"/>
      <c r="G34" s="141"/>
      <c r="H34" s="29" t="s">
        <v>101</v>
      </c>
      <c r="I34" s="145" t="s">
        <v>101</v>
      </c>
      <c r="J34" s="145" t="s">
        <v>101</v>
      </c>
      <c r="K34" s="145" t="s">
        <v>104</v>
      </c>
      <c r="L34" s="145" t="s">
        <v>101</v>
      </c>
      <c r="M34" s="145" t="s">
        <v>101</v>
      </c>
      <c r="N34" s="145" t="s">
        <v>101</v>
      </c>
      <c r="O34" s="142" t="e">
        <f t="shared" si="0"/>
        <v>#DIV/0!</v>
      </c>
      <c r="P34" s="143" t="s">
        <v>107</v>
      </c>
    </row>
    <row r="35" spans="1:17" ht="45" customHeight="1">
      <c r="A35" s="153" t="s">
        <v>162</v>
      </c>
      <c r="B35" s="39">
        <v>0</v>
      </c>
      <c r="C35" s="141" t="s">
        <v>150</v>
      </c>
      <c r="D35" s="141"/>
      <c r="E35" s="141"/>
      <c r="F35" s="141"/>
      <c r="G35" s="141"/>
      <c r="H35" s="29">
        <v>0</v>
      </c>
      <c r="I35" s="145">
        <v>0</v>
      </c>
      <c r="J35" s="145">
        <v>0</v>
      </c>
      <c r="K35" s="145">
        <v>0</v>
      </c>
      <c r="L35" s="145">
        <v>0</v>
      </c>
      <c r="M35" s="145">
        <v>0</v>
      </c>
      <c r="N35" s="145">
        <v>0</v>
      </c>
      <c r="O35" s="142">
        <f t="shared" ref="O35:O66" si="1">AVERAGE(H35:N35)</f>
        <v>0</v>
      </c>
      <c r="P35" s="143" t="s">
        <v>255</v>
      </c>
    </row>
    <row r="36" spans="1:17" ht="45" customHeight="1">
      <c r="A36" s="153" t="s">
        <v>164</v>
      </c>
      <c r="B36" s="39">
        <v>0</v>
      </c>
      <c r="C36" s="141" t="s">
        <v>150</v>
      </c>
      <c r="D36" s="141"/>
      <c r="E36" s="141"/>
      <c r="F36" s="141"/>
      <c r="G36" s="141"/>
      <c r="H36" s="29">
        <v>0</v>
      </c>
      <c r="I36" s="145">
        <v>0</v>
      </c>
      <c r="J36" s="145">
        <v>0</v>
      </c>
      <c r="K36" s="145">
        <v>0</v>
      </c>
      <c r="L36" s="145">
        <v>0</v>
      </c>
      <c r="M36" s="145">
        <v>0</v>
      </c>
      <c r="N36" s="145">
        <v>0</v>
      </c>
      <c r="O36" s="142">
        <f t="shared" si="1"/>
        <v>0</v>
      </c>
      <c r="P36" s="143" t="s">
        <v>296</v>
      </c>
    </row>
    <row r="37" spans="1:17" ht="45" hidden="1" customHeight="1">
      <c r="A37" s="153" t="s">
        <v>136</v>
      </c>
      <c r="B37" s="39">
        <v>0</v>
      </c>
      <c r="C37" s="141" t="s">
        <v>123</v>
      </c>
      <c r="D37" s="141" t="s">
        <v>10</v>
      </c>
      <c r="E37" s="141" t="s">
        <v>44</v>
      </c>
      <c r="F37" s="141" t="s">
        <v>38</v>
      </c>
      <c r="G37" s="141"/>
      <c r="H37" s="29">
        <v>3</v>
      </c>
      <c r="I37" s="145">
        <v>0</v>
      </c>
      <c r="J37" s="145">
        <v>1</v>
      </c>
      <c r="K37" s="145">
        <v>0</v>
      </c>
      <c r="L37" s="145">
        <v>0</v>
      </c>
      <c r="M37" s="145">
        <v>1</v>
      </c>
      <c r="N37" s="145">
        <v>0</v>
      </c>
      <c r="O37" s="142">
        <f t="shared" si="1"/>
        <v>0.7142857142857143</v>
      </c>
      <c r="P37" s="143" t="s">
        <v>297</v>
      </c>
    </row>
    <row r="38" spans="1:17" ht="45" hidden="1" customHeight="1">
      <c r="A38" s="153" t="s">
        <v>205</v>
      </c>
      <c r="B38" s="39">
        <v>0</v>
      </c>
      <c r="C38" s="141" t="s">
        <v>174</v>
      </c>
      <c r="D38" s="141" t="s">
        <v>6</v>
      </c>
      <c r="E38" s="141"/>
      <c r="F38" s="141"/>
      <c r="G38" s="141"/>
      <c r="H38" s="29">
        <v>0</v>
      </c>
      <c r="I38" s="145">
        <v>0</v>
      </c>
      <c r="J38" s="145">
        <v>0</v>
      </c>
      <c r="K38" s="145">
        <v>0</v>
      </c>
      <c r="L38" s="145">
        <v>0</v>
      </c>
      <c r="M38" s="145">
        <v>0</v>
      </c>
      <c r="N38" s="145">
        <v>0</v>
      </c>
      <c r="O38" s="142">
        <f t="shared" si="1"/>
        <v>0</v>
      </c>
      <c r="P38" s="143" t="s">
        <v>257</v>
      </c>
    </row>
    <row r="39" spans="1:17" ht="45" customHeight="1">
      <c r="A39" s="28" t="s">
        <v>158</v>
      </c>
      <c r="B39" s="39">
        <v>0</v>
      </c>
      <c r="C39" s="141" t="s">
        <v>150</v>
      </c>
      <c r="D39" s="141" t="s">
        <v>10</v>
      </c>
      <c r="E39" s="141" t="s">
        <v>48</v>
      </c>
      <c r="F39" s="141" t="s">
        <v>38</v>
      </c>
      <c r="G39" s="141"/>
      <c r="H39" s="29">
        <v>2</v>
      </c>
      <c r="I39" s="145" t="s">
        <v>118</v>
      </c>
      <c r="J39" s="145" t="s">
        <v>118</v>
      </c>
      <c r="K39" s="145">
        <v>2</v>
      </c>
      <c r="L39" s="145">
        <v>0</v>
      </c>
      <c r="M39" s="145">
        <v>0</v>
      </c>
      <c r="N39" s="145" t="s">
        <v>118</v>
      </c>
      <c r="O39" s="142">
        <f t="shared" si="1"/>
        <v>1</v>
      </c>
      <c r="P39" s="143" t="s">
        <v>252</v>
      </c>
      <c r="Q39" s="13" t="s">
        <v>259</v>
      </c>
    </row>
    <row r="40" spans="1:17" ht="45" hidden="1" customHeight="1">
      <c r="A40" s="153" t="s">
        <v>234</v>
      </c>
      <c r="B40" s="39">
        <v>0</v>
      </c>
      <c r="C40" s="141" t="s">
        <v>51</v>
      </c>
      <c r="D40" s="141" t="s">
        <v>18</v>
      </c>
      <c r="E40" s="141" t="s">
        <v>44</v>
      </c>
      <c r="F40" s="141" t="s">
        <v>40</v>
      </c>
      <c r="G40" s="141"/>
      <c r="H40" s="29">
        <v>4</v>
      </c>
      <c r="I40" s="145">
        <v>4</v>
      </c>
      <c r="J40" s="145">
        <v>1</v>
      </c>
      <c r="K40" s="145">
        <v>4</v>
      </c>
      <c r="L40" s="145">
        <v>1</v>
      </c>
      <c r="M40" s="145">
        <v>3</v>
      </c>
      <c r="N40" s="145">
        <v>3</v>
      </c>
      <c r="O40" s="142">
        <f t="shared" si="1"/>
        <v>2.8571428571428572</v>
      </c>
      <c r="P40" s="143" t="s">
        <v>121</v>
      </c>
      <c r="Q40" s="13" t="s">
        <v>259</v>
      </c>
    </row>
    <row r="41" spans="1:17" ht="45" hidden="1" customHeight="1">
      <c r="A41" s="40" t="s">
        <v>111</v>
      </c>
      <c r="B41" s="39">
        <v>0</v>
      </c>
      <c r="C41" s="141" t="s">
        <v>51</v>
      </c>
      <c r="D41" s="141" t="s">
        <v>26</v>
      </c>
      <c r="E41" s="141" t="s">
        <v>45</v>
      </c>
      <c r="F41" s="141" t="s">
        <v>37</v>
      </c>
      <c r="G41" s="141"/>
      <c r="H41" s="29">
        <v>0</v>
      </c>
      <c r="I41" s="145">
        <v>0</v>
      </c>
      <c r="J41" s="145">
        <v>0</v>
      </c>
      <c r="K41" s="145">
        <v>0</v>
      </c>
      <c r="L41" s="145">
        <v>0</v>
      </c>
      <c r="M41" s="145">
        <v>0</v>
      </c>
      <c r="N41" s="145">
        <v>0</v>
      </c>
      <c r="O41" s="142">
        <f t="shared" si="1"/>
        <v>0</v>
      </c>
      <c r="P41" s="143" t="s">
        <v>112</v>
      </c>
    </row>
    <row r="42" spans="1:17" ht="45" hidden="1" customHeight="1">
      <c r="A42" s="153" t="s">
        <v>139</v>
      </c>
      <c r="B42" s="39">
        <v>0</v>
      </c>
      <c r="C42" s="141" t="s">
        <v>123</v>
      </c>
      <c r="D42" s="141" t="s">
        <v>26</v>
      </c>
      <c r="E42" s="141" t="s">
        <v>48</v>
      </c>
      <c r="F42" s="141"/>
      <c r="G42" s="141"/>
      <c r="H42" s="139">
        <v>2</v>
      </c>
      <c r="I42" s="139">
        <v>0</v>
      </c>
      <c r="J42" s="139">
        <v>0</v>
      </c>
      <c r="K42" s="139">
        <v>0</v>
      </c>
      <c r="L42" s="139">
        <v>0</v>
      </c>
      <c r="M42" s="139">
        <v>1</v>
      </c>
      <c r="N42" s="139">
        <v>0</v>
      </c>
      <c r="O42" s="142">
        <f t="shared" si="1"/>
        <v>0.42857142857142855</v>
      </c>
      <c r="P42" s="138" t="s">
        <v>298</v>
      </c>
    </row>
    <row r="43" spans="1:17" ht="45" customHeight="1">
      <c r="A43" s="153" t="s">
        <v>152</v>
      </c>
      <c r="B43" s="39">
        <v>5</v>
      </c>
      <c r="C43" s="141" t="s">
        <v>248</v>
      </c>
      <c r="D43" s="141" t="s">
        <v>14</v>
      </c>
      <c r="E43" s="141" t="s">
        <v>45</v>
      </c>
      <c r="F43" s="141" t="s">
        <v>42</v>
      </c>
      <c r="G43" s="141"/>
      <c r="H43" s="31">
        <v>3</v>
      </c>
      <c r="I43" s="146">
        <v>5</v>
      </c>
      <c r="J43" s="146">
        <v>5</v>
      </c>
      <c r="K43" s="146">
        <v>4</v>
      </c>
      <c r="L43" s="146">
        <v>2</v>
      </c>
      <c r="M43" s="146">
        <v>1</v>
      </c>
      <c r="N43" s="146" t="s">
        <v>118</v>
      </c>
      <c r="O43" s="142">
        <f t="shared" si="1"/>
        <v>3.3333333333333335</v>
      </c>
      <c r="P43" s="144" t="s">
        <v>299</v>
      </c>
    </row>
    <row r="44" spans="1:17" ht="45" hidden="1" customHeight="1">
      <c r="A44" s="153" t="s">
        <v>172</v>
      </c>
      <c r="B44" s="39">
        <v>3</v>
      </c>
      <c r="C44" s="141" t="s">
        <v>51</v>
      </c>
      <c r="D44" s="141"/>
      <c r="E44" s="141"/>
      <c r="F44" s="141"/>
      <c r="G44" s="141"/>
      <c r="H44" s="30">
        <v>0</v>
      </c>
      <c r="I44" s="139">
        <v>0</v>
      </c>
      <c r="J44" s="139">
        <v>0</v>
      </c>
      <c r="K44" s="139">
        <v>0</v>
      </c>
      <c r="L44" s="139">
        <v>0</v>
      </c>
      <c r="M44" s="139">
        <v>0</v>
      </c>
      <c r="N44" s="139">
        <v>0</v>
      </c>
      <c r="O44" s="142">
        <f t="shared" si="1"/>
        <v>0</v>
      </c>
      <c r="P44" s="138" t="s">
        <v>300</v>
      </c>
    </row>
    <row r="45" spans="1:17" ht="45" hidden="1" customHeight="1">
      <c r="A45" s="41" t="s">
        <v>106</v>
      </c>
      <c r="B45" s="39">
        <v>0</v>
      </c>
      <c r="C45" s="141" t="s">
        <v>51</v>
      </c>
      <c r="D45" s="141"/>
      <c r="E45" s="141"/>
      <c r="F45" s="141"/>
      <c r="G45" s="141"/>
      <c r="H45" s="30">
        <v>0</v>
      </c>
      <c r="I45" s="139" t="s">
        <v>101</v>
      </c>
      <c r="J45" s="139" t="s">
        <v>101</v>
      </c>
      <c r="K45" s="139" t="s">
        <v>104</v>
      </c>
      <c r="L45" s="139" t="s">
        <v>101</v>
      </c>
      <c r="M45" s="139" t="s">
        <v>101</v>
      </c>
      <c r="N45" s="139" t="s">
        <v>96</v>
      </c>
      <c r="O45" s="142">
        <f t="shared" si="1"/>
        <v>0</v>
      </c>
      <c r="P45" s="138" t="s">
        <v>107</v>
      </c>
    </row>
    <row r="46" spans="1:17" ht="45" hidden="1" customHeight="1">
      <c r="A46" s="153" t="s">
        <v>168</v>
      </c>
      <c r="B46" s="39">
        <v>5</v>
      </c>
      <c r="C46" s="141" t="s">
        <v>123</v>
      </c>
      <c r="D46" s="141" t="s">
        <v>10</v>
      </c>
      <c r="E46" s="141" t="s">
        <v>44</v>
      </c>
      <c r="F46" s="141" t="s">
        <v>38</v>
      </c>
      <c r="G46" s="141"/>
      <c r="H46" s="30">
        <v>3</v>
      </c>
      <c r="I46" s="139">
        <v>0</v>
      </c>
      <c r="J46" s="139" t="s">
        <v>118</v>
      </c>
      <c r="K46" s="139">
        <v>3</v>
      </c>
      <c r="L46" s="139" t="s">
        <v>118</v>
      </c>
      <c r="M46" s="139">
        <v>3</v>
      </c>
      <c r="N46" s="139" t="s">
        <v>118</v>
      </c>
      <c r="O46" s="142">
        <f t="shared" si="1"/>
        <v>2.25</v>
      </c>
      <c r="P46" s="138" t="s">
        <v>301</v>
      </c>
    </row>
    <row r="47" spans="1:17" ht="45" hidden="1" customHeight="1">
      <c r="A47" s="153" t="s">
        <v>167</v>
      </c>
      <c r="B47" s="39">
        <v>5</v>
      </c>
      <c r="C47" s="141" t="s">
        <v>123</v>
      </c>
      <c r="D47" s="141" t="s">
        <v>10</v>
      </c>
      <c r="E47" s="141" t="s">
        <v>44</v>
      </c>
      <c r="F47" s="141" t="s">
        <v>38</v>
      </c>
      <c r="G47" s="141"/>
      <c r="H47" s="30">
        <v>3</v>
      </c>
      <c r="I47" s="139">
        <v>0</v>
      </c>
      <c r="J47" s="139" t="s">
        <v>118</v>
      </c>
      <c r="K47" s="139">
        <v>3</v>
      </c>
      <c r="L47" s="139" t="s">
        <v>118</v>
      </c>
      <c r="M47" s="139">
        <v>3</v>
      </c>
      <c r="N47" s="139" t="s">
        <v>118</v>
      </c>
      <c r="O47" s="142">
        <f t="shared" si="1"/>
        <v>2.25</v>
      </c>
      <c r="P47" s="138" t="s">
        <v>302</v>
      </c>
      <c r="Q47" s="13" t="s">
        <v>268</v>
      </c>
    </row>
    <row r="48" spans="1:17" ht="45" hidden="1" customHeight="1">
      <c r="A48" s="153" t="s">
        <v>149</v>
      </c>
      <c r="B48" s="39">
        <v>0</v>
      </c>
      <c r="C48" s="141" t="s">
        <v>51</v>
      </c>
      <c r="D48" s="141" t="s">
        <v>26</v>
      </c>
      <c r="E48" s="141" t="s">
        <v>44</v>
      </c>
      <c r="F48" s="141" t="s">
        <v>37</v>
      </c>
      <c r="G48" s="141"/>
      <c r="H48" s="29">
        <v>5</v>
      </c>
      <c r="I48" s="145">
        <v>5</v>
      </c>
      <c r="J48" s="145">
        <v>5</v>
      </c>
      <c r="K48" s="145">
        <v>5</v>
      </c>
      <c r="L48" s="145">
        <v>5</v>
      </c>
      <c r="M48" s="145">
        <v>5</v>
      </c>
      <c r="N48" s="145">
        <v>5</v>
      </c>
      <c r="O48" s="142">
        <f t="shared" si="1"/>
        <v>5</v>
      </c>
      <c r="P48" s="143" t="s">
        <v>151</v>
      </c>
    </row>
    <row r="49" spans="1:16" ht="45" hidden="1" customHeight="1">
      <c r="A49" s="153" t="s">
        <v>129</v>
      </c>
      <c r="B49" s="39">
        <v>0</v>
      </c>
      <c r="C49" s="141" t="s">
        <v>123</v>
      </c>
      <c r="D49" s="141" t="s">
        <v>26</v>
      </c>
      <c r="E49" s="141" t="s">
        <v>47</v>
      </c>
      <c r="F49" s="141" t="s">
        <v>41</v>
      </c>
      <c r="G49" s="141"/>
      <c r="H49" s="30">
        <v>0</v>
      </c>
      <c r="I49" s="139">
        <v>0</v>
      </c>
      <c r="J49" s="139">
        <v>0</v>
      </c>
      <c r="K49" s="139">
        <v>0</v>
      </c>
      <c r="L49" s="139">
        <v>0</v>
      </c>
      <c r="M49" s="139">
        <v>0</v>
      </c>
      <c r="N49" s="139">
        <v>0</v>
      </c>
      <c r="O49" s="142">
        <f t="shared" si="1"/>
        <v>0</v>
      </c>
      <c r="P49" s="138" t="s">
        <v>238</v>
      </c>
    </row>
    <row r="50" spans="1:16" ht="45" hidden="1" customHeight="1">
      <c r="A50" s="153" t="s">
        <v>134</v>
      </c>
      <c r="B50" s="39">
        <v>0</v>
      </c>
      <c r="C50" s="141" t="s">
        <v>123</v>
      </c>
      <c r="D50" s="141" t="s">
        <v>18</v>
      </c>
      <c r="E50" s="141" t="s">
        <v>44</v>
      </c>
      <c r="F50" s="141" t="s">
        <v>38</v>
      </c>
      <c r="G50" s="141"/>
      <c r="H50" s="30">
        <v>0</v>
      </c>
      <c r="I50" s="139">
        <v>0</v>
      </c>
      <c r="J50" s="139">
        <v>0</v>
      </c>
      <c r="K50" s="139">
        <v>0</v>
      </c>
      <c r="L50" s="139">
        <v>0</v>
      </c>
      <c r="M50" s="139">
        <v>0</v>
      </c>
      <c r="N50" s="139">
        <v>0</v>
      </c>
      <c r="O50" s="142">
        <f t="shared" si="1"/>
        <v>0</v>
      </c>
      <c r="P50" s="138" t="s">
        <v>303</v>
      </c>
    </row>
    <row r="51" spans="1:16" ht="45" hidden="1" customHeight="1">
      <c r="A51" s="152" t="s">
        <v>281</v>
      </c>
      <c r="B51" s="39">
        <v>0</v>
      </c>
      <c r="C51" s="21" t="s">
        <v>210</v>
      </c>
      <c r="D51" s="21" t="s">
        <v>6</v>
      </c>
      <c r="E51" s="21"/>
      <c r="F51" s="21" t="s">
        <v>38</v>
      </c>
      <c r="G51" s="21"/>
      <c r="H51" s="49">
        <v>0</v>
      </c>
      <c r="I51" s="52">
        <v>0</v>
      </c>
      <c r="J51" s="52">
        <v>0</v>
      </c>
      <c r="K51" s="52">
        <v>0</v>
      </c>
      <c r="L51" s="52">
        <v>0</v>
      </c>
      <c r="M51" s="52">
        <v>0</v>
      </c>
      <c r="N51" s="52">
        <v>0</v>
      </c>
      <c r="O51" s="142">
        <f t="shared" si="1"/>
        <v>0</v>
      </c>
      <c r="P51" s="24" t="s">
        <v>304</v>
      </c>
    </row>
    <row r="52" spans="1:16" ht="45" hidden="1" customHeight="1">
      <c r="A52" s="153" t="s">
        <v>219</v>
      </c>
      <c r="B52" s="39">
        <v>0</v>
      </c>
      <c r="C52" s="141" t="s">
        <v>267</v>
      </c>
      <c r="D52" s="141" t="s">
        <v>6</v>
      </c>
      <c r="E52" s="141"/>
      <c r="F52" s="141"/>
      <c r="G52" s="141"/>
      <c r="H52" s="29">
        <v>0</v>
      </c>
      <c r="I52" s="145">
        <v>0</v>
      </c>
      <c r="J52" s="145">
        <v>0</v>
      </c>
      <c r="K52" s="145">
        <v>0</v>
      </c>
      <c r="L52" s="145">
        <v>0</v>
      </c>
      <c r="M52" s="145">
        <v>0</v>
      </c>
      <c r="N52" s="145">
        <v>0</v>
      </c>
      <c r="O52" s="142">
        <f t="shared" si="1"/>
        <v>0</v>
      </c>
      <c r="P52" s="155" t="s">
        <v>220</v>
      </c>
    </row>
    <row r="53" spans="1:16" ht="45" hidden="1" customHeight="1">
      <c r="A53" s="153" t="s">
        <v>221</v>
      </c>
      <c r="B53" s="39">
        <v>0</v>
      </c>
      <c r="C53" s="141" t="s">
        <v>267</v>
      </c>
      <c r="D53" s="141" t="s">
        <v>6</v>
      </c>
      <c r="E53" s="141"/>
      <c r="F53" s="141"/>
      <c r="G53" s="141"/>
      <c r="H53" s="29">
        <v>0</v>
      </c>
      <c r="I53" s="145">
        <v>0</v>
      </c>
      <c r="J53" s="145">
        <v>0</v>
      </c>
      <c r="K53" s="145">
        <v>0</v>
      </c>
      <c r="L53" s="145">
        <v>0</v>
      </c>
      <c r="M53" s="145">
        <v>0</v>
      </c>
      <c r="N53" s="145">
        <v>0</v>
      </c>
      <c r="O53" s="142">
        <f t="shared" si="1"/>
        <v>0</v>
      </c>
      <c r="P53" s="143" t="s">
        <v>222</v>
      </c>
    </row>
    <row r="54" spans="1:16" ht="45" customHeight="1">
      <c r="A54" s="153" t="s">
        <v>253</v>
      </c>
      <c r="B54" s="39">
        <v>0</v>
      </c>
      <c r="C54" s="141" t="s">
        <v>150</v>
      </c>
      <c r="D54" s="141" t="s">
        <v>10</v>
      </c>
      <c r="E54" s="141" t="s">
        <v>44</v>
      </c>
      <c r="F54" s="141" t="s">
        <v>38</v>
      </c>
      <c r="G54" s="141"/>
      <c r="H54" s="29">
        <v>0</v>
      </c>
      <c r="I54" s="145">
        <v>3</v>
      </c>
      <c r="J54" s="145">
        <v>0</v>
      </c>
      <c r="K54" s="145">
        <v>3</v>
      </c>
      <c r="L54" s="145">
        <v>0</v>
      </c>
      <c r="M54" s="145">
        <v>0</v>
      </c>
      <c r="N54" s="145" t="s">
        <v>118</v>
      </c>
      <c r="O54" s="142">
        <f t="shared" si="1"/>
        <v>1</v>
      </c>
      <c r="P54" s="143" t="s">
        <v>254</v>
      </c>
    </row>
    <row r="55" spans="1:16" ht="45" hidden="1" customHeight="1">
      <c r="A55" s="153" t="s">
        <v>130</v>
      </c>
      <c r="B55" s="39">
        <v>0</v>
      </c>
      <c r="C55" s="141" t="s">
        <v>123</v>
      </c>
      <c r="D55" s="141" t="s">
        <v>26</v>
      </c>
      <c r="E55" s="141" t="s">
        <v>44</v>
      </c>
      <c r="F55" s="141" t="s">
        <v>40</v>
      </c>
      <c r="G55" s="141"/>
      <c r="H55" s="29">
        <v>1</v>
      </c>
      <c r="I55" s="145">
        <v>1</v>
      </c>
      <c r="J55" s="145">
        <v>1</v>
      </c>
      <c r="K55" s="145">
        <v>1</v>
      </c>
      <c r="L55" s="145">
        <v>1</v>
      </c>
      <c r="M55" s="145">
        <v>0</v>
      </c>
      <c r="N55" s="145">
        <v>0</v>
      </c>
      <c r="O55" s="142">
        <f t="shared" si="1"/>
        <v>0.7142857142857143</v>
      </c>
      <c r="P55" s="143" t="s">
        <v>305</v>
      </c>
    </row>
    <row r="56" spans="1:16" ht="45" hidden="1" customHeight="1">
      <c r="A56" s="153" t="s">
        <v>143</v>
      </c>
      <c r="B56" s="39">
        <v>0</v>
      </c>
      <c r="C56" s="141" t="s">
        <v>210</v>
      </c>
      <c r="D56" s="141" t="s">
        <v>26</v>
      </c>
      <c r="E56" s="141" t="s">
        <v>48</v>
      </c>
      <c r="F56" s="141"/>
      <c r="G56" s="141"/>
      <c r="H56" s="29">
        <v>0</v>
      </c>
      <c r="I56" s="145">
        <v>0</v>
      </c>
      <c r="J56" s="145">
        <v>0</v>
      </c>
      <c r="K56" s="145">
        <v>0</v>
      </c>
      <c r="L56" s="145">
        <v>0</v>
      </c>
      <c r="M56" s="145">
        <v>0</v>
      </c>
      <c r="N56" s="145">
        <v>0</v>
      </c>
      <c r="O56" s="142">
        <f t="shared" si="1"/>
        <v>0</v>
      </c>
      <c r="P56" s="143" t="s">
        <v>244</v>
      </c>
    </row>
    <row r="57" spans="1:16" ht="45" hidden="1" customHeight="1">
      <c r="A57" s="153" t="s">
        <v>173</v>
      </c>
      <c r="B57" s="39">
        <v>0</v>
      </c>
      <c r="C57" s="141" t="s">
        <v>174</v>
      </c>
      <c r="D57" s="141" t="s">
        <v>6</v>
      </c>
      <c r="E57" s="141"/>
      <c r="F57" s="141"/>
      <c r="G57" s="141"/>
      <c r="H57" s="29" t="s">
        <v>118</v>
      </c>
      <c r="I57" s="145" t="s">
        <v>118</v>
      </c>
      <c r="J57" s="145" t="s">
        <v>118</v>
      </c>
      <c r="K57" s="145" t="s">
        <v>118</v>
      </c>
      <c r="L57" s="145" t="s">
        <v>118</v>
      </c>
      <c r="M57" s="145" t="s">
        <v>118</v>
      </c>
      <c r="N57" s="145" t="s">
        <v>118</v>
      </c>
      <c r="O57" s="142" t="e">
        <f t="shared" si="1"/>
        <v>#DIV/0!</v>
      </c>
      <c r="P57" s="143" t="s">
        <v>175</v>
      </c>
    </row>
    <row r="58" spans="1:16" ht="45" hidden="1" customHeight="1">
      <c r="A58" s="153" t="s">
        <v>176</v>
      </c>
      <c r="B58" s="39">
        <v>0</v>
      </c>
      <c r="C58" s="141" t="s">
        <v>174</v>
      </c>
      <c r="D58" s="141"/>
      <c r="E58" s="141"/>
      <c r="F58" s="141"/>
      <c r="G58" s="141"/>
      <c r="H58" s="29" t="s">
        <v>118</v>
      </c>
      <c r="I58" s="29" t="s">
        <v>118</v>
      </c>
      <c r="J58" s="29" t="s">
        <v>118</v>
      </c>
      <c r="K58" s="29" t="s">
        <v>118</v>
      </c>
      <c r="L58" s="29" t="s">
        <v>118</v>
      </c>
      <c r="M58" s="29" t="s">
        <v>118</v>
      </c>
      <c r="N58" s="29" t="s">
        <v>118</v>
      </c>
      <c r="O58" s="142" t="e">
        <f t="shared" si="1"/>
        <v>#DIV/0!</v>
      </c>
      <c r="P58" s="143" t="s">
        <v>266</v>
      </c>
    </row>
    <row r="59" spans="1:16" ht="45" customHeight="1">
      <c r="A59" s="153" t="s">
        <v>246</v>
      </c>
      <c r="B59" s="39">
        <v>0</v>
      </c>
      <c r="C59" s="141" t="s">
        <v>150</v>
      </c>
      <c r="D59" s="141" t="s">
        <v>6</v>
      </c>
      <c r="E59" s="141"/>
      <c r="F59" s="141"/>
      <c r="G59" s="42"/>
      <c r="H59" s="139" t="s">
        <v>118</v>
      </c>
      <c r="I59" s="139" t="s">
        <v>118</v>
      </c>
      <c r="J59" s="139" t="s">
        <v>118</v>
      </c>
      <c r="K59" s="139" t="s">
        <v>118</v>
      </c>
      <c r="L59" s="139" t="s">
        <v>118</v>
      </c>
      <c r="M59" s="139" t="s">
        <v>118</v>
      </c>
      <c r="N59" s="139" t="s">
        <v>118</v>
      </c>
      <c r="O59" s="142" t="e">
        <f t="shared" si="1"/>
        <v>#DIV/0!</v>
      </c>
      <c r="P59" s="138" t="s">
        <v>306</v>
      </c>
    </row>
    <row r="60" spans="1:16" ht="45" hidden="1" customHeight="1">
      <c r="A60" s="153" t="s">
        <v>184</v>
      </c>
      <c r="B60" s="39">
        <v>0</v>
      </c>
      <c r="C60" s="141" t="s">
        <v>174</v>
      </c>
      <c r="D60" s="141" t="s">
        <v>14</v>
      </c>
      <c r="E60" s="141"/>
      <c r="F60" s="141"/>
      <c r="G60" s="42"/>
      <c r="H60" s="139">
        <v>0</v>
      </c>
      <c r="I60" s="139">
        <v>0</v>
      </c>
      <c r="J60" s="139">
        <v>0</v>
      </c>
      <c r="K60" s="139">
        <v>0</v>
      </c>
      <c r="L60" s="139">
        <v>0</v>
      </c>
      <c r="M60" s="139">
        <v>0</v>
      </c>
      <c r="N60" s="139">
        <v>0</v>
      </c>
      <c r="O60" s="142">
        <f t="shared" si="1"/>
        <v>0</v>
      </c>
      <c r="P60" s="138" t="s">
        <v>307</v>
      </c>
    </row>
    <row r="61" spans="1:16" ht="45" hidden="1" customHeight="1">
      <c r="A61" s="28" t="s">
        <v>182</v>
      </c>
      <c r="B61" s="39">
        <v>0</v>
      </c>
      <c r="C61" s="141" t="s">
        <v>174</v>
      </c>
      <c r="D61" s="35" t="s">
        <v>14</v>
      </c>
      <c r="E61" s="35"/>
      <c r="F61" s="35"/>
      <c r="G61" s="43"/>
      <c r="H61" s="139">
        <v>0</v>
      </c>
      <c r="I61" s="139">
        <v>0</v>
      </c>
      <c r="J61" s="139">
        <v>0</v>
      </c>
      <c r="K61" s="139">
        <v>0</v>
      </c>
      <c r="L61" s="139">
        <v>0</v>
      </c>
      <c r="M61" s="139">
        <v>0</v>
      </c>
      <c r="N61" s="139">
        <v>0</v>
      </c>
      <c r="O61" s="142">
        <f t="shared" si="1"/>
        <v>0</v>
      </c>
      <c r="P61" s="138" t="s">
        <v>270</v>
      </c>
    </row>
    <row r="62" spans="1:16" ht="45" hidden="1" customHeight="1">
      <c r="A62" s="140" t="s">
        <v>122</v>
      </c>
      <c r="B62" s="39">
        <v>0</v>
      </c>
      <c r="C62" s="141" t="s">
        <v>123</v>
      </c>
      <c r="D62" s="141" t="s">
        <v>14</v>
      </c>
      <c r="E62" s="141" t="s">
        <v>44</v>
      </c>
      <c r="F62" s="141" t="s">
        <v>40</v>
      </c>
      <c r="G62" s="42"/>
      <c r="H62" s="139">
        <v>3</v>
      </c>
      <c r="I62" s="139">
        <v>0</v>
      </c>
      <c r="J62" s="139">
        <v>4</v>
      </c>
      <c r="K62" s="139">
        <v>1</v>
      </c>
      <c r="L62" s="139" t="s">
        <v>118</v>
      </c>
      <c r="M62" s="139">
        <v>2</v>
      </c>
      <c r="N62" s="139" t="s">
        <v>118</v>
      </c>
      <c r="O62" s="142">
        <f t="shared" si="1"/>
        <v>2</v>
      </c>
      <c r="P62" s="138" t="s">
        <v>308</v>
      </c>
    </row>
    <row r="63" spans="1:16" ht="45" hidden="1" customHeight="1">
      <c r="A63" s="140" t="s">
        <v>223</v>
      </c>
      <c r="B63" s="39">
        <v>0</v>
      </c>
      <c r="C63" s="141" t="s">
        <v>267</v>
      </c>
      <c r="D63" s="141" t="s">
        <v>6</v>
      </c>
      <c r="E63" s="141"/>
      <c r="F63" s="141"/>
      <c r="G63" s="42"/>
      <c r="H63" s="139">
        <v>0</v>
      </c>
      <c r="I63" s="139">
        <v>0</v>
      </c>
      <c r="J63" s="139">
        <v>0</v>
      </c>
      <c r="K63" s="139">
        <v>0</v>
      </c>
      <c r="L63" s="139">
        <v>0</v>
      </c>
      <c r="M63" s="139">
        <v>0</v>
      </c>
      <c r="N63" s="139">
        <v>0</v>
      </c>
      <c r="O63" s="142">
        <f t="shared" si="1"/>
        <v>0</v>
      </c>
      <c r="P63" s="138" t="s">
        <v>224</v>
      </c>
    </row>
    <row r="64" spans="1:16" ht="45" hidden="1" customHeight="1">
      <c r="A64" s="140" t="s">
        <v>169</v>
      </c>
      <c r="B64" s="39">
        <v>3</v>
      </c>
      <c r="C64" s="141" t="s">
        <v>210</v>
      </c>
      <c r="D64" s="141" t="s">
        <v>14</v>
      </c>
      <c r="E64" s="141" t="s">
        <v>44</v>
      </c>
      <c r="F64" s="141" t="s">
        <v>39</v>
      </c>
      <c r="G64" s="42" t="s">
        <v>261</v>
      </c>
      <c r="H64" s="139">
        <v>0</v>
      </c>
      <c r="I64" s="139">
        <v>0</v>
      </c>
      <c r="J64" s="139">
        <v>0</v>
      </c>
      <c r="K64" s="139">
        <v>0</v>
      </c>
      <c r="L64" s="139">
        <v>0</v>
      </c>
      <c r="M64" s="139">
        <v>0</v>
      </c>
      <c r="N64" s="139">
        <v>2</v>
      </c>
      <c r="O64" s="142">
        <f t="shared" si="1"/>
        <v>0.2857142857142857</v>
      </c>
      <c r="P64" s="138" t="s">
        <v>309</v>
      </c>
    </row>
    <row r="65" spans="1:16" ht="45" hidden="1" customHeight="1">
      <c r="A65" s="140" t="s">
        <v>138</v>
      </c>
      <c r="B65" s="39">
        <v>0</v>
      </c>
      <c r="C65" s="141" t="s">
        <v>210</v>
      </c>
      <c r="D65" s="141" t="s">
        <v>26</v>
      </c>
      <c r="E65" s="141" t="s">
        <v>48</v>
      </c>
      <c r="F65" s="141"/>
      <c r="G65" s="141"/>
      <c r="H65" s="50">
        <v>1</v>
      </c>
      <c r="I65" s="50">
        <v>0</v>
      </c>
      <c r="J65" s="50">
        <v>0</v>
      </c>
      <c r="K65" s="50">
        <v>0</v>
      </c>
      <c r="L65" s="50">
        <v>0</v>
      </c>
      <c r="M65" s="50">
        <v>1</v>
      </c>
      <c r="N65" s="50">
        <v>0</v>
      </c>
      <c r="O65" s="142">
        <f t="shared" si="1"/>
        <v>0.2857142857142857</v>
      </c>
      <c r="P65" s="148" t="s">
        <v>310</v>
      </c>
    </row>
    <row r="66" spans="1:16" ht="45" hidden="1" customHeight="1">
      <c r="A66" s="140" t="s">
        <v>217</v>
      </c>
      <c r="B66" s="39">
        <v>0</v>
      </c>
      <c r="C66" s="141" t="s">
        <v>123</v>
      </c>
      <c r="D66" s="141" t="s">
        <v>6</v>
      </c>
      <c r="E66" s="141"/>
      <c r="F66" s="141"/>
      <c r="G66" s="141"/>
      <c r="H66" s="139">
        <v>0</v>
      </c>
      <c r="I66" s="139">
        <v>0</v>
      </c>
      <c r="J66" s="139">
        <v>0</v>
      </c>
      <c r="K66" s="139">
        <v>0</v>
      </c>
      <c r="L66" s="139">
        <v>0</v>
      </c>
      <c r="M66" s="139">
        <v>0</v>
      </c>
      <c r="N66" s="139">
        <v>0</v>
      </c>
      <c r="O66" s="142">
        <f t="shared" si="1"/>
        <v>0</v>
      </c>
      <c r="P66" s="138" t="s">
        <v>311</v>
      </c>
    </row>
    <row r="67" spans="1:16" ht="45" customHeight="1">
      <c r="A67" s="140" t="s">
        <v>171</v>
      </c>
      <c r="B67" s="39">
        <v>0</v>
      </c>
      <c r="C67" s="141" t="s">
        <v>150</v>
      </c>
      <c r="D67" s="141" t="s">
        <v>6</v>
      </c>
      <c r="E67" s="141"/>
      <c r="F67" s="141"/>
      <c r="G67" s="141"/>
      <c r="H67" s="139">
        <v>0</v>
      </c>
      <c r="I67" s="139">
        <v>0</v>
      </c>
      <c r="J67" s="139">
        <v>0</v>
      </c>
      <c r="K67" s="139">
        <v>0</v>
      </c>
      <c r="L67" s="139">
        <v>0</v>
      </c>
      <c r="M67" s="139">
        <v>0</v>
      </c>
      <c r="N67" s="139">
        <v>0</v>
      </c>
      <c r="O67" s="142">
        <f t="shared" ref="O67:O98" si="2">AVERAGE(H67:N67)</f>
        <v>0</v>
      </c>
      <c r="P67" s="138" t="s">
        <v>312</v>
      </c>
    </row>
    <row r="68" spans="1:16" ht="45" hidden="1" customHeight="1">
      <c r="A68" s="140" t="s">
        <v>313</v>
      </c>
      <c r="B68" s="39">
        <v>0</v>
      </c>
      <c r="C68" s="21" t="s">
        <v>267</v>
      </c>
      <c r="D68" s="21" t="s">
        <v>6</v>
      </c>
      <c r="E68" s="21"/>
      <c r="F68" s="21"/>
      <c r="G68" s="21"/>
      <c r="H68" s="22">
        <v>0</v>
      </c>
      <c r="I68" s="22">
        <v>0</v>
      </c>
      <c r="J68" s="22">
        <v>0</v>
      </c>
      <c r="K68" s="22">
        <v>0</v>
      </c>
      <c r="L68" s="22">
        <v>0</v>
      </c>
      <c r="M68" s="22">
        <v>0</v>
      </c>
      <c r="N68" s="22">
        <v>0</v>
      </c>
      <c r="O68" s="142">
        <f t="shared" si="2"/>
        <v>0</v>
      </c>
      <c r="P68" s="24" t="s">
        <v>314</v>
      </c>
    </row>
    <row r="69" spans="1:16" ht="45" hidden="1" customHeight="1">
      <c r="A69" s="140" t="s">
        <v>315</v>
      </c>
      <c r="B69" s="39">
        <v>0</v>
      </c>
      <c r="C69" s="21" t="s">
        <v>267</v>
      </c>
      <c r="D69" s="21" t="s">
        <v>6</v>
      </c>
      <c r="E69" s="21"/>
      <c r="F69" s="21"/>
      <c r="G69" s="21"/>
      <c r="H69" s="22"/>
      <c r="I69" s="22"/>
      <c r="J69" s="22"/>
      <c r="K69" s="22"/>
      <c r="L69" s="22"/>
      <c r="M69" s="22"/>
      <c r="N69" s="22"/>
      <c r="O69" s="142" t="e">
        <f t="shared" si="2"/>
        <v>#DIV/0!</v>
      </c>
      <c r="P69" s="24" t="s">
        <v>316</v>
      </c>
    </row>
    <row r="70" spans="1:16" ht="45" hidden="1" customHeight="1">
      <c r="A70" s="140"/>
      <c r="B70" s="39">
        <v>0</v>
      </c>
      <c r="C70" s="21"/>
      <c r="D70" s="21"/>
      <c r="E70" s="21"/>
      <c r="F70" s="21"/>
      <c r="G70" s="21"/>
      <c r="H70" s="22"/>
      <c r="I70" s="22"/>
      <c r="J70" s="22"/>
      <c r="K70" s="22"/>
      <c r="L70" s="22"/>
      <c r="M70" s="22"/>
      <c r="N70" s="22"/>
      <c r="O70" s="142" t="e">
        <f t="shared" si="2"/>
        <v>#DIV/0!</v>
      </c>
      <c r="P70" s="24"/>
    </row>
    <row r="71" spans="1:16" ht="45" hidden="1" customHeight="1">
      <c r="A71" s="140"/>
      <c r="B71" s="39">
        <v>0</v>
      </c>
      <c r="C71" s="21"/>
      <c r="D71" s="21"/>
      <c r="E71" s="21"/>
      <c r="F71" s="21"/>
      <c r="G71" s="21"/>
      <c r="H71" s="22">
        <v>0</v>
      </c>
      <c r="I71" s="22">
        <v>0</v>
      </c>
      <c r="J71" s="22">
        <v>0</v>
      </c>
      <c r="K71" s="22">
        <v>0</v>
      </c>
      <c r="L71" s="22">
        <v>0</v>
      </c>
      <c r="M71" s="22">
        <v>0</v>
      </c>
      <c r="N71" s="22">
        <v>0</v>
      </c>
      <c r="O71" s="142">
        <f t="shared" si="2"/>
        <v>0</v>
      </c>
      <c r="P71" s="24"/>
    </row>
    <row r="72" spans="1:16" ht="45" hidden="1" customHeight="1">
      <c r="A72" s="140"/>
      <c r="B72" s="39">
        <v>0</v>
      </c>
      <c r="C72" s="21"/>
      <c r="D72" s="21"/>
      <c r="E72" s="21"/>
      <c r="F72" s="21"/>
      <c r="G72" s="21"/>
      <c r="H72" s="22"/>
      <c r="I72" s="22"/>
      <c r="J72" s="22"/>
      <c r="K72" s="22"/>
      <c r="L72" s="22"/>
      <c r="M72" s="22"/>
      <c r="N72" s="22"/>
      <c r="O72" s="142" t="e">
        <f t="shared" si="2"/>
        <v>#DIV/0!</v>
      </c>
      <c r="P72" s="24"/>
    </row>
    <row r="73" spans="1:16" ht="45" hidden="1" customHeight="1">
      <c r="A73" s="140"/>
      <c r="B73" s="39">
        <v>0</v>
      </c>
      <c r="C73" s="21"/>
      <c r="D73" s="21"/>
      <c r="E73" s="21"/>
      <c r="F73" s="21"/>
      <c r="G73" s="21"/>
      <c r="H73" s="22"/>
      <c r="I73" s="22"/>
      <c r="J73" s="22"/>
      <c r="K73" s="22"/>
      <c r="L73" s="22"/>
      <c r="M73" s="22"/>
      <c r="N73" s="22"/>
      <c r="O73" s="142" t="e">
        <f t="shared" si="2"/>
        <v>#DIV/0!</v>
      </c>
      <c r="P73" s="24"/>
    </row>
    <row r="74" spans="1:16" ht="45" hidden="1" customHeight="1">
      <c r="A74" s="140"/>
      <c r="B74" s="39">
        <v>0</v>
      </c>
      <c r="C74" s="21"/>
      <c r="D74" s="21"/>
      <c r="E74" s="21"/>
      <c r="F74" s="21"/>
      <c r="G74" s="21"/>
      <c r="H74" s="22">
        <v>0</v>
      </c>
      <c r="I74" s="22">
        <v>0</v>
      </c>
      <c r="J74" s="22">
        <v>0</v>
      </c>
      <c r="K74" s="22">
        <v>0</v>
      </c>
      <c r="L74" s="22">
        <v>0</v>
      </c>
      <c r="M74" s="22">
        <v>0</v>
      </c>
      <c r="N74" s="22">
        <v>0</v>
      </c>
      <c r="O74" s="142">
        <f t="shared" si="2"/>
        <v>0</v>
      </c>
      <c r="P74" s="24"/>
    </row>
    <row r="75" spans="1:16" ht="45" hidden="1" customHeight="1">
      <c r="A75" s="140"/>
      <c r="B75" s="39">
        <v>0</v>
      </c>
      <c r="C75" s="21"/>
      <c r="D75" s="21"/>
      <c r="E75" s="21"/>
      <c r="F75" s="21"/>
      <c r="G75" s="21"/>
      <c r="H75" s="22"/>
      <c r="I75" s="22"/>
      <c r="J75" s="22"/>
      <c r="K75" s="22"/>
      <c r="L75" s="22"/>
      <c r="M75" s="22"/>
      <c r="N75" s="22"/>
      <c r="O75" s="142" t="e">
        <f t="shared" si="2"/>
        <v>#DIV/0!</v>
      </c>
      <c r="P75" s="24"/>
    </row>
    <row r="76" spans="1:16" ht="45" hidden="1" customHeight="1">
      <c r="A76" s="140"/>
      <c r="B76" s="39">
        <v>0</v>
      </c>
      <c r="C76" s="21"/>
      <c r="D76" s="21"/>
      <c r="E76" s="21"/>
      <c r="F76" s="21"/>
      <c r="G76" s="21"/>
      <c r="H76" s="22"/>
      <c r="I76" s="22"/>
      <c r="J76" s="22"/>
      <c r="K76" s="22"/>
      <c r="L76" s="22"/>
      <c r="M76" s="22"/>
      <c r="N76" s="22"/>
      <c r="O76" s="142" t="e">
        <f t="shared" si="2"/>
        <v>#DIV/0!</v>
      </c>
      <c r="P76" s="24"/>
    </row>
    <row r="77" spans="1:16" ht="45" hidden="1" customHeight="1">
      <c r="A77" s="140"/>
      <c r="B77" s="39">
        <v>0</v>
      </c>
      <c r="C77" s="21"/>
      <c r="D77" s="21"/>
      <c r="E77" s="21"/>
      <c r="F77" s="21"/>
      <c r="G77" s="21"/>
      <c r="H77" s="22">
        <v>0</v>
      </c>
      <c r="I77" s="22">
        <v>0</v>
      </c>
      <c r="J77" s="22">
        <v>0</v>
      </c>
      <c r="K77" s="22">
        <v>0</v>
      </c>
      <c r="L77" s="22">
        <v>0</v>
      </c>
      <c r="M77" s="22">
        <v>0</v>
      </c>
      <c r="N77" s="22">
        <v>0</v>
      </c>
      <c r="O77" s="142">
        <f t="shared" si="2"/>
        <v>0</v>
      </c>
      <c r="P77" s="24"/>
    </row>
    <row r="78" spans="1:16" ht="45" hidden="1" customHeight="1">
      <c r="A78" s="140"/>
      <c r="B78" s="39">
        <v>0</v>
      </c>
      <c r="C78" s="21"/>
      <c r="D78" s="21"/>
      <c r="E78" s="21"/>
      <c r="F78" s="21"/>
      <c r="G78" s="21"/>
      <c r="H78" s="22" t="s">
        <v>118</v>
      </c>
      <c r="I78" s="22"/>
      <c r="J78" s="22"/>
      <c r="K78" s="22"/>
      <c r="L78" s="22"/>
      <c r="M78" s="22"/>
      <c r="N78" s="22"/>
      <c r="O78" s="142" t="e">
        <f t="shared" si="2"/>
        <v>#DIV/0!</v>
      </c>
      <c r="P78" s="24"/>
    </row>
    <row r="79" spans="1:16" ht="45" hidden="1" customHeight="1">
      <c r="A79" s="140"/>
      <c r="B79" s="39">
        <v>0</v>
      </c>
      <c r="C79" s="21"/>
      <c r="D79" s="21"/>
      <c r="E79" s="21"/>
      <c r="F79" s="21"/>
      <c r="G79" s="21"/>
      <c r="H79" s="22"/>
      <c r="I79" s="22"/>
      <c r="J79" s="22"/>
      <c r="K79" s="22"/>
      <c r="L79" s="22"/>
      <c r="M79" s="22"/>
      <c r="N79" s="22"/>
      <c r="O79" s="142" t="e">
        <f t="shared" si="2"/>
        <v>#DIV/0!</v>
      </c>
      <c r="P79" s="24"/>
    </row>
    <row r="80" spans="1:16" ht="45" hidden="1" customHeight="1">
      <c r="A80" s="140"/>
      <c r="B80" s="39">
        <v>0</v>
      </c>
      <c r="C80" s="21"/>
      <c r="D80" s="21"/>
      <c r="E80" s="21"/>
      <c r="F80" s="21"/>
      <c r="G80" s="21"/>
      <c r="H80" s="22">
        <v>0</v>
      </c>
      <c r="I80" s="22">
        <v>0</v>
      </c>
      <c r="J80" s="22">
        <v>0</v>
      </c>
      <c r="K80" s="22">
        <v>0</v>
      </c>
      <c r="L80" s="22">
        <v>0</v>
      </c>
      <c r="M80" s="22">
        <v>0</v>
      </c>
      <c r="N80" s="22">
        <v>0</v>
      </c>
      <c r="O80" s="23">
        <f t="shared" ref="O80:O111" si="3">AVERAGE(H80:N82)</f>
        <v>0</v>
      </c>
      <c r="P80" s="24"/>
    </row>
    <row r="81" spans="1:16" ht="45" hidden="1" customHeight="1">
      <c r="A81" s="140"/>
      <c r="B81" s="39">
        <v>0</v>
      </c>
      <c r="C81" s="21"/>
      <c r="D81" s="21"/>
      <c r="E81" s="21"/>
      <c r="F81" s="21"/>
      <c r="G81" s="21"/>
      <c r="H81" s="22">
        <v>0</v>
      </c>
      <c r="I81" s="22">
        <v>0</v>
      </c>
      <c r="J81" s="22">
        <v>0</v>
      </c>
      <c r="K81" s="22">
        <v>0</v>
      </c>
      <c r="L81" s="22">
        <v>0</v>
      </c>
      <c r="M81" s="22">
        <v>0</v>
      </c>
      <c r="N81" s="22">
        <v>0</v>
      </c>
      <c r="O81" s="23">
        <f t="shared" si="3"/>
        <v>0</v>
      </c>
      <c r="P81" s="24"/>
    </row>
    <row r="82" spans="1:16" ht="45" hidden="1"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hidden="1"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ref="O112:O143" si="4">AVERAGE(H112:N114)</f>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4"/>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4"/>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4"/>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4"/>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4"/>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4"/>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4"/>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4"/>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4"/>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4"/>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4"/>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4"/>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4"/>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4"/>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4"/>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4"/>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4"/>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4"/>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4"/>
        <v>0</v>
      </c>
      <c r="P137" s="24"/>
    </row>
    <row r="138" spans="1:16" ht="45" hidden="1" customHeight="1">
      <c r="A138" s="152"/>
      <c r="B138" s="39">
        <v>0</v>
      </c>
      <c r="C138" s="25"/>
      <c r="D138" s="25"/>
      <c r="E138" s="25"/>
      <c r="F138" s="25"/>
      <c r="G138" s="25"/>
      <c r="H138" s="36">
        <v>0</v>
      </c>
      <c r="I138" s="37">
        <v>0</v>
      </c>
      <c r="J138" s="37">
        <v>0</v>
      </c>
      <c r="K138" s="37">
        <v>0</v>
      </c>
      <c r="L138" s="37">
        <v>0</v>
      </c>
      <c r="M138" s="37">
        <v>0</v>
      </c>
      <c r="N138" s="37">
        <v>0</v>
      </c>
      <c r="O138" s="38">
        <f t="shared" si="4"/>
        <v>0</v>
      </c>
      <c r="P138" s="19"/>
    </row>
    <row r="139" spans="1:16" ht="45" hidden="1" customHeight="1">
      <c r="A139" s="153"/>
      <c r="B139" s="39">
        <v>0</v>
      </c>
      <c r="C139" s="21"/>
      <c r="D139" s="21"/>
      <c r="E139" s="21"/>
      <c r="F139" s="21"/>
      <c r="G139" s="21"/>
      <c r="H139" s="32">
        <v>0</v>
      </c>
      <c r="I139" s="22">
        <v>0</v>
      </c>
      <c r="J139" s="22">
        <v>0</v>
      </c>
      <c r="K139" s="22">
        <v>0</v>
      </c>
      <c r="L139" s="22">
        <v>0</v>
      </c>
      <c r="M139" s="22">
        <v>0</v>
      </c>
      <c r="N139" s="22">
        <v>0</v>
      </c>
      <c r="O139" s="23">
        <f t="shared" si="4"/>
        <v>0</v>
      </c>
      <c r="P139" s="24"/>
    </row>
    <row r="140" spans="1:16" ht="45" hidden="1" customHeight="1">
      <c r="A140" s="153"/>
      <c r="B140" s="39">
        <v>0</v>
      </c>
      <c r="C140" s="21"/>
      <c r="D140" s="21"/>
      <c r="E140" s="21"/>
      <c r="F140" s="21"/>
      <c r="G140" s="21"/>
      <c r="H140" s="32">
        <v>0</v>
      </c>
      <c r="I140" s="22">
        <v>0</v>
      </c>
      <c r="J140" s="22">
        <v>0</v>
      </c>
      <c r="K140" s="22">
        <v>0</v>
      </c>
      <c r="L140" s="22">
        <v>0</v>
      </c>
      <c r="M140" s="22">
        <v>0</v>
      </c>
      <c r="N140" s="22">
        <v>0</v>
      </c>
      <c r="O140" s="23">
        <f t="shared" si="4"/>
        <v>0.23809523809523808</v>
      </c>
      <c r="P140" s="24"/>
    </row>
    <row r="141" spans="1:16" ht="45" hidden="1" customHeight="1">
      <c r="A141" s="153"/>
      <c r="B141" s="39">
        <v>0</v>
      </c>
      <c r="C141" s="21"/>
      <c r="D141" s="21"/>
      <c r="E141" s="21"/>
      <c r="F141" s="21"/>
      <c r="G141" s="21"/>
      <c r="H141" s="32">
        <v>0</v>
      </c>
      <c r="I141" s="22">
        <v>0</v>
      </c>
      <c r="J141" s="22">
        <v>0</v>
      </c>
      <c r="K141" s="22">
        <v>0</v>
      </c>
      <c r="L141" s="22">
        <v>0</v>
      </c>
      <c r="M141" s="22">
        <v>0</v>
      </c>
      <c r="N141" s="22">
        <v>0</v>
      </c>
      <c r="O141" s="23">
        <f t="shared" si="4"/>
        <v>0.35714285714285715</v>
      </c>
      <c r="P141" s="24"/>
    </row>
    <row r="142" spans="1:16" ht="45" hidden="1" customHeight="1">
      <c r="A142" s="153"/>
      <c r="B142" s="39">
        <v>5</v>
      </c>
      <c r="C142" s="21"/>
      <c r="D142" s="21"/>
      <c r="E142" s="21"/>
      <c r="F142" s="21"/>
      <c r="G142" s="21"/>
      <c r="H142" s="32">
        <v>0</v>
      </c>
      <c r="I142" s="22">
        <v>0</v>
      </c>
      <c r="J142" s="22">
        <v>0</v>
      </c>
      <c r="K142" s="22">
        <v>0</v>
      </c>
      <c r="L142" s="22">
        <v>0</v>
      </c>
      <c r="M142" s="22">
        <v>0</v>
      </c>
      <c r="N142" s="22">
        <v>5</v>
      </c>
      <c r="O142" s="23">
        <f t="shared" si="4"/>
        <v>0.7142857142857143</v>
      </c>
      <c r="P142" s="24"/>
    </row>
  </sheetData>
  <autoFilter ref="A2:P142" xr:uid="{C4E090FE-E85A-46BE-9ADE-C9CC1CB23DEA}">
    <filterColumn colId="2">
      <filters>
        <filter val="Elsa"/>
        <filter val="Elsa / Benjamin D"/>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4AB7F0E2-D7E0-4AE1-9ABF-8B26826C03B5}"/>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BDEBD0E-DCB4-4F77-8269-DBBA5E3F0B50}">
          <x14:formula1>
            <xm:f>'Guide suivi GDP '!$E$3:$E$8</xm:f>
          </x14:formula1>
          <xm:sqref>D3:D142</xm:sqref>
        </x14:dataValidation>
        <x14:dataValidation type="list" allowBlank="1" showInputMessage="1" showErrorMessage="1" xr:uid="{B79BF89A-77DF-4152-9B1A-FA5BE71491A5}">
          <x14:formula1>
            <xm:f>'Guide suivi GDP '!$E$20:$E$24</xm:f>
          </x14:formula1>
          <xm:sqref>E3:E142</xm:sqref>
        </x14:dataValidation>
        <x14:dataValidation type="list" allowBlank="1" showInputMessage="1" showErrorMessage="1" xr:uid="{AB6F6FE3-8D9F-4511-AB1F-9D2BCB34F60D}">
          <x14:formula1>
            <xm:f>'Guide suivi GDP '!$E$14:$E$19</xm:f>
          </x14:formula1>
          <xm:sqref>F3:F142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CB11-442C-4B5C-97B5-B7C14F6FA917}">
  <sheetPr filterMode="1">
    <tabColor rgb="FF92D050"/>
  </sheetPr>
  <dimension ref="A1:Q142"/>
  <sheetViews>
    <sheetView zoomScale="115" zoomScaleNormal="115" workbookViewId="0">
      <pane xSplit="1" ySplit="2" topLeftCell="P28" activePane="bottomRight" state="frozen"/>
      <selection pane="topRight"/>
      <selection pane="bottomLeft" activeCell="B1" sqref="B1"/>
      <selection pane="bottomRight" activeCell="P42" sqref="P42"/>
    </sheetView>
  </sheetViews>
  <sheetFormatPr baseColWidth="10" defaultColWidth="9.140625" defaultRowHeight="12.75" outlineLevelCol="1"/>
  <cols>
    <col min="1" max="1" width="24" style="26" customWidth="1"/>
    <col min="2" max="2" width="9.85546875" style="26" customWidth="1"/>
    <col min="3" max="3" width="12.28515625" style="5" customWidth="1"/>
    <col min="4" max="4" width="11.7109375" style="5" hidden="1" customWidth="1" outlineLevel="1"/>
    <col min="5" max="5" width="15.7109375" style="5" hidden="1" customWidth="1" outlineLevel="1"/>
    <col min="6" max="6" width="12.5703125" style="27" hidden="1" customWidth="1" outlineLevel="1"/>
    <col min="7" max="7" width="14.28515625" style="27" hidden="1" customWidth="1" outlineLevel="1"/>
    <col min="8" max="8" width="14.5703125" style="26" customWidth="1" collapsed="1"/>
    <col min="9" max="9" width="12.7109375" style="26" customWidth="1"/>
    <col min="10" max="10" width="11" style="26" customWidth="1"/>
    <col min="11" max="11" width="8.85546875" style="26" customWidth="1"/>
    <col min="12" max="12" width="11.7109375" style="26" customWidth="1"/>
    <col min="13" max="13" width="12.28515625" style="26" customWidth="1"/>
    <col min="14" max="14" width="15.7109375" style="26" customWidth="1"/>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hidden="1"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102</v>
      </c>
    </row>
    <row r="4" spans="1:16"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hidden="1" customHeight="1">
      <c r="A5" s="153"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318</v>
      </c>
    </row>
    <row r="6" spans="1:16" ht="45" customHeight="1">
      <c r="A6" s="153" t="s">
        <v>170</v>
      </c>
      <c r="B6" s="39">
        <v>0</v>
      </c>
      <c r="C6" s="141" t="s">
        <v>210</v>
      </c>
      <c r="D6" s="141" t="s">
        <v>26</v>
      </c>
      <c r="E6" s="141"/>
      <c r="F6" s="141"/>
      <c r="G6" s="45">
        <v>45565</v>
      </c>
      <c r="H6" s="29">
        <v>0</v>
      </c>
      <c r="I6" s="145">
        <v>5</v>
      </c>
      <c r="J6" s="145">
        <v>0</v>
      </c>
      <c r="K6" s="145">
        <v>3</v>
      </c>
      <c r="L6" s="145">
        <v>2</v>
      </c>
      <c r="M6" s="145">
        <v>1</v>
      </c>
      <c r="N6" s="145">
        <v>0</v>
      </c>
      <c r="O6" s="142">
        <f t="shared" si="0"/>
        <v>1.5714285714285714</v>
      </c>
      <c r="P6" s="143" t="s">
        <v>319</v>
      </c>
    </row>
    <row r="7" spans="1:16" ht="45" hidden="1"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231</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320</v>
      </c>
    </row>
    <row r="10" spans="1:16" ht="45" customHeight="1">
      <c r="A10" s="153" t="s">
        <v>273</v>
      </c>
      <c r="B10" s="39">
        <v>0</v>
      </c>
      <c r="C10" s="141" t="s">
        <v>210</v>
      </c>
      <c r="D10" s="141"/>
      <c r="E10" s="141"/>
      <c r="F10" s="141"/>
      <c r="G10" s="141"/>
      <c r="H10" s="29">
        <v>0</v>
      </c>
      <c r="I10" s="145">
        <v>0</v>
      </c>
      <c r="J10" s="145">
        <v>0</v>
      </c>
      <c r="K10" s="145">
        <v>0</v>
      </c>
      <c r="L10" s="145">
        <v>0</v>
      </c>
      <c r="M10" s="145">
        <v>0</v>
      </c>
      <c r="N10" s="145">
        <v>0</v>
      </c>
      <c r="O10" s="142">
        <f t="shared" si="0"/>
        <v>0</v>
      </c>
      <c r="P10" s="143" t="s">
        <v>321</v>
      </c>
    </row>
    <row r="11" spans="1:16" ht="45" customHeight="1">
      <c r="A11" s="153" t="s">
        <v>275</v>
      </c>
      <c r="B11" s="39">
        <v>0</v>
      </c>
      <c r="C11" s="141" t="s">
        <v>210</v>
      </c>
      <c r="D11" s="141"/>
      <c r="E11" s="141"/>
      <c r="F11" s="141"/>
      <c r="G11" s="141"/>
      <c r="H11" s="29"/>
      <c r="I11" s="145"/>
      <c r="J11" s="145"/>
      <c r="K11" s="145"/>
      <c r="L11" s="145"/>
      <c r="M11" s="145"/>
      <c r="N11" s="145"/>
      <c r="O11" s="142" t="e">
        <f t="shared" si="0"/>
        <v>#DIV/0!</v>
      </c>
      <c r="P11" s="143" t="s">
        <v>276</v>
      </c>
    </row>
    <row r="12" spans="1:16" ht="45" customHeight="1">
      <c r="A12" s="153" t="s">
        <v>274</v>
      </c>
      <c r="B12" s="39">
        <v>0</v>
      </c>
      <c r="C12" s="141" t="s">
        <v>210</v>
      </c>
      <c r="D12" s="141"/>
      <c r="E12" s="141"/>
      <c r="F12" s="141"/>
      <c r="G12" s="141"/>
      <c r="H12" s="29" t="s">
        <v>118</v>
      </c>
      <c r="I12" s="145" t="s">
        <v>118</v>
      </c>
      <c r="J12" s="145" t="s">
        <v>118</v>
      </c>
      <c r="K12" s="145" t="s">
        <v>118</v>
      </c>
      <c r="L12" s="145" t="s">
        <v>118</v>
      </c>
      <c r="M12" s="145" t="s">
        <v>118</v>
      </c>
      <c r="N12" s="145" t="s">
        <v>118</v>
      </c>
      <c r="O12" s="142" t="e">
        <f t="shared" si="0"/>
        <v>#DIV/0!</v>
      </c>
      <c r="P12" s="143" t="s">
        <v>322</v>
      </c>
    </row>
    <row r="13" spans="1:16" ht="45" customHeight="1">
      <c r="A13" s="153" t="s">
        <v>280</v>
      </c>
      <c r="B13" s="39">
        <v>0</v>
      </c>
      <c r="C13" s="141" t="s">
        <v>210</v>
      </c>
      <c r="D13" s="21"/>
      <c r="E13" s="21"/>
      <c r="F13" s="21"/>
      <c r="G13" s="21"/>
      <c r="H13" s="29"/>
      <c r="I13" s="145"/>
      <c r="J13" s="145"/>
      <c r="K13" s="145"/>
      <c r="L13" s="145"/>
      <c r="M13" s="145"/>
      <c r="N13" s="145"/>
      <c r="O13" s="142" t="e">
        <f t="shared" si="0"/>
        <v>#DIV/0!</v>
      </c>
      <c r="P13" s="46" t="s">
        <v>323</v>
      </c>
    </row>
    <row r="14" spans="1:16" ht="45" customHeight="1">
      <c r="A14" s="153" t="s">
        <v>277</v>
      </c>
      <c r="B14" s="39">
        <v>0</v>
      </c>
      <c r="C14" s="141" t="s">
        <v>210</v>
      </c>
      <c r="D14" s="21"/>
      <c r="E14" s="21"/>
      <c r="F14" s="21"/>
      <c r="G14" s="21"/>
      <c r="H14" s="29">
        <v>0</v>
      </c>
      <c r="I14" s="145">
        <v>0</v>
      </c>
      <c r="J14" s="145">
        <v>0</v>
      </c>
      <c r="K14" s="145">
        <v>0</v>
      </c>
      <c r="L14" s="145">
        <v>0</v>
      </c>
      <c r="M14" s="145">
        <v>0</v>
      </c>
      <c r="N14" s="145">
        <v>0</v>
      </c>
      <c r="O14" s="142">
        <f t="shared" si="0"/>
        <v>0</v>
      </c>
      <c r="P14" s="46" t="s">
        <v>324</v>
      </c>
    </row>
    <row r="15" spans="1:16" ht="45" customHeight="1">
      <c r="A15" s="153" t="s">
        <v>279</v>
      </c>
      <c r="B15" s="39">
        <v>0</v>
      </c>
      <c r="C15" s="141" t="s">
        <v>210</v>
      </c>
      <c r="D15" s="21" t="s">
        <v>6</v>
      </c>
      <c r="E15" s="21"/>
      <c r="F15" s="21"/>
      <c r="G15" s="21"/>
      <c r="H15" s="29"/>
      <c r="I15" s="145"/>
      <c r="J15" s="145"/>
      <c r="K15" s="145"/>
      <c r="L15" s="145"/>
      <c r="M15" s="145"/>
      <c r="N15" s="145"/>
      <c r="O15" s="142" t="e">
        <f t="shared" si="0"/>
        <v>#DIV/0!</v>
      </c>
      <c r="P15" s="46" t="s">
        <v>107</v>
      </c>
    </row>
    <row r="16" spans="1:16" ht="45" hidden="1" customHeight="1">
      <c r="A16" s="153" t="s">
        <v>125</v>
      </c>
      <c r="B16" s="39">
        <v>0</v>
      </c>
      <c r="C16" s="141" t="s">
        <v>123</v>
      </c>
      <c r="D16" s="141" t="s">
        <v>14</v>
      </c>
      <c r="E16" s="141" t="s">
        <v>44</v>
      </c>
      <c r="F16" s="141" t="s">
        <v>41</v>
      </c>
      <c r="G16" s="141"/>
      <c r="H16" s="29">
        <v>2</v>
      </c>
      <c r="I16" s="145">
        <v>5</v>
      </c>
      <c r="J16" s="145">
        <v>0</v>
      </c>
      <c r="K16" s="145">
        <v>4</v>
      </c>
      <c r="L16" s="145">
        <v>1</v>
      </c>
      <c r="M16" s="145">
        <v>1</v>
      </c>
      <c r="N16" s="145">
        <v>1</v>
      </c>
      <c r="O16" s="142">
        <f t="shared" si="0"/>
        <v>2</v>
      </c>
      <c r="P16" s="143" t="s">
        <v>325</v>
      </c>
    </row>
    <row r="17" spans="1:16" ht="45" customHeight="1">
      <c r="A17" s="153" t="s">
        <v>127</v>
      </c>
      <c r="B17" s="39">
        <v>0</v>
      </c>
      <c r="C17" s="141" t="s">
        <v>210</v>
      </c>
      <c r="D17" s="141" t="s">
        <v>26</v>
      </c>
      <c r="E17" s="141" t="s">
        <v>48</v>
      </c>
      <c r="F17" s="141"/>
      <c r="G17" s="141"/>
      <c r="H17" s="29">
        <v>1</v>
      </c>
      <c r="I17" s="145">
        <v>3</v>
      </c>
      <c r="J17" s="145">
        <v>3</v>
      </c>
      <c r="K17" s="145">
        <v>4</v>
      </c>
      <c r="L17" s="145">
        <v>3</v>
      </c>
      <c r="M17" s="145">
        <v>4</v>
      </c>
      <c r="N17" s="145">
        <v>1</v>
      </c>
      <c r="O17" s="142">
        <f t="shared" si="0"/>
        <v>2.7142857142857144</v>
      </c>
      <c r="P17" s="143" t="s">
        <v>326</v>
      </c>
    </row>
    <row r="18" spans="1:16" ht="45" customHeight="1">
      <c r="A18" s="153" t="s">
        <v>243</v>
      </c>
      <c r="B18" s="39">
        <v>0</v>
      </c>
      <c r="C18" s="141" t="s">
        <v>210</v>
      </c>
      <c r="D18" s="141" t="s">
        <v>26</v>
      </c>
      <c r="E18" s="141" t="s">
        <v>48</v>
      </c>
      <c r="F18" s="141"/>
      <c r="G18" s="141"/>
      <c r="H18" s="29">
        <v>2</v>
      </c>
      <c r="I18" s="145">
        <v>1</v>
      </c>
      <c r="J18" s="145">
        <v>0</v>
      </c>
      <c r="K18" s="145">
        <v>0</v>
      </c>
      <c r="L18" s="145">
        <v>0</v>
      </c>
      <c r="M18" s="145">
        <v>1</v>
      </c>
      <c r="N18" s="145">
        <v>0</v>
      </c>
      <c r="O18" s="142">
        <f t="shared" si="0"/>
        <v>0.5714285714285714</v>
      </c>
      <c r="P18" s="143" t="s">
        <v>327</v>
      </c>
    </row>
    <row r="19" spans="1:16" ht="45" hidden="1" customHeight="1">
      <c r="A19" s="41" t="s">
        <v>113</v>
      </c>
      <c r="B19" s="39">
        <v>0</v>
      </c>
      <c r="C19" s="141" t="s">
        <v>51</v>
      </c>
      <c r="D19" s="141" t="s">
        <v>6</v>
      </c>
      <c r="E19" s="141" t="s">
        <v>44</v>
      </c>
      <c r="F19" s="141" t="s">
        <v>39</v>
      </c>
      <c r="G19" s="141"/>
      <c r="H19" s="29">
        <v>0</v>
      </c>
      <c r="I19" s="145">
        <v>0</v>
      </c>
      <c r="J19" s="145">
        <v>0</v>
      </c>
      <c r="K19" s="145">
        <v>0</v>
      </c>
      <c r="L19" s="145">
        <v>0</v>
      </c>
      <c r="M19" s="145">
        <v>0</v>
      </c>
      <c r="N19" s="145">
        <v>0</v>
      </c>
      <c r="O19" s="142">
        <f t="shared" si="0"/>
        <v>0</v>
      </c>
      <c r="P19" s="143" t="s">
        <v>188</v>
      </c>
    </row>
    <row r="20" spans="1:16" ht="45" customHeight="1">
      <c r="A20" s="153" t="s">
        <v>213</v>
      </c>
      <c r="B20" s="39">
        <v>0</v>
      </c>
      <c r="C20" s="141" t="s">
        <v>210</v>
      </c>
      <c r="D20" s="141" t="s">
        <v>6</v>
      </c>
      <c r="E20" s="141"/>
      <c r="F20" s="141"/>
      <c r="G20" s="141"/>
      <c r="H20" s="29" t="s">
        <v>118</v>
      </c>
      <c r="I20" s="145" t="s">
        <v>118</v>
      </c>
      <c r="J20" s="145" t="s">
        <v>118</v>
      </c>
      <c r="K20" s="145" t="s">
        <v>118</v>
      </c>
      <c r="L20" s="145" t="s">
        <v>118</v>
      </c>
      <c r="M20" s="145" t="s">
        <v>118</v>
      </c>
      <c r="N20" s="145" t="s">
        <v>118</v>
      </c>
      <c r="O20" s="142" t="e">
        <f t="shared" si="0"/>
        <v>#DIV/0!</v>
      </c>
      <c r="P20" s="143" t="s">
        <v>328</v>
      </c>
    </row>
    <row r="21" spans="1:16" ht="45" customHeight="1">
      <c r="A21" s="153" t="s">
        <v>154</v>
      </c>
      <c r="B21" s="39">
        <v>0</v>
      </c>
      <c r="C21" s="141" t="s">
        <v>210</v>
      </c>
      <c r="D21" s="141" t="s">
        <v>26</v>
      </c>
      <c r="E21" s="141" t="s">
        <v>48</v>
      </c>
      <c r="F21" s="141"/>
      <c r="G21" s="141"/>
      <c r="H21" s="29">
        <v>0</v>
      </c>
      <c r="I21" s="145">
        <v>0</v>
      </c>
      <c r="J21" s="145">
        <v>0</v>
      </c>
      <c r="K21" s="145">
        <v>0</v>
      </c>
      <c r="L21" s="145">
        <v>0</v>
      </c>
      <c r="M21" s="145">
        <v>0</v>
      </c>
      <c r="N21" s="145">
        <v>0</v>
      </c>
      <c r="O21" s="142">
        <f t="shared" si="0"/>
        <v>0</v>
      </c>
      <c r="P21" s="143" t="s">
        <v>329</v>
      </c>
    </row>
    <row r="22" spans="1:16" ht="45" hidden="1" customHeight="1">
      <c r="A22" s="153" t="s">
        <v>284</v>
      </c>
      <c r="B22" s="39">
        <v>0</v>
      </c>
      <c r="C22" s="21" t="s">
        <v>51</v>
      </c>
      <c r="D22" s="21" t="s">
        <v>6</v>
      </c>
      <c r="E22" s="21"/>
      <c r="F22" s="21"/>
      <c r="G22" s="21"/>
      <c r="H22" s="48"/>
      <c r="I22" s="51"/>
      <c r="J22" s="51"/>
      <c r="K22" s="51"/>
      <c r="L22" s="51"/>
      <c r="M22" s="51"/>
      <c r="N22" s="51"/>
      <c r="O22" s="142" t="e">
        <f t="shared" si="0"/>
        <v>#DIV/0!</v>
      </c>
      <c r="P22" s="46" t="s">
        <v>285</v>
      </c>
    </row>
    <row r="23" spans="1:16" ht="45" hidden="1" customHeight="1">
      <c r="A23" s="153" t="s">
        <v>227</v>
      </c>
      <c r="B23" s="39">
        <v>2</v>
      </c>
      <c r="C23" s="141" t="s">
        <v>51</v>
      </c>
      <c r="D23" s="141" t="s">
        <v>6</v>
      </c>
      <c r="E23" s="141"/>
      <c r="F23" s="141"/>
      <c r="G23" s="141"/>
      <c r="H23" s="29" t="s">
        <v>118</v>
      </c>
      <c r="I23" s="145" t="s">
        <v>118</v>
      </c>
      <c r="J23" s="145" t="s">
        <v>118</v>
      </c>
      <c r="K23" s="145" t="s">
        <v>118</v>
      </c>
      <c r="L23" s="145" t="s">
        <v>118</v>
      </c>
      <c r="M23" s="145" t="s">
        <v>118</v>
      </c>
      <c r="N23" s="145" t="s">
        <v>118</v>
      </c>
      <c r="O23" s="142" t="e">
        <f t="shared" si="0"/>
        <v>#DIV/0!</v>
      </c>
      <c r="P23" s="143" t="s">
        <v>228</v>
      </c>
    </row>
    <row r="24" spans="1:16" ht="45" hidden="1" customHeight="1">
      <c r="A24" s="153" t="s">
        <v>180</v>
      </c>
      <c r="B24" s="39">
        <v>0</v>
      </c>
      <c r="C24" s="141" t="s">
        <v>174</v>
      </c>
      <c r="D24" s="141" t="s">
        <v>6</v>
      </c>
      <c r="E24" s="141"/>
      <c r="F24" s="141"/>
      <c r="G24" s="141"/>
      <c r="H24" s="29" t="s">
        <v>118</v>
      </c>
      <c r="I24" s="145" t="s">
        <v>118</v>
      </c>
      <c r="J24" s="145" t="s">
        <v>118</v>
      </c>
      <c r="K24" s="145" t="s">
        <v>118</v>
      </c>
      <c r="L24" s="145" t="s">
        <v>118</v>
      </c>
      <c r="M24" s="145" t="s">
        <v>118</v>
      </c>
      <c r="N24" s="145" t="s">
        <v>118</v>
      </c>
      <c r="O24" s="142" t="e">
        <f t="shared" si="0"/>
        <v>#DIV/0!</v>
      </c>
      <c r="P24" s="143" t="s">
        <v>330</v>
      </c>
    </row>
    <row r="25" spans="1:16" ht="45" hidden="1" customHeight="1">
      <c r="A25" s="40" t="s">
        <v>215</v>
      </c>
      <c r="B25" s="39">
        <v>0</v>
      </c>
      <c r="C25" s="141" t="s">
        <v>51</v>
      </c>
      <c r="D25" s="141" t="s">
        <v>6</v>
      </c>
      <c r="E25" s="141"/>
      <c r="F25" s="141"/>
      <c r="G25" s="141"/>
      <c r="H25" s="29">
        <v>0</v>
      </c>
      <c r="I25" s="145">
        <v>0</v>
      </c>
      <c r="J25" s="145">
        <v>0</v>
      </c>
      <c r="K25" s="145">
        <v>0</v>
      </c>
      <c r="L25" s="145">
        <v>0</v>
      </c>
      <c r="M25" s="145">
        <v>0</v>
      </c>
      <c r="N25" s="145">
        <v>0</v>
      </c>
      <c r="O25" s="142">
        <f t="shared" si="0"/>
        <v>0</v>
      </c>
      <c r="P25" s="143" t="s">
        <v>216</v>
      </c>
    </row>
    <row r="26" spans="1:16" ht="45" hidden="1" customHeight="1">
      <c r="A26" s="153" t="s">
        <v>156</v>
      </c>
      <c r="B26" s="39">
        <v>0</v>
      </c>
      <c r="C26" s="141" t="s">
        <v>150</v>
      </c>
      <c r="D26" s="141" t="s">
        <v>14</v>
      </c>
      <c r="E26" s="141" t="s">
        <v>44</v>
      </c>
      <c r="F26" s="141" t="s">
        <v>39</v>
      </c>
      <c r="G26" s="45">
        <v>45565</v>
      </c>
      <c r="H26" s="29">
        <v>2</v>
      </c>
      <c r="I26" s="145">
        <v>5</v>
      </c>
      <c r="J26" s="145">
        <v>4</v>
      </c>
      <c r="K26" s="145">
        <v>5</v>
      </c>
      <c r="L26" s="145">
        <v>1</v>
      </c>
      <c r="M26" s="145">
        <v>3</v>
      </c>
      <c r="N26" s="145">
        <v>2</v>
      </c>
      <c r="O26" s="142">
        <f t="shared" si="0"/>
        <v>3.1428571428571428</v>
      </c>
      <c r="P26" s="143" t="s">
        <v>331</v>
      </c>
    </row>
    <row r="27" spans="1:16" ht="45" hidden="1" customHeight="1">
      <c r="A27" s="153" t="s">
        <v>98</v>
      </c>
      <c r="B27" s="39">
        <v>0</v>
      </c>
      <c r="C27" s="141" t="s">
        <v>51</v>
      </c>
      <c r="D27" s="141" t="s">
        <v>26</v>
      </c>
      <c r="E27" s="141" t="s">
        <v>47</v>
      </c>
      <c r="F27" s="141" t="s">
        <v>39</v>
      </c>
      <c r="G27" s="141" t="s">
        <v>230</v>
      </c>
      <c r="H27" s="30">
        <v>2</v>
      </c>
      <c r="I27" s="139">
        <v>0</v>
      </c>
      <c r="J27" s="139">
        <v>0</v>
      </c>
      <c r="K27" s="139">
        <v>0</v>
      </c>
      <c r="L27" s="139">
        <v>0</v>
      </c>
      <c r="M27" s="139">
        <v>2</v>
      </c>
      <c r="N27" s="139">
        <v>1</v>
      </c>
      <c r="O27" s="142">
        <f t="shared" si="0"/>
        <v>0.7142857142857143</v>
      </c>
      <c r="P27" s="138" t="s">
        <v>332</v>
      </c>
    </row>
    <row r="28" spans="1:16" ht="45" customHeight="1">
      <c r="A28" s="153" t="s">
        <v>283</v>
      </c>
      <c r="B28" s="39">
        <v>0</v>
      </c>
      <c r="C28" s="21" t="s">
        <v>210</v>
      </c>
      <c r="D28" s="21" t="s">
        <v>6</v>
      </c>
      <c r="E28" s="21"/>
      <c r="F28" s="21"/>
      <c r="G28" s="21"/>
      <c r="H28" s="48"/>
      <c r="I28" s="51"/>
      <c r="J28" s="51"/>
      <c r="K28" s="51"/>
      <c r="L28" s="51"/>
      <c r="M28" s="51"/>
      <c r="N28" s="51"/>
      <c r="O28" s="142" t="e">
        <f t="shared" si="0"/>
        <v>#DIV/0!</v>
      </c>
      <c r="P28" s="46" t="s">
        <v>333</v>
      </c>
    </row>
    <row r="29" spans="1:16" ht="45" hidden="1" customHeight="1">
      <c r="A29" s="153" t="s">
        <v>103</v>
      </c>
      <c r="B29" s="39">
        <v>0</v>
      </c>
      <c r="C29" s="141" t="s">
        <v>51</v>
      </c>
      <c r="D29" s="141" t="s">
        <v>26</v>
      </c>
      <c r="E29" s="141" t="s">
        <v>48</v>
      </c>
      <c r="F29" s="141"/>
      <c r="G29" s="141"/>
      <c r="H29" s="29">
        <v>0</v>
      </c>
      <c r="I29" s="145" t="s">
        <v>104</v>
      </c>
      <c r="J29" s="145" t="s">
        <v>104</v>
      </c>
      <c r="K29" s="145" t="s">
        <v>104</v>
      </c>
      <c r="L29" s="145" t="s">
        <v>101</v>
      </c>
      <c r="M29" s="145" t="s">
        <v>101</v>
      </c>
      <c r="N29" s="145" t="s">
        <v>101</v>
      </c>
      <c r="O29" s="142">
        <f t="shared" si="0"/>
        <v>0</v>
      </c>
      <c r="P29" s="143" t="s">
        <v>186</v>
      </c>
    </row>
    <row r="30" spans="1:16" ht="45" hidden="1" customHeight="1">
      <c r="A30" s="153" t="s">
        <v>225</v>
      </c>
      <c r="B30" s="39">
        <v>0</v>
      </c>
      <c r="C30" s="141" t="s">
        <v>267</v>
      </c>
      <c r="D30" s="141" t="s">
        <v>6</v>
      </c>
      <c r="E30" s="141"/>
      <c r="F30" s="141"/>
      <c r="G30" s="141"/>
      <c r="H30" s="29">
        <v>0</v>
      </c>
      <c r="I30" s="145">
        <v>0</v>
      </c>
      <c r="J30" s="145">
        <v>0</v>
      </c>
      <c r="K30" s="145">
        <v>0</v>
      </c>
      <c r="L30" s="145">
        <v>0</v>
      </c>
      <c r="M30" s="145">
        <v>0</v>
      </c>
      <c r="N30" s="145">
        <v>0</v>
      </c>
      <c r="O30" s="142">
        <f t="shared" si="0"/>
        <v>0</v>
      </c>
      <c r="P30" s="143" t="s">
        <v>226</v>
      </c>
    </row>
    <row r="31" spans="1:16" ht="45" hidden="1" customHeight="1">
      <c r="A31" s="153" t="s">
        <v>132</v>
      </c>
      <c r="B31" s="39">
        <v>0</v>
      </c>
      <c r="C31" s="141" t="s">
        <v>123</v>
      </c>
      <c r="D31" s="141" t="s">
        <v>26</v>
      </c>
      <c r="E31" s="141" t="s">
        <v>48</v>
      </c>
      <c r="F31" s="141"/>
      <c r="G31" s="141"/>
      <c r="H31" s="29">
        <v>1</v>
      </c>
      <c r="I31" s="145">
        <v>2</v>
      </c>
      <c r="J31" s="145">
        <v>0</v>
      </c>
      <c r="K31" s="145">
        <v>0</v>
      </c>
      <c r="L31" s="145">
        <v>0</v>
      </c>
      <c r="M31" s="145">
        <v>0</v>
      </c>
      <c r="N31" s="145">
        <v>0</v>
      </c>
      <c r="O31" s="142">
        <f t="shared" si="0"/>
        <v>0.42857142857142855</v>
      </c>
      <c r="P31" s="143" t="s">
        <v>334</v>
      </c>
    </row>
    <row r="32" spans="1:16" ht="45" hidden="1" customHeight="1">
      <c r="A32" s="40" t="s">
        <v>147</v>
      </c>
      <c r="B32" s="39">
        <v>0</v>
      </c>
      <c r="C32" s="141" t="s">
        <v>123</v>
      </c>
      <c r="D32" s="141" t="s">
        <v>6</v>
      </c>
      <c r="E32" s="141"/>
      <c r="F32" s="141" t="s">
        <v>39</v>
      </c>
      <c r="G32" s="141"/>
      <c r="H32" s="29">
        <v>3</v>
      </c>
      <c r="I32" s="145">
        <v>0</v>
      </c>
      <c r="J32" s="145">
        <v>0</v>
      </c>
      <c r="K32" s="145">
        <v>0</v>
      </c>
      <c r="L32" s="145">
        <v>0</v>
      </c>
      <c r="M32" s="145">
        <v>0</v>
      </c>
      <c r="N32" s="145">
        <v>0</v>
      </c>
      <c r="O32" s="142">
        <f t="shared" si="0"/>
        <v>0.42857142857142855</v>
      </c>
      <c r="P32" s="143" t="s">
        <v>245</v>
      </c>
    </row>
    <row r="33" spans="1:17" ht="45" hidden="1" customHeight="1">
      <c r="A33" s="153" t="s">
        <v>165</v>
      </c>
      <c r="B33" s="39">
        <v>0</v>
      </c>
      <c r="C33" s="141" t="s">
        <v>150</v>
      </c>
      <c r="D33" s="141"/>
      <c r="E33" s="141"/>
      <c r="F33" s="141"/>
      <c r="G33" s="141"/>
      <c r="H33" s="29">
        <v>0</v>
      </c>
      <c r="I33" s="145">
        <v>0</v>
      </c>
      <c r="J33" s="145">
        <v>0</v>
      </c>
      <c r="K33" s="145">
        <v>0</v>
      </c>
      <c r="L33" s="145">
        <v>0</v>
      </c>
      <c r="M33" s="145">
        <v>0</v>
      </c>
      <c r="N33" s="145">
        <v>1</v>
      </c>
      <c r="O33" s="142">
        <f t="shared" si="0"/>
        <v>0.14285714285714285</v>
      </c>
      <c r="P33" s="143" t="s">
        <v>107</v>
      </c>
    </row>
    <row r="34" spans="1:17" ht="45" hidden="1" customHeight="1">
      <c r="A34" s="40" t="s">
        <v>110</v>
      </c>
      <c r="B34" s="39">
        <v>0</v>
      </c>
      <c r="C34" s="141" t="s">
        <v>51</v>
      </c>
      <c r="D34" s="141" t="s">
        <v>6</v>
      </c>
      <c r="E34" s="141"/>
      <c r="F34" s="141"/>
      <c r="G34" s="141"/>
      <c r="H34" s="29" t="s">
        <v>101</v>
      </c>
      <c r="I34" s="145" t="s">
        <v>101</v>
      </c>
      <c r="J34" s="145" t="s">
        <v>101</v>
      </c>
      <c r="K34" s="145" t="s">
        <v>104</v>
      </c>
      <c r="L34" s="145" t="s">
        <v>101</v>
      </c>
      <c r="M34" s="145" t="s">
        <v>101</v>
      </c>
      <c r="N34" s="145" t="s">
        <v>101</v>
      </c>
      <c r="O34" s="142" t="e">
        <f t="shared" si="0"/>
        <v>#DIV/0!</v>
      </c>
      <c r="P34" s="143" t="s">
        <v>335</v>
      </c>
    </row>
    <row r="35" spans="1:17" ht="45" hidden="1" customHeight="1">
      <c r="A35" s="153" t="s">
        <v>162</v>
      </c>
      <c r="B35" s="39">
        <v>0</v>
      </c>
      <c r="C35" s="141" t="s">
        <v>150</v>
      </c>
      <c r="D35" s="141"/>
      <c r="E35" s="141"/>
      <c r="F35" s="141"/>
      <c r="G35" s="141"/>
      <c r="H35" s="29">
        <v>0</v>
      </c>
      <c r="I35" s="145">
        <v>0</v>
      </c>
      <c r="J35" s="145">
        <v>0</v>
      </c>
      <c r="K35" s="145">
        <v>0</v>
      </c>
      <c r="L35" s="145">
        <v>0</v>
      </c>
      <c r="M35" s="145">
        <v>0</v>
      </c>
      <c r="N35" s="145">
        <v>0</v>
      </c>
      <c r="O35" s="142">
        <f t="shared" ref="O35:O66" si="1">AVERAGE(H35:N35)</f>
        <v>0</v>
      </c>
      <c r="P35" s="143" t="s">
        <v>336</v>
      </c>
    </row>
    <row r="36" spans="1:17" ht="45" hidden="1" customHeight="1">
      <c r="A36" s="153" t="s">
        <v>164</v>
      </c>
      <c r="B36" s="39">
        <v>0</v>
      </c>
      <c r="C36" s="141" t="s">
        <v>150</v>
      </c>
      <c r="D36" s="141"/>
      <c r="E36" s="141"/>
      <c r="F36" s="141"/>
      <c r="G36" s="141"/>
      <c r="H36" s="29">
        <v>0</v>
      </c>
      <c r="I36" s="145">
        <v>0</v>
      </c>
      <c r="J36" s="145">
        <v>0</v>
      </c>
      <c r="K36" s="145">
        <v>0</v>
      </c>
      <c r="L36" s="145">
        <v>0</v>
      </c>
      <c r="M36" s="145">
        <v>0</v>
      </c>
      <c r="N36" s="145">
        <v>0</v>
      </c>
      <c r="O36" s="142">
        <f t="shared" si="1"/>
        <v>0</v>
      </c>
      <c r="P36" s="143" t="s">
        <v>296</v>
      </c>
    </row>
    <row r="37" spans="1:17" ht="45" hidden="1" customHeight="1">
      <c r="A37" s="153" t="s">
        <v>136</v>
      </c>
      <c r="B37" s="39">
        <v>0</v>
      </c>
      <c r="C37" s="141" t="s">
        <v>123</v>
      </c>
      <c r="D37" s="141" t="s">
        <v>10</v>
      </c>
      <c r="E37" s="141" t="s">
        <v>44</v>
      </c>
      <c r="F37" s="141" t="s">
        <v>38</v>
      </c>
      <c r="G37" s="141"/>
      <c r="H37" s="29">
        <v>3</v>
      </c>
      <c r="I37" s="145">
        <v>0</v>
      </c>
      <c r="J37" s="145">
        <v>1</v>
      </c>
      <c r="K37" s="145">
        <v>0</v>
      </c>
      <c r="L37" s="145">
        <v>0</v>
      </c>
      <c r="M37" s="145">
        <v>1</v>
      </c>
      <c r="N37" s="145">
        <v>0</v>
      </c>
      <c r="O37" s="142">
        <f t="shared" si="1"/>
        <v>0.7142857142857143</v>
      </c>
      <c r="P37" s="143" t="s">
        <v>297</v>
      </c>
    </row>
    <row r="38" spans="1:17" ht="45" hidden="1" customHeight="1">
      <c r="A38" s="153" t="s">
        <v>205</v>
      </c>
      <c r="B38" s="39">
        <v>0</v>
      </c>
      <c r="C38" s="141" t="s">
        <v>174</v>
      </c>
      <c r="D38" s="141" t="s">
        <v>6</v>
      </c>
      <c r="E38" s="141"/>
      <c r="F38" s="141"/>
      <c r="G38" s="141"/>
      <c r="H38" s="29">
        <v>0</v>
      </c>
      <c r="I38" s="145">
        <v>0</v>
      </c>
      <c r="J38" s="145">
        <v>0</v>
      </c>
      <c r="K38" s="145">
        <v>0</v>
      </c>
      <c r="L38" s="145">
        <v>0</v>
      </c>
      <c r="M38" s="145">
        <v>0</v>
      </c>
      <c r="N38" s="145">
        <v>0</v>
      </c>
      <c r="O38" s="142">
        <f t="shared" si="1"/>
        <v>0</v>
      </c>
      <c r="P38" s="143" t="s">
        <v>257</v>
      </c>
    </row>
    <row r="39" spans="1:17" ht="45" hidden="1" customHeight="1">
      <c r="A39" s="28" t="s">
        <v>158</v>
      </c>
      <c r="B39" s="39">
        <v>0</v>
      </c>
      <c r="C39" s="141" t="s">
        <v>150</v>
      </c>
      <c r="D39" s="141" t="s">
        <v>10</v>
      </c>
      <c r="E39" s="141" t="s">
        <v>48</v>
      </c>
      <c r="F39" s="141" t="s">
        <v>38</v>
      </c>
      <c r="G39" s="141"/>
      <c r="H39" s="29">
        <v>2</v>
      </c>
      <c r="I39" s="145" t="s">
        <v>118</v>
      </c>
      <c r="J39" s="145" t="s">
        <v>118</v>
      </c>
      <c r="K39" s="145">
        <v>2</v>
      </c>
      <c r="L39" s="145">
        <v>0</v>
      </c>
      <c r="M39" s="145">
        <v>0</v>
      </c>
      <c r="N39" s="145" t="s">
        <v>118</v>
      </c>
      <c r="O39" s="142">
        <f t="shared" si="1"/>
        <v>1</v>
      </c>
      <c r="P39" s="143" t="s">
        <v>337</v>
      </c>
      <c r="Q39" s="13" t="s">
        <v>259</v>
      </c>
    </row>
    <row r="40" spans="1:17" ht="45" hidden="1" customHeight="1">
      <c r="A40" s="153" t="s">
        <v>234</v>
      </c>
      <c r="B40" s="39">
        <v>0</v>
      </c>
      <c r="C40" s="141" t="s">
        <v>51</v>
      </c>
      <c r="D40" s="141" t="s">
        <v>18</v>
      </c>
      <c r="E40" s="141" t="s">
        <v>44</v>
      </c>
      <c r="F40" s="141" t="s">
        <v>40</v>
      </c>
      <c r="G40" s="141"/>
      <c r="H40" s="29">
        <v>4</v>
      </c>
      <c r="I40" s="145">
        <v>4</v>
      </c>
      <c r="J40" s="145">
        <v>1</v>
      </c>
      <c r="K40" s="145">
        <v>4</v>
      </c>
      <c r="L40" s="145">
        <v>1</v>
      </c>
      <c r="M40" s="145">
        <v>3</v>
      </c>
      <c r="N40" s="145">
        <v>3</v>
      </c>
      <c r="O40" s="142">
        <f t="shared" si="1"/>
        <v>2.8571428571428572</v>
      </c>
      <c r="P40" s="143" t="s">
        <v>121</v>
      </c>
      <c r="Q40" s="13" t="s">
        <v>259</v>
      </c>
    </row>
    <row r="41" spans="1:17" ht="45" hidden="1" customHeight="1">
      <c r="A41" s="40" t="s">
        <v>111</v>
      </c>
      <c r="B41" s="39">
        <v>0</v>
      </c>
      <c r="C41" s="141" t="s">
        <v>51</v>
      </c>
      <c r="D41" s="141" t="s">
        <v>26</v>
      </c>
      <c r="E41" s="141" t="s">
        <v>45</v>
      </c>
      <c r="F41" s="141" t="s">
        <v>37</v>
      </c>
      <c r="G41" s="141"/>
      <c r="H41" s="29">
        <v>0</v>
      </c>
      <c r="I41" s="145">
        <v>0</v>
      </c>
      <c r="J41" s="145">
        <v>0</v>
      </c>
      <c r="K41" s="145">
        <v>0</v>
      </c>
      <c r="L41" s="145">
        <v>0</v>
      </c>
      <c r="M41" s="145">
        <v>0</v>
      </c>
      <c r="N41" s="145">
        <v>0</v>
      </c>
      <c r="O41" s="142">
        <f t="shared" si="1"/>
        <v>0</v>
      </c>
      <c r="P41" s="143" t="s">
        <v>112</v>
      </c>
    </row>
    <row r="42" spans="1:17" ht="45" hidden="1" customHeight="1">
      <c r="A42" s="153" t="s">
        <v>139</v>
      </c>
      <c r="B42" s="39">
        <v>0</v>
      </c>
      <c r="C42" s="141" t="s">
        <v>123</v>
      </c>
      <c r="D42" s="141" t="s">
        <v>26</v>
      </c>
      <c r="E42" s="141" t="s">
        <v>48</v>
      </c>
      <c r="F42" s="141"/>
      <c r="G42" s="141"/>
      <c r="H42" s="139">
        <v>2</v>
      </c>
      <c r="I42" s="139">
        <v>0</v>
      </c>
      <c r="J42" s="139">
        <v>0</v>
      </c>
      <c r="K42" s="139">
        <v>0</v>
      </c>
      <c r="L42" s="139">
        <v>0</v>
      </c>
      <c r="M42" s="139">
        <v>1</v>
      </c>
      <c r="N42" s="139">
        <v>0</v>
      </c>
      <c r="O42" s="142">
        <f t="shared" si="1"/>
        <v>0.42857142857142855</v>
      </c>
      <c r="P42" s="138" t="s">
        <v>338</v>
      </c>
    </row>
    <row r="43" spans="1:17" ht="45" hidden="1" customHeight="1">
      <c r="A43" s="153" t="s">
        <v>152</v>
      </c>
      <c r="B43" s="39">
        <v>5</v>
      </c>
      <c r="C43" s="141" t="s">
        <v>248</v>
      </c>
      <c r="D43" s="141" t="s">
        <v>14</v>
      </c>
      <c r="E43" s="141" t="s">
        <v>45</v>
      </c>
      <c r="F43" s="141" t="s">
        <v>42</v>
      </c>
      <c r="G43" s="141"/>
      <c r="H43" s="31">
        <v>3</v>
      </c>
      <c r="I43" s="146">
        <v>5</v>
      </c>
      <c r="J43" s="146">
        <v>5</v>
      </c>
      <c r="K43" s="146">
        <v>4</v>
      </c>
      <c r="L43" s="146">
        <v>2</v>
      </c>
      <c r="M43" s="146">
        <v>1</v>
      </c>
      <c r="N43" s="146" t="s">
        <v>118</v>
      </c>
      <c r="O43" s="142">
        <f t="shared" si="1"/>
        <v>3.3333333333333335</v>
      </c>
      <c r="P43" s="144" t="s">
        <v>299</v>
      </c>
    </row>
    <row r="44" spans="1:17" ht="45" hidden="1" customHeight="1">
      <c r="A44" s="153" t="s">
        <v>172</v>
      </c>
      <c r="B44" s="39">
        <v>3</v>
      </c>
      <c r="C44" s="141" t="s">
        <v>51</v>
      </c>
      <c r="D44" s="141"/>
      <c r="E44" s="141"/>
      <c r="F44" s="141"/>
      <c r="G44" s="141"/>
      <c r="H44" s="30">
        <v>0</v>
      </c>
      <c r="I44" s="139">
        <v>0</v>
      </c>
      <c r="J44" s="139">
        <v>0</v>
      </c>
      <c r="K44" s="139">
        <v>0</v>
      </c>
      <c r="L44" s="139">
        <v>0</v>
      </c>
      <c r="M44" s="139">
        <v>0</v>
      </c>
      <c r="N44" s="139">
        <v>0</v>
      </c>
      <c r="O44" s="142">
        <f t="shared" si="1"/>
        <v>0</v>
      </c>
      <c r="P44" s="138" t="s">
        <v>300</v>
      </c>
    </row>
    <row r="45" spans="1:17" ht="45" hidden="1" customHeight="1">
      <c r="A45" s="41" t="s">
        <v>106</v>
      </c>
      <c r="B45" s="39">
        <v>0</v>
      </c>
      <c r="C45" s="141" t="s">
        <v>51</v>
      </c>
      <c r="D45" s="141"/>
      <c r="E45" s="141"/>
      <c r="F45" s="141"/>
      <c r="G45" s="141"/>
      <c r="H45" s="30">
        <v>0</v>
      </c>
      <c r="I45" s="139" t="s">
        <v>101</v>
      </c>
      <c r="J45" s="139" t="s">
        <v>101</v>
      </c>
      <c r="K45" s="139" t="s">
        <v>104</v>
      </c>
      <c r="L45" s="139" t="s">
        <v>101</v>
      </c>
      <c r="M45" s="139" t="s">
        <v>101</v>
      </c>
      <c r="N45" s="139" t="s">
        <v>96</v>
      </c>
      <c r="O45" s="142">
        <f t="shared" si="1"/>
        <v>0</v>
      </c>
      <c r="P45" s="138" t="s">
        <v>107</v>
      </c>
    </row>
    <row r="46" spans="1:17" ht="45" hidden="1" customHeight="1">
      <c r="A46" s="153" t="s">
        <v>168</v>
      </c>
      <c r="B46" s="39">
        <v>5</v>
      </c>
      <c r="C46" s="141" t="s">
        <v>123</v>
      </c>
      <c r="D46" s="141" t="s">
        <v>10</v>
      </c>
      <c r="E46" s="141" t="s">
        <v>44</v>
      </c>
      <c r="F46" s="141" t="s">
        <v>38</v>
      </c>
      <c r="G46" s="141"/>
      <c r="H46" s="30">
        <v>3</v>
      </c>
      <c r="I46" s="139">
        <v>0</v>
      </c>
      <c r="J46" s="139" t="s">
        <v>118</v>
      </c>
      <c r="K46" s="139">
        <v>3</v>
      </c>
      <c r="L46" s="139" t="s">
        <v>118</v>
      </c>
      <c r="M46" s="139">
        <v>3</v>
      </c>
      <c r="N46" s="139" t="s">
        <v>118</v>
      </c>
      <c r="O46" s="142">
        <f t="shared" si="1"/>
        <v>2.25</v>
      </c>
      <c r="P46" s="138" t="s">
        <v>339</v>
      </c>
    </row>
    <row r="47" spans="1:17" ht="45" hidden="1" customHeight="1">
      <c r="A47" s="153" t="s">
        <v>167</v>
      </c>
      <c r="B47" s="39">
        <v>5</v>
      </c>
      <c r="C47" s="141" t="s">
        <v>123</v>
      </c>
      <c r="D47" s="141" t="s">
        <v>10</v>
      </c>
      <c r="E47" s="141" t="s">
        <v>44</v>
      </c>
      <c r="F47" s="141" t="s">
        <v>38</v>
      </c>
      <c r="G47" s="141"/>
      <c r="H47" s="30">
        <v>3</v>
      </c>
      <c r="I47" s="139">
        <v>0</v>
      </c>
      <c r="J47" s="139" t="s">
        <v>118</v>
      </c>
      <c r="K47" s="139">
        <v>3</v>
      </c>
      <c r="L47" s="139" t="s">
        <v>118</v>
      </c>
      <c r="M47" s="139">
        <v>3</v>
      </c>
      <c r="N47" s="139" t="s">
        <v>118</v>
      </c>
      <c r="O47" s="142">
        <f t="shared" si="1"/>
        <v>2.25</v>
      </c>
      <c r="P47" s="138" t="s">
        <v>302</v>
      </c>
      <c r="Q47" s="13" t="s">
        <v>268</v>
      </c>
    </row>
    <row r="48" spans="1:17" ht="45" hidden="1" customHeight="1">
      <c r="A48" s="153" t="s">
        <v>149</v>
      </c>
      <c r="B48" s="39">
        <v>0</v>
      </c>
      <c r="C48" s="141" t="s">
        <v>51</v>
      </c>
      <c r="D48" s="141" t="s">
        <v>26</v>
      </c>
      <c r="E48" s="141" t="s">
        <v>44</v>
      </c>
      <c r="F48" s="141" t="s">
        <v>37</v>
      </c>
      <c r="G48" s="141"/>
      <c r="H48" s="29">
        <v>5</v>
      </c>
      <c r="I48" s="145">
        <v>5</v>
      </c>
      <c r="J48" s="145">
        <v>5</v>
      </c>
      <c r="K48" s="145">
        <v>5</v>
      </c>
      <c r="L48" s="145">
        <v>5</v>
      </c>
      <c r="M48" s="145">
        <v>5</v>
      </c>
      <c r="N48" s="145">
        <v>5</v>
      </c>
      <c r="O48" s="142">
        <f t="shared" si="1"/>
        <v>5</v>
      </c>
      <c r="P48" s="143" t="s">
        <v>151</v>
      </c>
    </row>
    <row r="49" spans="1:16" ht="45" hidden="1" customHeight="1">
      <c r="A49" s="153" t="s">
        <v>129</v>
      </c>
      <c r="B49" s="39">
        <v>0</v>
      </c>
      <c r="C49" s="141" t="s">
        <v>123</v>
      </c>
      <c r="D49" s="141" t="s">
        <v>26</v>
      </c>
      <c r="E49" s="141" t="s">
        <v>47</v>
      </c>
      <c r="F49" s="141" t="s">
        <v>41</v>
      </c>
      <c r="G49" s="141"/>
      <c r="H49" s="30">
        <v>0</v>
      </c>
      <c r="I49" s="139">
        <v>0</v>
      </c>
      <c r="J49" s="139">
        <v>0</v>
      </c>
      <c r="K49" s="139">
        <v>0</v>
      </c>
      <c r="L49" s="139">
        <v>0</v>
      </c>
      <c r="M49" s="139">
        <v>0</v>
      </c>
      <c r="N49" s="139">
        <v>0</v>
      </c>
      <c r="O49" s="142">
        <f t="shared" si="1"/>
        <v>0</v>
      </c>
      <c r="P49" s="138" t="s">
        <v>238</v>
      </c>
    </row>
    <row r="50" spans="1:16" ht="45" hidden="1" customHeight="1">
      <c r="A50" s="153" t="s">
        <v>134</v>
      </c>
      <c r="B50" s="39">
        <v>0</v>
      </c>
      <c r="C50" s="141" t="s">
        <v>123</v>
      </c>
      <c r="D50" s="141" t="s">
        <v>18</v>
      </c>
      <c r="E50" s="141" t="s">
        <v>44</v>
      </c>
      <c r="F50" s="141" t="s">
        <v>38</v>
      </c>
      <c r="G50" s="141"/>
      <c r="H50" s="30">
        <v>0</v>
      </c>
      <c r="I50" s="139">
        <v>0</v>
      </c>
      <c r="J50" s="139">
        <v>0</v>
      </c>
      <c r="K50" s="139">
        <v>0</v>
      </c>
      <c r="L50" s="139">
        <v>0</v>
      </c>
      <c r="M50" s="139">
        <v>0</v>
      </c>
      <c r="N50" s="139">
        <v>0</v>
      </c>
      <c r="O50" s="142">
        <f t="shared" si="1"/>
        <v>0</v>
      </c>
      <c r="P50" s="138" t="s">
        <v>340</v>
      </c>
    </row>
    <row r="51" spans="1:16" ht="45" customHeight="1">
      <c r="A51" s="152" t="s">
        <v>281</v>
      </c>
      <c r="B51" s="39">
        <v>0</v>
      </c>
      <c r="C51" s="21" t="s">
        <v>210</v>
      </c>
      <c r="D51" s="21" t="s">
        <v>6</v>
      </c>
      <c r="E51" s="21"/>
      <c r="F51" s="21" t="s">
        <v>38</v>
      </c>
      <c r="G51" s="21"/>
      <c r="H51" s="49">
        <v>0</v>
      </c>
      <c r="I51" s="52">
        <v>0</v>
      </c>
      <c r="J51" s="52">
        <v>0</v>
      </c>
      <c r="K51" s="52">
        <v>0</v>
      </c>
      <c r="L51" s="52">
        <v>0</v>
      </c>
      <c r="M51" s="52">
        <v>0</v>
      </c>
      <c r="N51" s="52">
        <v>0</v>
      </c>
      <c r="O51" s="142">
        <f t="shared" si="1"/>
        <v>0</v>
      </c>
      <c r="P51" s="24" t="s">
        <v>341</v>
      </c>
    </row>
    <row r="52" spans="1:16" ht="45" hidden="1" customHeight="1">
      <c r="A52" s="153" t="s">
        <v>219</v>
      </c>
      <c r="B52" s="39">
        <v>0</v>
      </c>
      <c r="C52" s="141" t="s">
        <v>267</v>
      </c>
      <c r="D52" s="141" t="s">
        <v>6</v>
      </c>
      <c r="E52" s="141"/>
      <c r="F52" s="141"/>
      <c r="G52" s="141"/>
      <c r="H52" s="29">
        <v>0</v>
      </c>
      <c r="I52" s="145">
        <v>0</v>
      </c>
      <c r="J52" s="145">
        <v>0</v>
      </c>
      <c r="K52" s="145">
        <v>0</v>
      </c>
      <c r="L52" s="145">
        <v>0</v>
      </c>
      <c r="M52" s="145">
        <v>0</v>
      </c>
      <c r="N52" s="145">
        <v>0</v>
      </c>
      <c r="O52" s="142">
        <f t="shared" si="1"/>
        <v>0</v>
      </c>
      <c r="P52" s="155" t="s">
        <v>220</v>
      </c>
    </row>
    <row r="53" spans="1:16" ht="45" hidden="1" customHeight="1">
      <c r="A53" s="153" t="s">
        <v>221</v>
      </c>
      <c r="B53" s="39">
        <v>0</v>
      </c>
      <c r="C53" s="141" t="s">
        <v>267</v>
      </c>
      <c r="D53" s="141" t="s">
        <v>6</v>
      </c>
      <c r="E53" s="141"/>
      <c r="F53" s="141"/>
      <c r="G53" s="141"/>
      <c r="H53" s="29">
        <v>0</v>
      </c>
      <c r="I53" s="145">
        <v>0</v>
      </c>
      <c r="J53" s="145">
        <v>0</v>
      </c>
      <c r="K53" s="145">
        <v>0</v>
      </c>
      <c r="L53" s="145">
        <v>0</v>
      </c>
      <c r="M53" s="145">
        <v>0</v>
      </c>
      <c r="N53" s="145">
        <v>0</v>
      </c>
      <c r="O53" s="142">
        <f t="shared" si="1"/>
        <v>0</v>
      </c>
      <c r="P53" s="143" t="s">
        <v>222</v>
      </c>
    </row>
    <row r="54" spans="1:16" ht="45" hidden="1" customHeight="1">
      <c r="A54" s="153" t="s">
        <v>253</v>
      </c>
      <c r="B54" s="39">
        <v>0</v>
      </c>
      <c r="C54" s="141" t="s">
        <v>150</v>
      </c>
      <c r="D54" s="141" t="s">
        <v>10</v>
      </c>
      <c r="E54" s="141" t="s">
        <v>44</v>
      </c>
      <c r="F54" s="141" t="s">
        <v>38</v>
      </c>
      <c r="G54" s="141"/>
      <c r="H54" s="29">
        <v>0</v>
      </c>
      <c r="I54" s="145">
        <v>3</v>
      </c>
      <c r="J54" s="145">
        <v>0</v>
      </c>
      <c r="K54" s="145">
        <v>3</v>
      </c>
      <c r="L54" s="145">
        <v>0</v>
      </c>
      <c r="M54" s="145">
        <v>0</v>
      </c>
      <c r="N54" s="145" t="s">
        <v>118</v>
      </c>
      <c r="O54" s="142">
        <f t="shared" si="1"/>
        <v>1</v>
      </c>
      <c r="P54" s="143" t="s">
        <v>342</v>
      </c>
    </row>
    <row r="55" spans="1:16" ht="45" hidden="1" customHeight="1">
      <c r="A55" s="153" t="s">
        <v>130</v>
      </c>
      <c r="B55" s="39">
        <v>0</v>
      </c>
      <c r="C55" s="141" t="s">
        <v>123</v>
      </c>
      <c r="D55" s="141" t="s">
        <v>26</v>
      </c>
      <c r="E55" s="141" t="s">
        <v>44</v>
      </c>
      <c r="F55" s="141" t="s">
        <v>40</v>
      </c>
      <c r="G55" s="141"/>
      <c r="H55" s="29">
        <v>1</v>
      </c>
      <c r="I55" s="145">
        <v>1</v>
      </c>
      <c r="J55" s="145">
        <v>1</v>
      </c>
      <c r="K55" s="145">
        <v>1</v>
      </c>
      <c r="L55" s="145">
        <v>1</v>
      </c>
      <c r="M55" s="145">
        <v>0</v>
      </c>
      <c r="N55" s="145">
        <v>0</v>
      </c>
      <c r="O55" s="142">
        <f t="shared" si="1"/>
        <v>0.7142857142857143</v>
      </c>
      <c r="P55" s="143" t="s">
        <v>305</v>
      </c>
    </row>
    <row r="56" spans="1:16" ht="45" customHeight="1">
      <c r="A56" s="153" t="s">
        <v>143</v>
      </c>
      <c r="B56" s="39">
        <v>0</v>
      </c>
      <c r="C56" s="141" t="s">
        <v>210</v>
      </c>
      <c r="D56" s="141" t="s">
        <v>26</v>
      </c>
      <c r="E56" s="141" t="s">
        <v>48</v>
      </c>
      <c r="F56" s="141"/>
      <c r="G56" s="141"/>
      <c r="H56" s="29">
        <v>0</v>
      </c>
      <c r="I56" s="145">
        <v>0</v>
      </c>
      <c r="J56" s="145">
        <v>0</v>
      </c>
      <c r="K56" s="145">
        <v>0</v>
      </c>
      <c r="L56" s="145">
        <v>0</v>
      </c>
      <c r="M56" s="145">
        <v>0</v>
      </c>
      <c r="N56" s="145">
        <v>0</v>
      </c>
      <c r="O56" s="142">
        <f t="shared" si="1"/>
        <v>0</v>
      </c>
      <c r="P56" s="143" t="s">
        <v>244</v>
      </c>
    </row>
    <row r="57" spans="1:16" ht="45" hidden="1" customHeight="1">
      <c r="A57" s="153" t="s">
        <v>173</v>
      </c>
      <c r="B57" s="39">
        <v>0</v>
      </c>
      <c r="C57" s="141" t="s">
        <v>174</v>
      </c>
      <c r="D57" s="141" t="s">
        <v>6</v>
      </c>
      <c r="E57" s="141"/>
      <c r="F57" s="141"/>
      <c r="G57" s="141"/>
      <c r="H57" s="29" t="s">
        <v>118</v>
      </c>
      <c r="I57" s="145" t="s">
        <v>118</v>
      </c>
      <c r="J57" s="145" t="s">
        <v>118</v>
      </c>
      <c r="K57" s="145" t="s">
        <v>118</v>
      </c>
      <c r="L57" s="145" t="s">
        <v>118</v>
      </c>
      <c r="M57" s="145" t="s">
        <v>118</v>
      </c>
      <c r="N57" s="145" t="s">
        <v>118</v>
      </c>
      <c r="O57" s="142" t="e">
        <f t="shared" si="1"/>
        <v>#DIV/0!</v>
      </c>
      <c r="P57" s="143" t="s">
        <v>175</v>
      </c>
    </row>
    <row r="58" spans="1:16" ht="45" hidden="1" customHeight="1">
      <c r="A58" s="153" t="s">
        <v>176</v>
      </c>
      <c r="B58" s="39">
        <v>0</v>
      </c>
      <c r="C58" s="141" t="s">
        <v>174</v>
      </c>
      <c r="D58" s="141"/>
      <c r="E58" s="141"/>
      <c r="F58" s="141"/>
      <c r="G58" s="141"/>
      <c r="H58" s="29" t="s">
        <v>118</v>
      </c>
      <c r="I58" s="29" t="s">
        <v>118</v>
      </c>
      <c r="J58" s="29" t="s">
        <v>118</v>
      </c>
      <c r="K58" s="29" t="s">
        <v>118</v>
      </c>
      <c r="L58" s="29" t="s">
        <v>118</v>
      </c>
      <c r="M58" s="29" t="s">
        <v>118</v>
      </c>
      <c r="N58" s="29" t="s">
        <v>118</v>
      </c>
      <c r="O58" s="142" t="e">
        <f t="shared" si="1"/>
        <v>#DIV/0!</v>
      </c>
      <c r="P58" s="143" t="s">
        <v>343</v>
      </c>
    </row>
    <row r="59" spans="1:16" ht="45" hidden="1" customHeight="1">
      <c r="A59" s="153" t="s">
        <v>246</v>
      </c>
      <c r="B59" s="39">
        <v>0</v>
      </c>
      <c r="C59" s="141" t="s">
        <v>150</v>
      </c>
      <c r="D59" s="141" t="s">
        <v>6</v>
      </c>
      <c r="E59" s="141"/>
      <c r="F59" s="141"/>
      <c r="G59" s="42"/>
      <c r="H59" s="139" t="s">
        <v>118</v>
      </c>
      <c r="I59" s="139" t="s">
        <v>118</v>
      </c>
      <c r="J59" s="139" t="s">
        <v>118</v>
      </c>
      <c r="K59" s="139" t="s">
        <v>118</v>
      </c>
      <c r="L59" s="139" t="s">
        <v>118</v>
      </c>
      <c r="M59" s="139" t="s">
        <v>118</v>
      </c>
      <c r="N59" s="139" t="s">
        <v>118</v>
      </c>
      <c r="O59" s="142" t="e">
        <f t="shared" si="1"/>
        <v>#DIV/0!</v>
      </c>
      <c r="P59" s="138" t="s">
        <v>344</v>
      </c>
    </row>
    <row r="60" spans="1:16" ht="45" hidden="1" customHeight="1">
      <c r="A60" s="153" t="s">
        <v>184</v>
      </c>
      <c r="B60" s="39">
        <v>0</v>
      </c>
      <c r="C60" s="141" t="s">
        <v>174</v>
      </c>
      <c r="D60" s="141" t="s">
        <v>14</v>
      </c>
      <c r="E60" s="141"/>
      <c r="F60" s="141"/>
      <c r="G60" s="42"/>
      <c r="H60" s="139">
        <v>0</v>
      </c>
      <c r="I60" s="139">
        <v>0</v>
      </c>
      <c r="J60" s="139">
        <v>0</v>
      </c>
      <c r="K60" s="139">
        <v>0</v>
      </c>
      <c r="L60" s="139">
        <v>0</v>
      </c>
      <c r="M60" s="139">
        <v>0</v>
      </c>
      <c r="N60" s="139">
        <v>0</v>
      </c>
      <c r="O60" s="142">
        <f t="shared" si="1"/>
        <v>0</v>
      </c>
      <c r="P60" s="138" t="s">
        <v>345</v>
      </c>
    </row>
    <row r="61" spans="1:16" ht="45" hidden="1" customHeight="1">
      <c r="A61" s="28" t="s">
        <v>182</v>
      </c>
      <c r="B61" s="39">
        <v>0</v>
      </c>
      <c r="C61" s="141" t="s">
        <v>174</v>
      </c>
      <c r="D61" s="35" t="s">
        <v>14</v>
      </c>
      <c r="E61" s="35"/>
      <c r="F61" s="35"/>
      <c r="G61" s="43"/>
      <c r="H61" s="139">
        <v>0</v>
      </c>
      <c r="I61" s="139">
        <v>0</v>
      </c>
      <c r="J61" s="139">
        <v>0</v>
      </c>
      <c r="K61" s="139">
        <v>0</v>
      </c>
      <c r="L61" s="139">
        <v>0</v>
      </c>
      <c r="M61" s="139">
        <v>0</v>
      </c>
      <c r="N61" s="139">
        <v>0</v>
      </c>
      <c r="O61" s="142">
        <f t="shared" si="1"/>
        <v>0</v>
      </c>
      <c r="P61" s="138" t="s">
        <v>270</v>
      </c>
    </row>
    <row r="62" spans="1:16" ht="45" hidden="1" customHeight="1">
      <c r="A62" s="140" t="s">
        <v>122</v>
      </c>
      <c r="B62" s="39">
        <v>0</v>
      </c>
      <c r="C62" s="141" t="s">
        <v>123</v>
      </c>
      <c r="D62" s="141" t="s">
        <v>14</v>
      </c>
      <c r="E62" s="141" t="s">
        <v>44</v>
      </c>
      <c r="F62" s="141" t="s">
        <v>40</v>
      </c>
      <c r="G62" s="42"/>
      <c r="H62" s="139">
        <v>3</v>
      </c>
      <c r="I62" s="139">
        <v>0</v>
      </c>
      <c r="J62" s="139">
        <v>4</v>
      </c>
      <c r="K62" s="139">
        <v>1</v>
      </c>
      <c r="L62" s="139" t="s">
        <v>118</v>
      </c>
      <c r="M62" s="139">
        <v>2</v>
      </c>
      <c r="N62" s="139" t="s">
        <v>118</v>
      </c>
      <c r="O62" s="142">
        <f t="shared" si="1"/>
        <v>2</v>
      </c>
      <c r="P62" s="138" t="s">
        <v>308</v>
      </c>
    </row>
    <row r="63" spans="1:16" ht="45" hidden="1" customHeight="1">
      <c r="A63" s="140" t="s">
        <v>223</v>
      </c>
      <c r="B63" s="39">
        <v>0</v>
      </c>
      <c r="C63" s="141" t="s">
        <v>267</v>
      </c>
      <c r="D63" s="141" t="s">
        <v>6</v>
      </c>
      <c r="E63" s="141"/>
      <c r="F63" s="141"/>
      <c r="G63" s="42"/>
      <c r="H63" s="139">
        <v>0</v>
      </c>
      <c r="I63" s="139">
        <v>0</v>
      </c>
      <c r="J63" s="139">
        <v>0</v>
      </c>
      <c r="K63" s="139">
        <v>0</v>
      </c>
      <c r="L63" s="139">
        <v>0</v>
      </c>
      <c r="M63" s="139">
        <v>0</v>
      </c>
      <c r="N63" s="139">
        <v>0</v>
      </c>
      <c r="O63" s="142">
        <f t="shared" si="1"/>
        <v>0</v>
      </c>
      <c r="P63" s="138" t="s">
        <v>224</v>
      </c>
    </row>
    <row r="64" spans="1:16" ht="45" customHeight="1">
      <c r="A64" s="140" t="s">
        <v>169</v>
      </c>
      <c r="B64" s="39">
        <v>3</v>
      </c>
      <c r="C64" s="141" t="s">
        <v>210</v>
      </c>
      <c r="D64" s="141" t="s">
        <v>14</v>
      </c>
      <c r="E64" s="141" t="s">
        <v>44</v>
      </c>
      <c r="F64" s="141" t="s">
        <v>39</v>
      </c>
      <c r="G64" s="42" t="s">
        <v>261</v>
      </c>
      <c r="H64" s="139">
        <v>0</v>
      </c>
      <c r="I64" s="139">
        <v>0</v>
      </c>
      <c r="J64" s="139">
        <v>0</v>
      </c>
      <c r="K64" s="139">
        <v>0</v>
      </c>
      <c r="L64" s="139">
        <v>0</v>
      </c>
      <c r="M64" s="139">
        <v>0</v>
      </c>
      <c r="N64" s="139">
        <v>2</v>
      </c>
      <c r="O64" s="142">
        <f t="shared" si="1"/>
        <v>0.2857142857142857</v>
      </c>
      <c r="P64" s="138" t="s">
        <v>346</v>
      </c>
    </row>
    <row r="65" spans="1:16" ht="45" customHeight="1">
      <c r="A65" s="140" t="s">
        <v>138</v>
      </c>
      <c r="B65" s="39">
        <v>0</v>
      </c>
      <c r="C65" s="141" t="s">
        <v>210</v>
      </c>
      <c r="D65" s="141" t="s">
        <v>26</v>
      </c>
      <c r="E65" s="141" t="s">
        <v>48</v>
      </c>
      <c r="F65" s="141"/>
      <c r="G65" s="141"/>
      <c r="H65" s="50">
        <v>1</v>
      </c>
      <c r="I65" s="50">
        <v>0</v>
      </c>
      <c r="J65" s="50">
        <v>0</v>
      </c>
      <c r="K65" s="50">
        <v>0</v>
      </c>
      <c r="L65" s="50">
        <v>0</v>
      </c>
      <c r="M65" s="50">
        <v>1</v>
      </c>
      <c r="N65" s="50">
        <v>0</v>
      </c>
      <c r="O65" s="142">
        <f t="shared" si="1"/>
        <v>0.2857142857142857</v>
      </c>
      <c r="P65" s="148" t="s">
        <v>347</v>
      </c>
    </row>
    <row r="66" spans="1:16" ht="45" customHeight="1">
      <c r="A66" s="140" t="s">
        <v>217</v>
      </c>
      <c r="B66" s="39">
        <v>0</v>
      </c>
      <c r="C66" s="141" t="s">
        <v>210</v>
      </c>
      <c r="D66" s="141" t="s">
        <v>6</v>
      </c>
      <c r="E66" s="141"/>
      <c r="F66" s="141"/>
      <c r="G66" s="141"/>
      <c r="H66" s="139">
        <v>0</v>
      </c>
      <c r="I66" s="139">
        <v>0</v>
      </c>
      <c r="J66" s="139">
        <v>0</v>
      </c>
      <c r="K66" s="139">
        <v>0</v>
      </c>
      <c r="L66" s="139">
        <v>0</v>
      </c>
      <c r="M66" s="139">
        <v>0</v>
      </c>
      <c r="N66" s="139">
        <v>0</v>
      </c>
      <c r="O66" s="142">
        <f t="shared" si="1"/>
        <v>0</v>
      </c>
      <c r="P66" s="138" t="s">
        <v>311</v>
      </c>
    </row>
    <row r="67" spans="1:16" ht="45" hidden="1" customHeight="1">
      <c r="A67" s="140" t="s">
        <v>171</v>
      </c>
      <c r="B67" s="39">
        <v>0</v>
      </c>
      <c r="C67" s="141" t="s">
        <v>150</v>
      </c>
      <c r="D67" s="141" t="s">
        <v>6</v>
      </c>
      <c r="E67" s="141"/>
      <c r="F67" s="141"/>
      <c r="G67" s="141"/>
      <c r="H67" s="139">
        <v>0</v>
      </c>
      <c r="I67" s="139">
        <v>0</v>
      </c>
      <c r="J67" s="139">
        <v>0</v>
      </c>
      <c r="K67" s="139">
        <v>0</v>
      </c>
      <c r="L67" s="139">
        <v>0</v>
      </c>
      <c r="M67" s="139">
        <v>0</v>
      </c>
      <c r="N67" s="139">
        <v>0</v>
      </c>
      <c r="O67" s="142">
        <f t="shared" ref="O67:O98" si="2">AVERAGE(H67:N67)</f>
        <v>0</v>
      </c>
      <c r="P67" s="138" t="s">
        <v>312</v>
      </c>
    </row>
    <row r="68" spans="1:16" ht="45" hidden="1" customHeight="1">
      <c r="A68" s="140" t="s">
        <v>313</v>
      </c>
      <c r="B68" s="39">
        <v>0</v>
      </c>
      <c r="C68" s="21" t="s">
        <v>267</v>
      </c>
      <c r="D68" s="21" t="s">
        <v>6</v>
      </c>
      <c r="E68" s="21"/>
      <c r="F68" s="21"/>
      <c r="G68" s="21"/>
      <c r="H68" s="22">
        <v>0</v>
      </c>
      <c r="I68" s="22">
        <v>0</v>
      </c>
      <c r="J68" s="22">
        <v>0</v>
      </c>
      <c r="K68" s="22">
        <v>0</v>
      </c>
      <c r="L68" s="22">
        <v>0</v>
      </c>
      <c r="M68" s="22">
        <v>0</v>
      </c>
      <c r="N68" s="22">
        <v>0</v>
      </c>
      <c r="O68" s="142">
        <f t="shared" si="2"/>
        <v>0</v>
      </c>
      <c r="P68" s="24" t="s">
        <v>314</v>
      </c>
    </row>
    <row r="69" spans="1:16" ht="45" hidden="1" customHeight="1">
      <c r="A69" s="140" t="s">
        <v>315</v>
      </c>
      <c r="B69" s="39">
        <v>0</v>
      </c>
      <c r="C69" s="21" t="s">
        <v>267</v>
      </c>
      <c r="D69" s="21" t="s">
        <v>6</v>
      </c>
      <c r="E69" s="21"/>
      <c r="F69" s="21"/>
      <c r="G69" s="21"/>
      <c r="H69" s="22"/>
      <c r="I69" s="22"/>
      <c r="J69" s="22"/>
      <c r="K69" s="22"/>
      <c r="L69" s="22"/>
      <c r="M69" s="22"/>
      <c r="N69" s="22"/>
      <c r="O69" s="142" t="e">
        <f t="shared" si="2"/>
        <v>#DIV/0!</v>
      </c>
      <c r="P69" s="24" t="s">
        <v>316</v>
      </c>
    </row>
    <row r="70" spans="1:16" ht="45" hidden="1" customHeight="1">
      <c r="A70" s="140"/>
      <c r="B70" s="39">
        <v>0</v>
      </c>
      <c r="C70" s="21"/>
      <c r="D70" s="21"/>
      <c r="E70" s="21"/>
      <c r="F70" s="21"/>
      <c r="G70" s="21"/>
      <c r="H70" s="22"/>
      <c r="I70" s="22"/>
      <c r="J70" s="22"/>
      <c r="K70" s="22"/>
      <c r="L70" s="22"/>
      <c r="M70" s="22"/>
      <c r="N70" s="22"/>
      <c r="O70" s="142" t="e">
        <f t="shared" si="2"/>
        <v>#DIV/0!</v>
      </c>
      <c r="P70" s="24"/>
    </row>
    <row r="71" spans="1:16" ht="45" hidden="1" customHeight="1">
      <c r="A71" s="140"/>
      <c r="B71" s="39">
        <v>0</v>
      </c>
      <c r="C71" s="21"/>
      <c r="D71" s="21"/>
      <c r="E71" s="21"/>
      <c r="F71" s="21"/>
      <c r="G71" s="21"/>
      <c r="H71" s="22">
        <v>0</v>
      </c>
      <c r="I71" s="22">
        <v>0</v>
      </c>
      <c r="J71" s="22">
        <v>0</v>
      </c>
      <c r="K71" s="22">
        <v>0</v>
      </c>
      <c r="L71" s="22">
        <v>0</v>
      </c>
      <c r="M71" s="22">
        <v>0</v>
      </c>
      <c r="N71" s="22">
        <v>0</v>
      </c>
      <c r="O71" s="142">
        <f t="shared" si="2"/>
        <v>0</v>
      </c>
      <c r="P71" s="24"/>
    </row>
    <row r="72" spans="1:16" ht="45" hidden="1" customHeight="1">
      <c r="A72" s="140"/>
      <c r="B72" s="39">
        <v>0</v>
      </c>
      <c r="C72" s="21"/>
      <c r="D72" s="21"/>
      <c r="E72" s="21"/>
      <c r="F72" s="21"/>
      <c r="G72" s="21"/>
      <c r="H72" s="22"/>
      <c r="I72" s="22"/>
      <c r="J72" s="22"/>
      <c r="K72" s="22"/>
      <c r="L72" s="22"/>
      <c r="M72" s="22"/>
      <c r="N72" s="22"/>
      <c r="O72" s="142" t="e">
        <f t="shared" si="2"/>
        <v>#DIV/0!</v>
      </c>
      <c r="P72" s="24"/>
    </row>
    <row r="73" spans="1:16" ht="45" hidden="1" customHeight="1">
      <c r="A73" s="140"/>
      <c r="B73" s="39">
        <v>0</v>
      </c>
      <c r="C73" s="21"/>
      <c r="D73" s="21"/>
      <c r="E73" s="21"/>
      <c r="F73" s="21"/>
      <c r="G73" s="21"/>
      <c r="H73" s="22"/>
      <c r="I73" s="22"/>
      <c r="J73" s="22"/>
      <c r="K73" s="22"/>
      <c r="L73" s="22"/>
      <c r="M73" s="22"/>
      <c r="N73" s="22"/>
      <c r="O73" s="142" t="e">
        <f t="shared" si="2"/>
        <v>#DIV/0!</v>
      </c>
      <c r="P73" s="24"/>
    </row>
    <row r="74" spans="1:16" ht="45" hidden="1" customHeight="1">
      <c r="A74" s="140"/>
      <c r="B74" s="39">
        <v>0</v>
      </c>
      <c r="C74" s="21"/>
      <c r="D74" s="21"/>
      <c r="E74" s="21"/>
      <c r="F74" s="21"/>
      <c r="G74" s="21"/>
      <c r="H74" s="22">
        <v>0</v>
      </c>
      <c r="I74" s="22">
        <v>0</v>
      </c>
      <c r="J74" s="22">
        <v>0</v>
      </c>
      <c r="K74" s="22">
        <v>0</v>
      </c>
      <c r="L74" s="22">
        <v>0</v>
      </c>
      <c r="M74" s="22">
        <v>0</v>
      </c>
      <c r="N74" s="22">
        <v>0</v>
      </c>
      <c r="O74" s="142">
        <f t="shared" si="2"/>
        <v>0</v>
      </c>
      <c r="P74" s="24"/>
    </row>
    <row r="75" spans="1:16" ht="45" hidden="1" customHeight="1">
      <c r="A75" s="140"/>
      <c r="B75" s="39">
        <v>0</v>
      </c>
      <c r="C75" s="21"/>
      <c r="D75" s="21"/>
      <c r="E75" s="21"/>
      <c r="F75" s="21"/>
      <c r="G75" s="21"/>
      <c r="H75" s="22"/>
      <c r="I75" s="22"/>
      <c r="J75" s="22"/>
      <c r="K75" s="22"/>
      <c r="L75" s="22"/>
      <c r="M75" s="22"/>
      <c r="N75" s="22"/>
      <c r="O75" s="142" t="e">
        <f t="shared" si="2"/>
        <v>#DIV/0!</v>
      </c>
      <c r="P75" s="24"/>
    </row>
    <row r="76" spans="1:16" ht="45" hidden="1" customHeight="1">
      <c r="A76" s="140"/>
      <c r="B76" s="39">
        <v>0</v>
      </c>
      <c r="C76" s="21"/>
      <c r="D76" s="21"/>
      <c r="E76" s="21"/>
      <c r="F76" s="21"/>
      <c r="G76" s="21"/>
      <c r="H76" s="22"/>
      <c r="I76" s="22"/>
      <c r="J76" s="22"/>
      <c r="K76" s="22"/>
      <c r="L76" s="22"/>
      <c r="M76" s="22"/>
      <c r="N76" s="22"/>
      <c r="O76" s="142" t="e">
        <f t="shared" si="2"/>
        <v>#DIV/0!</v>
      </c>
      <c r="P76" s="24"/>
    </row>
    <row r="77" spans="1:16" ht="45" hidden="1" customHeight="1">
      <c r="A77" s="140"/>
      <c r="B77" s="39">
        <v>0</v>
      </c>
      <c r="C77" s="21"/>
      <c r="D77" s="21"/>
      <c r="E77" s="21"/>
      <c r="F77" s="21"/>
      <c r="G77" s="21"/>
      <c r="H77" s="22">
        <v>0</v>
      </c>
      <c r="I77" s="22">
        <v>0</v>
      </c>
      <c r="J77" s="22">
        <v>0</v>
      </c>
      <c r="K77" s="22">
        <v>0</v>
      </c>
      <c r="L77" s="22">
        <v>0</v>
      </c>
      <c r="M77" s="22">
        <v>0</v>
      </c>
      <c r="N77" s="22">
        <v>0</v>
      </c>
      <c r="O77" s="142">
        <f t="shared" si="2"/>
        <v>0</v>
      </c>
      <c r="P77" s="24"/>
    </row>
    <row r="78" spans="1:16" ht="45" hidden="1" customHeight="1">
      <c r="A78" s="140"/>
      <c r="B78" s="39">
        <v>0</v>
      </c>
      <c r="C78" s="21"/>
      <c r="D78" s="21"/>
      <c r="E78" s="21"/>
      <c r="F78" s="21"/>
      <c r="G78" s="21"/>
      <c r="H78" s="22" t="s">
        <v>118</v>
      </c>
      <c r="I78" s="22"/>
      <c r="J78" s="22"/>
      <c r="K78" s="22"/>
      <c r="L78" s="22"/>
      <c r="M78" s="22"/>
      <c r="N78" s="22"/>
      <c r="O78" s="142" t="e">
        <f t="shared" si="2"/>
        <v>#DIV/0!</v>
      </c>
      <c r="P78" s="24"/>
    </row>
    <row r="79" spans="1:16" ht="45" hidden="1" customHeight="1">
      <c r="A79" s="140"/>
      <c r="B79" s="39">
        <v>0</v>
      </c>
      <c r="C79" s="21"/>
      <c r="D79" s="21"/>
      <c r="E79" s="21"/>
      <c r="F79" s="21"/>
      <c r="G79" s="21"/>
      <c r="H79" s="22"/>
      <c r="I79" s="22"/>
      <c r="J79" s="22"/>
      <c r="K79" s="22"/>
      <c r="L79" s="22"/>
      <c r="M79" s="22"/>
      <c r="N79" s="22"/>
      <c r="O79" s="142" t="e">
        <f t="shared" si="2"/>
        <v>#DIV/0!</v>
      </c>
      <c r="P79" s="24"/>
    </row>
    <row r="80" spans="1:16" ht="45" hidden="1" customHeight="1">
      <c r="A80" s="140"/>
      <c r="B80" s="39">
        <v>0</v>
      </c>
      <c r="C80" s="21"/>
      <c r="D80" s="21"/>
      <c r="E80" s="21"/>
      <c r="F80" s="21"/>
      <c r="G80" s="21"/>
      <c r="H80" s="22">
        <v>0</v>
      </c>
      <c r="I80" s="22">
        <v>0</v>
      </c>
      <c r="J80" s="22">
        <v>0</v>
      </c>
      <c r="K80" s="22">
        <v>0</v>
      </c>
      <c r="L80" s="22">
        <v>0</v>
      </c>
      <c r="M80" s="22">
        <v>0</v>
      </c>
      <c r="N80" s="22">
        <v>0</v>
      </c>
      <c r="O80" s="23">
        <f t="shared" ref="O80:O111" si="3">AVERAGE(H80:N82)</f>
        <v>0</v>
      </c>
      <c r="P80" s="24"/>
    </row>
    <row r="81" spans="1:16" ht="45" hidden="1" customHeight="1">
      <c r="A81" s="140"/>
      <c r="B81" s="39">
        <v>0</v>
      </c>
      <c r="C81" s="21"/>
      <c r="D81" s="21"/>
      <c r="E81" s="21"/>
      <c r="F81" s="21"/>
      <c r="G81" s="21"/>
      <c r="H81" s="22">
        <v>0</v>
      </c>
      <c r="I81" s="22">
        <v>0</v>
      </c>
      <c r="J81" s="22">
        <v>0</v>
      </c>
      <c r="K81" s="22">
        <v>0</v>
      </c>
      <c r="L81" s="22">
        <v>0</v>
      </c>
      <c r="M81" s="22">
        <v>0</v>
      </c>
      <c r="N81" s="22">
        <v>0</v>
      </c>
      <c r="O81" s="23">
        <f t="shared" si="3"/>
        <v>0</v>
      </c>
      <c r="P81" s="24"/>
    </row>
    <row r="82" spans="1:16" ht="45" hidden="1"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hidden="1"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ref="O112:O143" si="4">AVERAGE(H112:N114)</f>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4"/>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4"/>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4"/>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4"/>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4"/>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4"/>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4"/>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4"/>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4"/>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4"/>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4"/>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4"/>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4"/>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4"/>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4"/>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4"/>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4"/>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4"/>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4"/>
        <v>0</v>
      </c>
      <c r="P137" s="24"/>
    </row>
    <row r="138" spans="1:16" ht="45" hidden="1" customHeight="1">
      <c r="A138" s="152"/>
      <c r="B138" s="39">
        <v>0</v>
      </c>
      <c r="C138" s="25"/>
      <c r="D138" s="25"/>
      <c r="E138" s="25"/>
      <c r="F138" s="25"/>
      <c r="G138" s="25"/>
      <c r="H138" s="36">
        <v>0</v>
      </c>
      <c r="I138" s="37">
        <v>0</v>
      </c>
      <c r="J138" s="37">
        <v>0</v>
      </c>
      <c r="K138" s="37">
        <v>0</v>
      </c>
      <c r="L138" s="37">
        <v>0</v>
      </c>
      <c r="M138" s="37">
        <v>0</v>
      </c>
      <c r="N138" s="37">
        <v>0</v>
      </c>
      <c r="O138" s="38">
        <f t="shared" si="4"/>
        <v>0</v>
      </c>
      <c r="P138" s="19"/>
    </row>
    <row r="139" spans="1:16" ht="45" hidden="1" customHeight="1">
      <c r="A139" s="153"/>
      <c r="B139" s="39">
        <v>0</v>
      </c>
      <c r="C139" s="21"/>
      <c r="D139" s="21"/>
      <c r="E139" s="21"/>
      <c r="F139" s="21"/>
      <c r="G139" s="21"/>
      <c r="H139" s="32">
        <v>0</v>
      </c>
      <c r="I139" s="22">
        <v>0</v>
      </c>
      <c r="J139" s="22">
        <v>0</v>
      </c>
      <c r="K139" s="22">
        <v>0</v>
      </c>
      <c r="L139" s="22">
        <v>0</v>
      </c>
      <c r="M139" s="22">
        <v>0</v>
      </c>
      <c r="N139" s="22">
        <v>0</v>
      </c>
      <c r="O139" s="23">
        <f t="shared" si="4"/>
        <v>0</v>
      </c>
      <c r="P139" s="24"/>
    </row>
    <row r="140" spans="1:16" ht="45" hidden="1" customHeight="1">
      <c r="A140" s="153"/>
      <c r="B140" s="39">
        <v>0</v>
      </c>
      <c r="C140" s="21"/>
      <c r="D140" s="21"/>
      <c r="E140" s="21"/>
      <c r="F140" s="21"/>
      <c r="G140" s="21"/>
      <c r="H140" s="32">
        <v>0</v>
      </c>
      <c r="I140" s="22">
        <v>0</v>
      </c>
      <c r="J140" s="22">
        <v>0</v>
      </c>
      <c r="K140" s="22">
        <v>0</v>
      </c>
      <c r="L140" s="22">
        <v>0</v>
      </c>
      <c r="M140" s="22">
        <v>0</v>
      </c>
      <c r="N140" s="22">
        <v>0</v>
      </c>
      <c r="O140" s="23">
        <f t="shared" si="4"/>
        <v>0.23809523809523808</v>
      </c>
      <c r="P140" s="24"/>
    </row>
    <row r="141" spans="1:16" ht="45" hidden="1" customHeight="1">
      <c r="A141" s="153"/>
      <c r="B141" s="39">
        <v>0</v>
      </c>
      <c r="C141" s="21"/>
      <c r="D141" s="21"/>
      <c r="E141" s="21"/>
      <c r="F141" s="21"/>
      <c r="G141" s="21"/>
      <c r="H141" s="32">
        <v>0</v>
      </c>
      <c r="I141" s="22">
        <v>0</v>
      </c>
      <c r="J141" s="22">
        <v>0</v>
      </c>
      <c r="K141" s="22">
        <v>0</v>
      </c>
      <c r="L141" s="22">
        <v>0</v>
      </c>
      <c r="M141" s="22">
        <v>0</v>
      </c>
      <c r="N141" s="22">
        <v>0</v>
      </c>
      <c r="O141" s="23">
        <f t="shared" si="4"/>
        <v>0.35714285714285715</v>
      </c>
      <c r="P141" s="24"/>
    </row>
    <row r="142" spans="1:16" ht="45" hidden="1" customHeight="1">
      <c r="A142" s="153"/>
      <c r="B142" s="39">
        <v>5</v>
      </c>
      <c r="C142" s="21"/>
      <c r="D142" s="21"/>
      <c r="E142" s="21"/>
      <c r="F142" s="21"/>
      <c r="G142" s="21"/>
      <c r="H142" s="32">
        <v>0</v>
      </c>
      <c r="I142" s="22">
        <v>0</v>
      </c>
      <c r="J142" s="22">
        <v>0</v>
      </c>
      <c r="K142" s="22">
        <v>0</v>
      </c>
      <c r="L142" s="22">
        <v>0</v>
      </c>
      <c r="M142" s="22">
        <v>0</v>
      </c>
      <c r="N142" s="22">
        <v>5</v>
      </c>
      <c r="O142" s="23">
        <f t="shared" si="4"/>
        <v>0.7142857142857143</v>
      </c>
      <c r="P142" s="24"/>
    </row>
  </sheetData>
  <autoFilter ref="A2:P142" xr:uid="{C4E090FE-E85A-46BE-9ADE-C9CC1CB23DEA}">
    <filterColumn colId="2">
      <filters>
        <filter val="Audrey"/>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1C4B6449-BE87-4FB9-B8A4-8A12443C1B28}"/>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A9D39E27-4291-40B2-BCAA-9701909E0AAC}">
          <x14:formula1>
            <xm:f>'Guide suivi GDP '!$E$14:$E$19</xm:f>
          </x14:formula1>
          <xm:sqref>F3:F142</xm:sqref>
        </x14:dataValidation>
        <x14:dataValidation type="list" allowBlank="1" showInputMessage="1" showErrorMessage="1" xr:uid="{573BD5E2-BCB6-4745-93BC-AFDFE8973303}">
          <x14:formula1>
            <xm:f>'Guide suivi GDP '!$E$20:$E$24</xm:f>
          </x14:formula1>
          <xm:sqref>E3:E142</xm:sqref>
        </x14:dataValidation>
        <x14:dataValidation type="list" allowBlank="1" showInputMessage="1" showErrorMessage="1" xr:uid="{3D9A4935-5131-4782-AEC7-7C08B9913FDC}">
          <x14:formula1>
            <xm:f>'Guide suivi GDP '!$E$3:$E$8</xm:f>
          </x14:formula1>
          <xm:sqref>D3:D142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19A3-55CD-46C9-AAA2-91C67BE7F333}">
  <sheetPr>
    <tabColor rgb="FF92D050"/>
  </sheetPr>
  <dimension ref="A1:Q142"/>
  <sheetViews>
    <sheetView zoomScale="115" zoomScaleNormal="115" workbookViewId="0">
      <pane xSplit="1" ySplit="2" topLeftCell="C46" activePane="bottomRight" state="frozen"/>
      <selection pane="topRight"/>
      <selection pane="bottomLeft" activeCell="B1" sqref="B1"/>
      <selection pane="bottomRight" activeCell="C46" sqref="C46"/>
    </sheetView>
  </sheetViews>
  <sheetFormatPr baseColWidth="10" defaultColWidth="9.140625" defaultRowHeight="12.75" outlineLevelCol="1"/>
  <cols>
    <col min="1" max="1" width="24" style="26" customWidth="1"/>
    <col min="2" max="2" width="9.85546875" style="26" customWidth="1"/>
    <col min="3" max="3" width="12.28515625" style="5" customWidth="1"/>
    <col min="4" max="4" width="11.7109375" style="5" hidden="1" customWidth="1" outlineLevel="1"/>
    <col min="5" max="5" width="15.7109375" style="5" hidden="1" customWidth="1" outlineLevel="1"/>
    <col min="6" max="6" width="12.5703125" style="27" hidden="1" customWidth="1" outlineLevel="1"/>
    <col min="7" max="7" width="14.28515625" style="27" hidden="1" customWidth="1" outlineLevel="1"/>
    <col min="8" max="8" width="14.5703125" style="26" customWidth="1" collapsed="1"/>
    <col min="9" max="9" width="12.7109375" style="26" customWidth="1"/>
    <col min="10" max="10" width="11" style="26" customWidth="1"/>
    <col min="11" max="11" width="8.85546875" style="26" customWidth="1"/>
    <col min="12" max="12" width="11.7109375" style="26" customWidth="1"/>
    <col min="13" max="13" width="12.28515625" style="26" customWidth="1"/>
    <col min="14" max="14" width="15.7109375" style="26" customWidth="1"/>
    <col min="15" max="15" width="10.5703125" style="13" bestFit="1" customWidth="1"/>
    <col min="16" max="16" width="60.5703125"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102</v>
      </c>
    </row>
    <row r="4" spans="1:16" ht="45"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customHeight="1">
      <c r="A5" s="153"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318</v>
      </c>
    </row>
    <row r="6" spans="1:16" ht="45" customHeight="1">
      <c r="A6" s="153" t="s">
        <v>170</v>
      </c>
      <c r="B6" s="39">
        <v>0</v>
      </c>
      <c r="C6" s="141" t="s">
        <v>210</v>
      </c>
      <c r="D6" s="141" t="s">
        <v>26</v>
      </c>
      <c r="E6" s="141"/>
      <c r="F6" s="141"/>
      <c r="G6" s="45">
        <v>45565</v>
      </c>
      <c r="H6" s="29">
        <v>0</v>
      </c>
      <c r="I6" s="145">
        <v>5</v>
      </c>
      <c r="J6" s="145">
        <v>0</v>
      </c>
      <c r="K6" s="145">
        <v>3</v>
      </c>
      <c r="L6" s="145">
        <v>2</v>
      </c>
      <c r="M6" s="145">
        <v>1</v>
      </c>
      <c r="N6" s="145">
        <v>0</v>
      </c>
      <c r="O6" s="142">
        <f t="shared" si="0"/>
        <v>1.5714285714285714</v>
      </c>
      <c r="P6" s="143" t="s">
        <v>348</v>
      </c>
    </row>
    <row r="7" spans="1:16"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320</v>
      </c>
    </row>
    <row r="10" spans="1:16" ht="45" customHeight="1">
      <c r="A10" s="153" t="s">
        <v>273</v>
      </c>
      <c r="B10" s="39">
        <v>0</v>
      </c>
      <c r="C10" s="141" t="s">
        <v>210</v>
      </c>
      <c r="D10" s="141"/>
      <c r="E10" s="141"/>
      <c r="F10" s="141"/>
      <c r="G10" s="141"/>
      <c r="H10" s="29">
        <v>0</v>
      </c>
      <c r="I10" s="145">
        <v>0</v>
      </c>
      <c r="J10" s="145">
        <v>0</v>
      </c>
      <c r="K10" s="145">
        <v>0</v>
      </c>
      <c r="L10" s="145">
        <v>0</v>
      </c>
      <c r="M10" s="145">
        <v>0</v>
      </c>
      <c r="N10" s="145">
        <v>0</v>
      </c>
      <c r="O10" s="142">
        <f t="shared" si="0"/>
        <v>0</v>
      </c>
      <c r="P10" s="143" t="s">
        <v>321</v>
      </c>
    </row>
    <row r="11" spans="1:16" ht="45" customHeight="1">
      <c r="A11" s="153" t="s">
        <v>275</v>
      </c>
      <c r="B11" s="39">
        <v>0</v>
      </c>
      <c r="C11" s="141" t="s">
        <v>210</v>
      </c>
      <c r="D11" s="141"/>
      <c r="E11" s="141"/>
      <c r="F11" s="141"/>
      <c r="G11" s="141"/>
      <c r="H11" s="29"/>
      <c r="I11" s="145"/>
      <c r="J11" s="145"/>
      <c r="K11" s="145"/>
      <c r="L11" s="145"/>
      <c r="M11" s="145"/>
      <c r="N11" s="145"/>
      <c r="O11" s="142" t="e">
        <f t="shared" si="0"/>
        <v>#DIV/0!</v>
      </c>
      <c r="P11" s="143" t="s">
        <v>276</v>
      </c>
    </row>
    <row r="12" spans="1:16" ht="45" customHeight="1">
      <c r="A12" s="153" t="s">
        <v>274</v>
      </c>
      <c r="B12" s="39">
        <v>0</v>
      </c>
      <c r="C12" s="141" t="s">
        <v>210</v>
      </c>
      <c r="D12" s="141"/>
      <c r="E12" s="141"/>
      <c r="F12" s="141"/>
      <c r="G12" s="141"/>
      <c r="H12" s="29" t="s">
        <v>118</v>
      </c>
      <c r="I12" s="145" t="s">
        <v>118</v>
      </c>
      <c r="J12" s="145" t="s">
        <v>118</v>
      </c>
      <c r="K12" s="145" t="s">
        <v>118</v>
      </c>
      <c r="L12" s="145" t="s">
        <v>118</v>
      </c>
      <c r="M12" s="145" t="s">
        <v>118</v>
      </c>
      <c r="N12" s="145" t="s">
        <v>118</v>
      </c>
      <c r="O12" s="142" t="e">
        <f t="shared" si="0"/>
        <v>#DIV/0!</v>
      </c>
      <c r="P12" s="143" t="s">
        <v>322</v>
      </c>
    </row>
    <row r="13" spans="1:16" ht="45" customHeight="1">
      <c r="A13" s="153" t="s">
        <v>280</v>
      </c>
      <c r="B13" s="39">
        <v>0</v>
      </c>
      <c r="C13" s="141" t="s">
        <v>210</v>
      </c>
      <c r="D13" s="21"/>
      <c r="E13" s="21"/>
      <c r="F13" s="21"/>
      <c r="G13" s="21"/>
      <c r="H13" s="29"/>
      <c r="I13" s="145"/>
      <c r="J13" s="145"/>
      <c r="K13" s="145"/>
      <c r="L13" s="145"/>
      <c r="M13" s="145"/>
      <c r="N13" s="145"/>
      <c r="O13" s="142" t="e">
        <f t="shared" si="0"/>
        <v>#DIV/0!</v>
      </c>
      <c r="P13" s="46" t="s">
        <v>323</v>
      </c>
    </row>
    <row r="14" spans="1:16" ht="45" customHeight="1">
      <c r="A14" s="153" t="s">
        <v>277</v>
      </c>
      <c r="B14" s="39">
        <v>0</v>
      </c>
      <c r="C14" s="141" t="s">
        <v>210</v>
      </c>
      <c r="D14" s="21"/>
      <c r="E14" s="21"/>
      <c r="F14" s="21"/>
      <c r="G14" s="21"/>
      <c r="H14" s="29">
        <v>0</v>
      </c>
      <c r="I14" s="145">
        <v>0</v>
      </c>
      <c r="J14" s="145">
        <v>0</v>
      </c>
      <c r="K14" s="145">
        <v>0</v>
      </c>
      <c r="L14" s="145">
        <v>0</v>
      </c>
      <c r="M14" s="145">
        <v>0</v>
      </c>
      <c r="N14" s="145">
        <v>0</v>
      </c>
      <c r="O14" s="142">
        <f t="shared" si="0"/>
        <v>0</v>
      </c>
      <c r="P14" s="46" t="s">
        <v>350</v>
      </c>
    </row>
    <row r="15" spans="1:16" ht="45" customHeight="1">
      <c r="A15" s="153" t="s">
        <v>279</v>
      </c>
      <c r="B15" s="39">
        <v>0</v>
      </c>
      <c r="C15" s="141" t="s">
        <v>210</v>
      </c>
      <c r="D15" s="21" t="s">
        <v>6</v>
      </c>
      <c r="E15" s="21"/>
      <c r="F15" s="21"/>
      <c r="G15" s="21"/>
      <c r="H15" s="29"/>
      <c r="I15" s="145"/>
      <c r="J15" s="145"/>
      <c r="K15" s="145"/>
      <c r="L15" s="145"/>
      <c r="M15" s="145"/>
      <c r="N15" s="145"/>
      <c r="O15" s="142" t="e">
        <f t="shared" si="0"/>
        <v>#DIV/0!</v>
      </c>
      <c r="P15" s="46" t="s">
        <v>107</v>
      </c>
    </row>
    <row r="16" spans="1:16" ht="45" customHeight="1">
      <c r="A16" s="153" t="s">
        <v>125</v>
      </c>
      <c r="B16" s="39">
        <v>0</v>
      </c>
      <c r="C16" s="141" t="s">
        <v>123</v>
      </c>
      <c r="D16" s="141" t="s">
        <v>14</v>
      </c>
      <c r="E16" s="141" t="s">
        <v>44</v>
      </c>
      <c r="F16" s="141" t="s">
        <v>41</v>
      </c>
      <c r="G16" s="141"/>
      <c r="H16" s="29">
        <v>2</v>
      </c>
      <c r="I16" s="145">
        <v>5</v>
      </c>
      <c r="J16" s="145">
        <v>0</v>
      </c>
      <c r="K16" s="145">
        <v>4</v>
      </c>
      <c r="L16" s="145">
        <v>1</v>
      </c>
      <c r="M16" s="145">
        <v>1</v>
      </c>
      <c r="N16" s="145">
        <v>1</v>
      </c>
      <c r="O16" s="142">
        <f t="shared" si="0"/>
        <v>2</v>
      </c>
      <c r="P16" s="143" t="s">
        <v>351</v>
      </c>
    </row>
    <row r="17" spans="1:16" ht="45" customHeight="1">
      <c r="A17" s="153" t="s">
        <v>127</v>
      </c>
      <c r="B17" s="39">
        <v>0</v>
      </c>
      <c r="C17" s="141" t="s">
        <v>210</v>
      </c>
      <c r="D17" s="141" t="s">
        <v>26</v>
      </c>
      <c r="E17" s="141" t="s">
        <v>48</v>
      </c>
      <c r="F17" s="141"/>
      <c r="G17" s="141"/>
      <c r="H17" s="29">
        <v>1</v>
      </c>
      <c r="I17" s="145">
        <v>3</v>
      </c>
      <c r="J17" s="145">
        <v>3</v>
      </c>
      <c r="K17" s="145">
        <v>4</v>
      </c>
      <c r="L17" s="145">
        <v>3</v>
      </c>
      <c r="M17" s="145">
        <v>4</v>
      </c>
      <c r="N17" s="145">
        <v>1</v>
      </c>
      <c r="O17" s="142">
        <f t="shared" si="0"/>
        <v>2.7142857142857144</v>
      </c>
      <c r="P17" s="143" t="s">
        <v>352</v>
      </c>
    </row>
    <row r="18" spans="1:16" ht="45" customHeight="1">
      <c r="A18" s="153" t="s">
        <v>243</v>
      </c>
      <c r="B18" s="39">
        <v>0</v>
      </c>
      <c r="C18" s="141" t="s">
        <v>210</v>
      </c>
      <c r="D18" s="141" t="s">
        <v>26</v>
      </c>
      <c r="E18" s="141" t="s">
        <v>48</v>
      </c>
      <c r="F18" s="141"/>
      <c r="G18" s="141"/>
      <c r="H18" s="29">
        <v>2</v>
      </c>
      <c r="I18" s="145">
        <v>1</v>
      </c>
      <c r="J18" s="145">
        <v>0</v>
      </c>
      <c r="K18" s="145">
        <v>0</v>
      </c>
      <c r="L18" s="145">
        <v>0</v>
      </c>
      <c r="M18" s="145">
        <v>1</v>
      </c>
      <c r="N18" s="145">
        <v>0</v>
      </c>
      <c r="O18" s="142">
        <f t="shared" si="0"/>
        <v>0.5714285714285714</v>
      </c>
      <c r="P18" s="143" t="s">
        <v>353</v>
      </c>
    </row>
    <row r="19" spans="1:16" ht="45" customHeight="1">
      <c r="A19" s="41" t="s">
        <v>113</v>
      </c>
      <c r="B19" s="39">
        <v>0</v>
      </c>
      <c r="C19" s="141" t="s">
        <v>51</v>
      </c>
      <c r="D19" s="141" t="s">
        <v>6</v>
      </c>
      <c r="E19" s="141" t="s">
        <v>44</v>
      </c>
      <c r="F19" s="141" t="s">
        <v>39</v>
      </c>
      <c r="G19" s="141"/>
      <c r="H19" s="29">
        <v>0</v>
      </c>
      <c r="I19" s="145">
        <v>0</v>
      </c>
      <c r="J19" s="145">
        <v>0</v>
      </c>
      <c r="K19" s="145">
        <v>0</v>
      </c>
      <c r="L19" s="145">
        <v>0</v>
      </c>
      <c r="M19" s="145">
        <v>0</v>
      </c>
      <c r="N19" s="145">
        <v>0</v>
      </c>
      <c r="O19" s="142">
        <f t="shared" si="0"/>
        <v>0</v>
      </c>
      <c r="P19" s="143" t="s">
        <v>188</v>
      </c>
    </row>
    <row r="20" spans="1:16" ht="45" customHeight="1">
      <c r="A20" s="153" t="s">
        <v>213</v>
      </c>
      <c r="B20" s="39">
        <v>0</v>
      </c>
      <c r="C20" s="141" t="s">
        <v>210</v>
      </c>
      <c r="D20" s="141" t="s">
        <v>6</v>
      </c>
      <c r="E20" s="141"/>
      <c r="F20" s="141"/>
      <c r="G20" s="141"/>
      <c r="H20" s="29" t="s">
        <v>118</v>
      </c>
      <c r="I20" s="145" t="s">
        <v>118</v>
      </c>
      <c r="J20" s="145" t="s">
        <v>118</v>
      </c>
      <c r="K20" s="145" t="s">
        <v>118</v>
      </c>
      <c r="L20" s="145" t="s">
        <v>118</v>
      </c>
      <c r="M20" s="145" t="s">
        <v>118</v>
      </c>
      <c r="N20" s="145" t="s">
        <v>118</v>
      </c>
      <c r="O20" s="142" t="e">
        <f t="shared" si="0"/>
        <v>#DIV/0!</v>
      </c>
      <c r="P20" s="143" t="s">
        <v>354</v>
      </c>
    </row>
    <row r="21" spans="1:16" ht="45" customHeight="1">
      <c r="A21" s="153" t="s">
        <v>154</v>
      </c>
      <c r="B21" s="39">
        <v>0</v>
      </c>
      <c r="C21" s="141" t="s">
        <v>210</v>
      </c>
      <c r="D21" s="141" t="s">
        <v>26</v>
      </c>
      <c r="E21" s="141" t="s">
        <v>48</v>
      </c>
      <c r="F21" s="141"/>
      <c r="G21" s="141"/>
      <c r="H21" s="29">
        <v>0</v>
      </c>
      <c r="I21" s="145">
        <v>0</v>
      </c>
      <c r="J21" s="145">
        <v>0</v>
      </c>
      <c r="K21" s="145">
        <v>0</v>
      </c>
      <c r="L21" s="145">
        <v>0</v>
      </c>
      <c r="M21" s="145">
        <v>0</v>
      </c>
      <c r="N21" s="145">
        <v>0</v>
      </c>
      <c r="O21" s="142">
        <f t="shared" si="0"/>
        <v>0</v>
      </c>
      <c r="P21" s="143" t="s">
        <v>355</v>
      </c>
    </row>
    <row r="22" spans="1:16" ht="45" customHeight="1">
      <c r="A22" s="153" t="s">
        <v>284</v>
      </c>
      <c r="B22" s="39">
        <v>0</v>
      </c>
      <c r="C22" s="21" t="s">
        <v>51</v>
      </c>
      <c r="D22" s="21" t="s">
        <v>6</v>
      </c>
      <c r="E22" s="21"/>
      <c r="F22" s="21"/>
      <c r="G22" s="21"/>
      <c r="H22" s="48"/>
      <c r="I22" s="51"/>
      <c r="J22" s="51"/>
      <c r="K22" s="51"/>
      <c r="L22" s="51"/>
      <c r="M22" s="51"/>
      <c r="N22" s="51"/>
      <c r="O22" s="142" t="e">
        <f t="shared" si="0"/>
        <v>#DIV/0!</v>
      </c>
      <c r="P22" s="46" t="s">
        <v>356</v>
      </c>
    </row>
    <row r="23" spans="1:16" ht="45" customHeight="1">
      <c r="A23" s="153" t="s">
        <v>227</v>
      </c>
      <c r="B23" s="39">
        <v>2</v>
      </c>
      <c r="C23" s="141" t="s">
        <v>51</v>
      </c>
      <c r="D23" s="141" t="s">
        <v>6</v>
      </c>
      <c r="E23" s="141"/>
      <c r="F23" s="141"/>
      <c r="G23" s="141"/>
      <c r="H23" s="29" t="s">
        <v>118</v>
      </c>
      <c r="I23" s="145" t="s">
        <v>118</v>
      </c>
      <c r="J23" s="145" t="s">
        <v>118</v>
      </c>
      <c r="K23" s="145" t="s">
        <v>118</v>
      </c>
      <c r="L23" s="145" t="s">
        <v>118</v>
      </c>
      <c r="M23" s="145" t="s">
        <v>118</v>
      </c>
      <c r="N23" s="145" t="s">
        <v>118</v>
      </c>
      <c r="O23" s="142" t="e">
        <f t="shared" si="0"/>
        <v>#DIV/0!</v>
      </c>
      <c r="P23" s="143" t="s">
        <v>228</v>
      </c>
    </row>
    <row r="24" spans="1:16" ht="45" customHeight="1">
      <c r="A24" s="153" t="s">
        <v>180</v>
      </c>
      <c r="B24" s="39">
        <v>0</v>
      </c>
      <c r="C24" s="141" t="s">
        <v>174</v>
      </c>
      <c r="D24" s="141" t="s">
        <v>6</v>
      </c>
      <c r="E24" s="141"/>
      <c r="F24" s="141"/>
      <c r="G24" s="141"/>
      <c r="H24" s="29" t="s">
        <v>118</v>
      </c>
      <c r="I24" s="145" t="s">
        <v>118</v>
      </c>
      <c r="J24" s="145" t="s">
        <v>118</v>
      </c>
      <c r="K24" s="145" t="s">
        <v>118</v>
      </c>
      <c r="L24" s="145" t="s">
        <v>118</v>
      </c>
      <c r="M24" s="145" t="s">
        <v>118</v>
      </c>
      <c r="N24" s="145" t="s">
        <v>118</v>
      </c>
      <c r="O24" s="142" t="e">
        <f t="shared" si="0"/>
        <v>#DIV/0!</v>
      </c>
      <c r="P24" s="143" t="s">
        <v>357</v>
      </c>
    </row>
    <row r="25" spans="1:16" ht="45" customHeight="1">
      <c r="A25" s="40" t="s">
        <v>215</v>
      </c>
      <c r="B25" s="39">
        <v>0</v>
      </c>
      <c r="C25" s="141" t="s">
        <v>51</v>
      </c>
      <c r="D25" s="141" t="s">
        <v>6</v>
      </c>
      <c r="E25" s="141"/>
      <c r="F25" s="141"/>
      <c r="G25" s="141"/>
      <c r="H25" s="29">
        <v>0</v>
      </c>
      <c r="I25" s="145">
        <v>0</v>
      </c>
      <c r="J25" s="145">
        <v>0</v>
      </c>
      <c r="K25" s="145">
        <v>0</v>
      </c>
      <c r="L25" s="145">
        <v>0</v>
      </c>
      <c r="M25" s="145">
        <v>0</v>
      </c>
      <c r="N25" s="145">
        <v>0</v>
      </c>
      <c r="O25" s="142">
        <f t="shared" si="0"/>
        <v>0</v>
      </c>
      <c r="P25" s="143" t="s">
        <v>216</v>
      </c>
    </row>
    <row r="26" spans="1:16" ht="45" customHeight="1">
      <c r="A26" s="153" t="s">
        <v>156</v>
      </c>
      <c r="B26" s="39">
        <v>0</v>
      </c>
      <c r="C26" s="141" t="s">
        <v>150</v>
      </c>
      <c r="D26" s="141" t="s">
        <v>14</v>
      </c>
      <c r="E26" s="141" t="s">
        <v>44</v>
      </c>
      <c r="F26" s="141" t="s">
        <v>39</v>
      </c>
      <c r="G26" s="45">
        <v>45565</v>
      </c>
      <c r="H26" s="29">
        <v>2</v>
      </c>
      <c r="I26" s="145">
        <v>5</v>
      </c>
      <c r="J26" s="145">
        <v>4</v>
      </c>
      <c r="K26" s="145">
        <v>5</v>
      </c>
      <c r="L26" s="145">
        <v>1</v>
      </c>
      <c r="M26" s="145">
        <v>3</v>
      </c>
      <c r="N26" s="145">
        <v>2</v>
      </c>
      <c r="O26" s="142">
        <f t="shared" si="0"/>
        <v>3.1428571428571428</v>
      </c>
      <c r="P26" s="143" t="s">
        <v>358</v>
      </c>
    </row>
    <row r="27" spans="1:16" ht="45" customHeight="1">
      <c r="A27" s="153" t="s">
        <v>98</v>
      </c>
      <c r="B27" s="39">
        <v>0</v>
      </c>
      <c r="C27" s="141" t="s">
        <v>51</v>
      </c>
      <c r="D27" s="141" t="s">
        <v>26</v>
      </c>
      <c r="E27" s="141" t="s">
        <v>47</v>
      </c>
      <c r="F27" s="141" t="s">
        <v>39</v>
      </c>
      <c r="G27" s="141" t="s">
        <v>230</v>
      </c>
      <c r="H27" s="30">
        <v>2</v>
      </c>
      <c r="I27" s="139">
        <v>0</v>
      </c>
      <c r="J27" s="139">
        <v>0</v>
      </c>
      <c r="K27" s="139">
        <v>0</v>
      </c>
      <c r="L27" s="139">
        <v>0</v>
      </c>
      <c r="M27" s="139">
        <v>2</v>
      </c>
      <c r="N27" s="139">
        <v>1</v>
      </c>
      <c r="O27" s="142">
        <f t="shared" si="0"/>
        <v>0.7142857142857143</v>
      </c>
      <c r="P27" s="138" t="s">
        <v>332</v>
      </c>
    </row>
    <row r="28" spans="1:16" ht="45" customHeight="1">
      <c r="A28" s="153" t="s">
        <v>283</v>
      </c>
      <c r="B28" s="39">
        <v>0</v>
      </c>
      <c r="C28" s="141" t="s">
        <v>210</v>
      </c>
      <c r="D28" s="21" t="s">
        <v>6</v>
      </c>
      <c r="E28" s="21"/>
      <c r="F28" s="21"/>
      <c r="G28" s="21"/>
      <c r="H28" s="48"/>
      <c r="I28" s="51"/>
      <c r="J28" s="51"/>
      <c r="K28" s="51"/>
      <c r="L28" s="51"/>
      <c r="M28" s="51"/>
      <c r="N28" s="51"/>
      <c r="O28" s="142" t="e">
        <f t="shared" si="0"/>
        <v>#DIV/0!</v>
      </c>
      <c r="P28" s="46" t="s">
        <v>359</v>
      </c>
    </row>
    <row r="29" spans="1:16" ht="45" customHeight="1">
      <c r="A29" s="153" t="s">
        <v>103</v>
      </c>
      <c r="B29" s="39">
        <v>0</v>
      </c>
      <c r="C29" s="141" t="s">
        <v>51</v>
      </c>
      <c r="D29" s="141" t="s">
        <v>26</v>
      </c>
      <c r="E29" s="141" t="s">
        <v>48</v>
      </c>
      <c r="F29" s="141"/>
      <c r="G29" s="141"/>
      <c r="H29" s="29">
        <v>0</v>
      </c>
      <c r="I29" s="145" t="s">
        <v>104</v>
      </c>
      <c r="J29" s="145" t="s">
        <v>104</v>
      </c>
      <c r="K29" s="145" t="s">
        <v>104</v>
      </c>
      <c r="L29" s="145" t="s">
        <v>101</v>
      </c>
      <c r="M29" s="145" t="s">
        <v>101</v>
      </c>
      <c r="N29" s="145" t="s">
        <v>101</v>
      </c>
      <c r="O29" s="142">
        <f t="shared" si="0"/>
        <v>0</v>
      </c>
      <c r="P29" s="143" t="s">
        <v>360</v>
      </c>
    </row>
    <row r="30" spans="1:16" ht="45" customHeight="1">
      <c r="A30" s="153" t="s">
        <v>225</v>
      </c>
      <c r="B30" s="39">
        <v>0</v>
      </c>
      <c r="C30" s="141" t="s">
        <v>267</v>
      </c>
      <c r="D30" s="141" t="s">
        <v>6</v>
      </c>
      <c r="E30" s="141"/>
      <c r="F30" s="141"/>
      <c r="G30" s="141"/>
      <c r="H30" s="29">
        <v>0</v>
      </c>
      <c r="I30" s="145">
        <v>0</v>
      </c>
      <c r="J30" s="145">
        <v>0</v>
      </c>
      <c r="K30" s="145">
        <v>0</v>
      </c>
      <c r="L30" s="145">
        <v>0</v>
      </c>
      <c r="M30" s="145">
        <v>0</v>
      </c>
      <c r="N30" s="145">
        <v>0</v>
      </c>
      <c r="O30" s="142">
        <f t="shared" si="0"/>
        <v>0</v>
      </c>
      <c r="P30" s="143" t="s">
        <v>226</v>
      </c>
    </row>
    <row r="31" spans="1:16" ht="45" customHeight="1">
      <c r="A31" s="153" t="s">
        <v>132</v>
      </c>
      <c r="B31" s="39">
        <v>0</v>
      </c>
      <c r="C31" s="141" t="s">
        <v>123</v>
      </c>
      <c r="D31" s="141" t="s">
        <v>26</v>
      </c>
      <c r="E31" s="141" t="s">
        <v>48</v>
      </c>
      <c r="F31" s="141"/>
      <c r="G31" s="141"/>
      <c r="H31" s="29">
        <v>1</v>
      </c>
      <c r="I31" s="145">
        <v>2</v>
      </c>
      <c r="J31" s="145">
        <v>0</v>
      </c>
      <c r="K31" s="145">
        <v>0</v>
      </c>
      <c r="L31" s="145">
        <v>0</v>
      </c>
      <c r="M31" s="145">
        <v>0</v>
      </c>
      <c r="N31" s="145">
        <v>0</v>
      </c>
      <c r="O31" s="142">
        <f t="shared" si="0"/>
        <v>0.42857142857142855</v>
      </c>
      <c r="P31" s="143" t="s">
        <v>334</v>
      </c>
    </row>
    <row r="32" spans="1:16" ht="45" customHeight="1">
      <c r="A32" s="40" t="s">
        <v>147</v>
      </c>
      <c r="B32" s="39">
        <v>0</v>
      </c>
      <c r="C32" s="141" t="s">
        <v>123</v>
      </c>
      <c r="D32" s="141" t="s">
        <v>6</v>
      </c>
      <c r="E32" s="141"/>
      <c r="F32" s="141" t="s">
        <v>39</v>
      </c>
      <c r="G32" s="141"/>
      <c r="H32" s="29">
        <v>3</v>
      </c>
      <c r="I32" s="145">
        <v>0</v>
      </c>
      <c r="J32" s="145">
        <v>0</v>
      </c>
      <c r="K32" s="145">
        <v>0</v>
      </c>
      <c r="L32" s="145">
        <v>0</v>
      </c>
      <c r="M32" s="145">
        <v>0</v>
      </c>
      <c r="N32" s="145">
        <v>0</v>
      </c>
      <c r="O32" s="142">
        <f t="shared" si="0"/>
        <v>0.42857142857142855</v>
      </c>
      <c r="P32" s="143" t="s">
        <v>361</v>
      </c>
    </row>
    <row r="33" spans="1:17" ht="45" customHeight="1">
      <c r="A33" s="153" t="s">
        <v>165</v>
      </c>
      <c r="B33" s="39">
        <v>0</v>
      </c>
      <c r="C33" s="141" t="s">
        <v>150</v>
      </c>
      <c r="D33" s="141"/>
      <c r="E33" s="141"/>
      <c r="F33" s="141"/>
      <c r="G33" s="141"/>
      <c r="H33" s="29">
        <v>0</v>
      </c>
      <c r="I33" s="145">
        <v>0</v>
      </c>
      <c r="J33" s="145">
        <v>0</v>
      </c>
      <c r="K33" s="145">
        <v>0</v>
      </c>
      <c r="L33" s="145">
        <v>0</v>
      </c>
      <c r="M33" s="145">
        <v>0</v>
      </c>
      <c r="N33" s="145">
        <v>1</v>
      </c>
      <c r="O33" s="142">
        <f t="shared" si="0"/>
        <v>0.14285714285714285</v>
      </c>
      <c r="P33" s="143" t="s">
        <v>362</v>
      </c>
    </row>
    <row r="34" spans="1:17" ht="45" customHeight="1">
      <c r="A34" s="40" t="s">
        <v>110</v>
      </c>
      <c r="B34" s="39">
        <v>0</v>
      </c>
      <c r="C34" s="141" t="s">
        <v>51</v>
      </c>
      <c r="D34" s="141" t="s">
        <v>6</v>
      </c>
      <c r="E34" s="141"/>
      <c r="F34" s="141"/>
      <c r="G34" s="141"/>
      <c r="H34" s="29" t="s">
        <v>101</v>
      </c>
      <c r="I34" s="145" t="s">
        <v>101</v>
      </c>
      <c r="J34" s="145" t="s">
        <v>101</v>
      </c>
      <c r="K34" s="145" t="s">
        <v>104</v>
      </c>
      <c r="L34" s="145" t="s">
        <v>101</v>
      </c>
      <c r="M34" s="145" t="s">
        <v>101</v>
      </c>
      <c r="N34" s="145" t="s">
        <v>101</v>
      </c>
      <c r="O34" s="142" t="e">
        <f t="shared" si="0"/>
        <v>#DIV/0!</v>
      </c>
      <c r="P34" s="143" t="s">
        <v>335</v>
      </c>
    </row>
    <row r="35" spans="1:17" ht="45" customHeight="1">
      <c r="A35" s="153" t="s">
        <v>162</v>
      </c>
      <c r="B35" s="39">
        <v>0</v>
      </c>
      <c r="C35" s="141" t="s">
        <v>150</v>
      </c>
      <c r="D35" s="141"/>
      <c r="E35" s="141"/>
      <c r="F35" s="141"/>
      <c r="G35" s="141"/>
      <c r="H35" s="29">
        <v>0</v>
      </c>
      <c r="I35" s="145">
        <v>0</v>
      </c>
      <c r="J35" s="145">
        <v>0</v>
      </c>
      <c r="K35" s="145">
        <v>0</v>
      </c>
      <c r="L35" s="145">
        <v>0</v>
      </c>
      <c r="M35" s="145">
        <v>0</v>
      </c>
      <c r="N35" s="145">
        <v>0</v>
      </c>
      <c r="O35" s="142">
        <f t="shared" ref="O35:O66" si="1">AVERAGE(H35:N35)</f>
        <v>0</v>
      </c>
      <c r="P35" s="143" t="s">
        <v>363</v>
      </c>
    </row>
    <row r="36" spans="1:17" ht="45" customHeight="1">
      <c r="A36" s="153" t="s">
        <v>164</v>
      </c>
      <c r="B36" s="39">
        <v>0</v>
      </c>
      <c r="C36" s="141" t="s">
        <v>150</v>
      </c>
      <c r="D36" s="141"/>
      <c r="E36" s="141"/>
      <c r="F36" s="141"/>
      <c r="G36" s="141"/>
      <c r="H36" s="29">
        <v>0</v>
      </c>
      <c r="I36" s="145">
        <v>0</v>
      </c>
      <c r="J36" s="145">
        <v>0</v>
      </c>
      <c r="K36" s="145">
        <v>0</v>
      </c>
      <c r="L36" s="145">
        <v>0</v>
      </c>
      <c r="M36" s="145">
        <v>0</v>
      </c>
      <c r="N36" s="145">
        <v>0</v>
      </c>
      <c r="O36" s="142">
        <f t="shared" si="1"/>
        <v>0</v>
      </c>
      <c r="P36" s="143" t="s">
        <v>364</v>
      </c>
    </row>
    <row r="37" spans="1:17" ht="45" customHeight="1">
      <c r="A37" s="153" t="s">
        <v>136</v>
      </c>
      <c r="B37" s="39">
        <v>0</v>
      </c>
      <c r="C37" s="141" t="s">
        <v>123</v>
      </c>
      <c r="D37" s="141" t="s">
        <v>10</v>
      </c>
      <c r="E37" s="141" t="s">
        <v>44</v>
      </c>
      <c r="F37" s="141" t="s">
        <v>38</v>
      </c>
      <c r="G37" s="141"/>
      <c r="H37" s="29">
        <v>3</v>
      </c>
      <c r="I37" s="145">
        <v>0</v>
      </c>
      <c r="J37" s="145">
        <v>1</v>
      </c>
      <c r="K37" s="145">
        <v>0</v>
      </c>
      <c r="L37" s="145">
        <v>0</v>
      </c>
      <c r="M37" s="145">
        <v>1</v>
      </c>
      <c r="N37" s="145">
        <v>0</v>
      </c>
      <c r="O37" s="142">
        <f t="shared" si="1"/>
        <v>0.7142857142857143</v>
      </c>
      <c r="P37" s="143" t="s">
        <v>297</v>
      </c>
    </row>
    <row r="38" spans="1:17" ht="45" customHeight="1">
      <c r="A38" s="153" t="s">
        <v>205</v>
      </c>
      <c r="B38" s="39">
        <v>0</v>
      </c>
      <c r="C38" s="141" t="s">
        <v>174</v>
      </c>
      <c r="D38" s="141" t="s">
        <v>6</v>
      </c>
      <c r="E38" s="141"/>
      <c r="F38" s="141"/>
      <c r="G38" s="141"/>
      <c r="H38" s="29">
        <v>0</v>
      </c>
      <c r="I38" s="145">
        <v>0</v>
      </c>
      <c r="J38" s="145">
        <v>0</v>
      </c>
      <c r="K38" s="145">
        <v>0</v>
      </c>
      <c r="L38" s="145">
        <v>0</v>
      </c>
      <c r="M38" s="145">
        <v>0</v>
      </c>
      <c r="N38" s="145">
        <v>0</v>
      </c>
      <c r="O38" s="142">
        <f t="shared" si="1"/>
        <v>0</v>
      </c>
      <c r="P38" s="143" t="s">
        <v>365</v>
      </c>
    </row>
    <row r="39" spans="1:17" ht="45" customHeight="1">
      <c r="A39" s="28" t="s">
        <v>158</v>
      </c>
      <c r="B39" s="39">
        <v>0</v>
      </c>
      <c r="C39" s="141" t="s">
        <v>150</v>
      </c>
      <c r="D39" s="141" t="s">
        <v>10</v>
      </c>
      <c r="E39" s="141" t="s">
        <v>48</v>
      </c>
      <c r="F39" s="141" t="s">
        <v>38</v>
      </c>
      <c r="G39" s="141"/>
      <c r="H39" s="29">
        <v>2</v>
      </c>
      <c r="I39" s="145" t="s">
        <v>118</v>
      </c>
      <c r="J39" s="145" t="s">
        <v>118</v>
      </c>
      <c r="K39" s="145">
        <v>2</v>
      </c>
      <c r="L39" s="145">
        <v>0</v>
      </c>
      <c r="M39" s="145">
        <v>0</v>
      </c>
      <c r="N39" s="145" t="s">
        <v>118</v>
      </c>
      <c r="O39" s="142">
        <f t="shared" si="1"/>
        <v>1</v>
      </c>
      <c r="P39" s="143" t="s">
        <v>366</v>
      </c>
    </row>
    <row r="40" spans="1:17" ht="45" customHeight="1">
      <c r="A40" s="153" t="s">
        <v>234</v>
      </c>
      <c r="B40" s="39">
        <v>0</v>
      </c>
      <c r="C40" s="141" t="s">
        <v>51</v>
      </c>
      <c r="D40" s="141" t="s">
        <v>18</v>
      </c>
      <c r="E40" s="141" t="s">
        <v>44</v>
      </c>
      <c r="F40" s="141" t="s">
        <v>40</v>
      </c>
      <c r="G40" s="141"/>
      <c r="H40" s="29">
        <v>4</v>
      </c>
      <c r="I40" s="145">
        <v>4</v>
      </c>
      <c r="J40" s="145">
        <v>1</v>
      </c>
      <c r="K40" s="145">
        <v>4</v>
      </c>
      <c r="L40" s="145">
        <v>1</v>
      </c>
      <c r="M40" s="145">
        <v>3</v>
      </c>
      <c r="N40" s="145">
        <v>3</v>
      </c>
      <c r="O40" s="142">
        <f t="shared" si="1"/>
        <v>2.8571428571428572</v>
      </c>
      <c r="P40" s="143" t="s">
        <v>367</v>
      </c>
      <c r="Q40" s="13" t="s">
        <v>259</v>
      </c>
    </row>
    <row r="41" spans="1:17" ht="45" customHeight="1">
      <c r="A41" s="40" t="s">
        <v>111</v>
      </c>
      <c r="B41" s="39">
        <v>0</v>
      </c>
      <c r="C41" s="141" t="s">
        <v>51</v>
      </c>
      <c r="D41" s="141" t="s">
        <v>26</v>
      </c>
      <c r="E41" s="141" t="s">
        <v>45</v>
      </c>
      <c r="F41" s="141" t="s">
        <v>37</v>
      </c>
      <c r="G41" s="141"/>
      <c r="H41" s="29">
        <v>0</v>
      </c>
      <c r="I41" s="145">
        <v>0</v>
      </c>
      <c r="J41" s="145">
        <v>0</v>
      </c>
      <c r="K41" s="145">
        <v>0</v>
      </c>
      <c r="L41" s="145">
        <v>0</v>
      </c>
      <c r="M41" s="145">
        <v>0</v>
      </c>
      <c r="N41" s="145">
        <v>0</v>
      </c>
      <c r="O41" s="142">
        <f t="shared" si="1"/>
        <v>0</v>
      </c>
      <c r="P41" s="143" t="s">
        <v>112</v>
      </c>
    </row>
    <row r="42" spans="1:17" ht="45" customHeight="1">
      <c r="A42" s="153" t="s">
        <v>139</v>
      </c>
      <c r="B42" s="39">
        <v>0</v>
      </c>
      <c r="C42" s="141" t="s">
        <v>123</v>
      </c>
      <c r="D42" s="141" t="s">
        <v>26</v>
      </c>
      <c r="E42" s="141" t="s">
        <v>48</v>
      </c>
      <c r="F42" s="141"/>
      <c r="G42" s="141"/>
      <c r="H42" s="139">
        <v>2</v>
      </c>
      <c r="I42" s="139">
        <v>0</v>
      </c>
      <c r="J42" s="139">
        <v>0</v>
      </c>
      <c r="K42" s="139">
        <v>0</v>
      </c>
      <c r="L42" s="139">
        <v>0</v>
      </c>
      <c r="M42" s="139">
        <v>1</v>
      </c>
      <c r="N42" s="139">
        <v>0</v>
      </c>
      <c r="O42" s="142">
        <f t="shared" si="1"/>
        <v>0.42857142857142855</v>
      </c>
      <c r="P42" s="138" t="s">
        <v>368</v>
      </c>
    </row>
    <row r="43" spans="1:17" ht="45" customHeight="1">
      <c r="A43" s="153" t="s">
        <v>152</v>
      </c>
      <c r="B43" s="39">
        <v>5</v>
      </c>
      <c r="C43" s="141" t="s">
        <v>248</v>
      </c>
      <c r="D43" s="141" t="s">
        <v>14</v>
      </c>
      <c r="E43" s="141" t="s">
        <v>45</v>
      </c>
      <c r="F43" s="141" t="s">
        <v>42</v>
      </c>
      <c r="G43" s="141"/>
      <c r="H43" s="31">
        <v>3</v>
      </c>
      <c r="I43" s="146">
        <v>5</v>
      </c>
      <c r="J43" s="146">
        <v>5</v>
      </c>
      <c r="K43" s="146">
        <v>4</v>
      </c>
      <c r="L43" s="146">
        <v>2</v>
      </c>
      <c r="M43" s="146">
        <v>1</v>
      </c>
      <c r="N43" s="146" t="s">
        <v>118</v>
      </c>
      <c r="O43" s="142">
        <f t="shared" si="1"/>
        <v>3.3333333333333335</v>
      </c>
      <c r="P43" s="144" t="s">
        <v>369</v>
      </c>
    </row>
    <row r="44" spans="1:17" ht="45" customHeight="1">
      <c r="A44" s="153" t="s">
        <v>172</v>
      </c>
      <c r="B44" s="39">
        <v>3</v>
      </c>
      <c r="C44" s="141" t="s">
        <v>248</v>
      </c>
      <c r="D44" s="141"/>
      <c r="E44" s="141"/>
      <c r="F44" s="141"/>
      <c r="G44" s="141"/>
      <c r="H44" s="30">
        <v>0</v>
      </c>
      <c r="I44" s="139">
        <v>0</v>
      </c>
      <c r="J44" s="139">
        <v>0</v>
      </c>
      <c r="K44" s="139">
        <v>0</v>
      </c>
      <c r="L44" s="139">
        <v>0</v>
      </c>
      <c r="M44" s="139">
        <v>0</v>
      </c>
      <c r="N44" s="139">
        <v>0</v>
      </c>
      <c r="O44" s="142">
        <f t="shared" si="1"/>
        <v>0</v>
      </c>
      <c r="P44" s="138" t="s">
        <v>370</v>
      </c>
    </row>
    <row r="45" spans="1:17" ht="45" customHeight="1">
      <c r="A45" s="41" t="s">
        <v>106</v>
      </c>
      <c r="B45" s="39">
        <v>0</v>
      </c>
      <c r="C45" s="141" t="s">
        <v>51</v>
      </c>
      <c r="D45" s="141"/>
      <c r="E45" s="141"/>
      <c r="F45" s="141"/>
      <c r="G45" s="141"/>
      <c r="H45" s="30">
        <v>0</v>
      </c>
      <c r="I45" s="139" t="s">
        <v>101</v>
      </c>
      <c r="J45" s="139" t="s">
        <v>101</v>
      </c>
      <c r="K45" s="139" t="s">
        <v>104</v>
      </c>
      <c r="L45" s="139" t="s">
        <v>101</v>
      </c>
      <c r="M45" s="139" t="s">
        <v>101</v>
      </c>
      <c r="N45" s="139" t="s">
        <v>96</v>
      </c>
      <c r="O45" s="142">
        <f t="shared" si="1"/>
        <v>0</v>
      </c>
      <c r="P45" s="138" t="s">
        <v>107</v>
      </c>
    </row>
    <row r="46" spans="1:17" ht="45" customHeight="1">
      <c r="A46" s="153" t="s">
        <v>168</v>
      </c>
      <c r="B46" s="39">
        <v>5</v>
      </c>
      <c r="C46" s="141" t="s">
        <v>123</v>
      </c>
      <c r="D46" s="141" t="s">
        <v>10</v>
      </c>
      <c r="E46" s="141" t="s">
        <v>44</v>
      </c>
      <c r="F46" s="141" t="s">
        <v>38</v>
      </c>
      <c r="G46" s="141"/>
      <c r="H46" s="30">
        <v>3</v>
      </c>
      <c r="I46" s="139">
        <v>0</v>
      </c>
      <c r="J46" s="139" t="s">
        <v>118</v>
      </c>
      <c r="K46" s="139">
        <v>3</v>
      </c>
      <c r="L46" s="139" t="s">
        <v>118</v>
      </c>
      <c r="M46" s="139">
        <v>3</v>
      </c>
      <c r="N46" s="139" t="s">
        <v>118</v>
      </c>
      <c r="O46" s="142">
        <f t="shared" si="1"/>
        <v>2.25</v>
      </c>
      <c r="P46" s="138" t="s">
        <v>339</v>
      </c>
    </row>
    <row r="47" spans="1:17" ht="45" customHeight="1">
      <c r="A47" s="153" t="s">
        <v>167</v>
      </c>
      <c r="B47" s="39">
        <v>5</v>
      </c>
      <c r="C47" s="141" t="s">
        <v>123</v>
      </c>
      <c r="D47" s="141" t="s">
        <v>10</v>
      </c>
      <c r="E47" s="141" t="s">
        <v>44</v>
      </c>
      <c r="F47" s="141" t="s">
        <v>38</v>
      </c>
      <c r="G47" s="141"/>
      <c r="H47" s="30">
        <v>3</v>
      </c>
      <c r="I47" s="139">
        <v>0</v>
      </c>
      <c r="J47" s="139" t="s">
        <v>118</v>
      </c>
      <c r="K47" s="139">
        <v>3</v>
      </c>
      <c r="L47" s="139" t="s">
        <v>118</v>
      </c>
      <c r="M47" s="139">
        <v>3</v>
      </c>
      <c r="N47" s="139" t="s">
        <v>118</v>
      </c>
      <c r="O47" s="142">
        <f t="shared" si="1"/>
        <v>2.25</v>
      </c>
      <c r="P47" s="138" t="s">
        <v>302</v>
      </c>
      <c r="Q47" s="13" t="s">
        <v>268</v>
      </c>
    </row>
    <row r="48" spans="1:17" ht="45" customHeight="1">
      <c r="A48" s="153" t="s">
        <v>149</v>
      </c>
      <c r="B48" s="39">
        <v>0</v>
      </c>
      <c r="C48" s="141" t="s">
        <v>51</v>
      </c>
      <c r="D48" s="141" t="s">
        <v>26</v>
      </c>
      <c r="E48" s="141" t="s">
        <v>44</v>
      </c>
      <c r="F48" s="141" t="s">
        <v>37</v>
      </c>
      <c r="G48" s="141"/>
      <c r="H48" s="29">
        <v>5</v>
      </c>
      <c r="I48" s="145">
        <v>5</v>
      </c>
      <c r="J48" s="145">
        <v>5</v>
      </c>
      <c r="K48" s="145">
        <v>5</v>
      </c>
      <c r="L48" s="145">
        <v>5</v>
      </c>
      <c r="M48" s="145">
        <v>5</v>
      </c>
      <c r="N48" s="145">
        <v>5</v>
      </c>
      <c r="O48" s="142">
        <f t="shared" si="1"/>
        <v>5</v>
      </c>
      <c r="P48" s="143" t="s">
        <v>371</v>
      </c>
    </row>
    <row r="49" spans="1:16" ht="45" customHeight="1">
      <c r="A49" s="153" t="s">
        <v>129</v>
      </c>
      <c r="B49" s="39">
        <v>0</v>
      </c>
      <c r="C49" s="141" t="s">
        <v>123</v>
      </c>
      <c r="D49" s="141" t="s">
        <v>26</v>
      </c>
      <c r="E49" s="141" t="s">
        <v>47</v>
      </c>
      <c r="F49" s="141" t="s">
        <v>41</v>
      </c>
      <c r="G49" s="141"/>
      <c r="H49" s="30">
        <v>0</v>
      </c>
      <c r="I49" s="139">
        <v>0</v>
      </c>
      <c r="J49" s="139">
        <v>0</v>
      </c>
      <c r="K49" s="139">
        <v>0</v>
      </c>
      <c r="L49" s="139">
        <v>0</v>
      </c>
      <c r="M49" s="139">
        <v>0</v>
      </c>
      <c r="N49" s="139">
        <v>0</v>
      </c>
      <c r="O49" s="142">
        <f t="shared" si="1"/>
        <v>0</v>
      </c>
      <c r="P49" s="138" t="s">
        <v>238</v>
      </c>
    </row>
    <row r="50" spans="1:16" ht="45" customHeight="1">
      <c r="A50" s="153" t="s">
        <v>134</v>
      </c>
      <c r="B50" s="39">
        <v>0</v>
      </c>
      <c r="C50" s="141" t="s">
        <v>123</v>
      </c>
      <c r="D50" s="141" t="s">
        <v>18</v>
      </c>
      <c r="E50" s="141" t="s">
        <v>44</v>
      </c>
      <c r="F50" s="141" t="s">
        <v>38</v>
      </c>
      <c r="G50" s="141"/>
      <c r="H50" s="30">
        <v>0</v>
      </c>
      <c r="I50" s="139">
        <v>0</v>
      </c>
      <c r="J50" s="139">
        <v>0</v>
      </c>
      <c r="K50" s="139">
        <v>0</v>
      </c>
      <c r="L50" s="139">
        <v>0</v>
      </c>
      <c r="M50" s="139">
        <v>0</v>
      </c>
      <c r="N50" s="139">
        <v>0</v>
      </c>
      <c r="O50" s="142">
        <f t="shared" si="1"/>
        <v>0</v>
      </c>
      <c r="P50" s="138" t="s">
        <v>340</v>
      </c>
    </row>
    <row r="51" spans="1:16" ht="45" customHeight="1">
      <c r="A51" s="152" t="s">
        <v>281</v>
      </c>
      <c r="B51" s="39">
        <v>0</v>
      </c>
      <c r="C51" s="141" t="s">
        <v>210</v>
      </c>
      <c r="D51" s="21" t="s">
        <v>6</v>
      </c>
      <c r="E51" s="21"/>
      <c r="F51" s="21" t="s">
        <v>38</v>
      </c>
      <c r="G51" s="21"/>
      <c r="H51" s="49">
        <v>0</v>
      </c>
      <c r="I51" s="52">
        <v>0</v>
      </c>
      <c r="J51" s="52">
        <v>0</v>
      </c>
      <c r="K51" s="52">
        <v>0</v>
      </c>
      <c r="L51" s="52">
        <v>0</v>
      </c>
      <c r="M51" s="52">
        <v>0</v>
      </c>
      <c r="N51" s="52">
        <v>0</v>
      </c>
      <c r="O51" s="142">
        <f t="shared" si="1"/>
        <v>0</v>
      </c>
      <c r="P51" s="24" t="s">
        <v>372</v>
      </c>
    </row>
    <row r="52" spans="1:16" ht="45" customHeight="1">
      <c r="A52" s="153" t="s">
        <v>219</v>
      </c>
      <c r="B52" s="39">
        <v>0</v>
      </c>
      <c r="C52" s="141" t="s">
        <v>267</v>
      </c>
      <c r="D52" s="141" t="s">
        <v>6</v>
      </c>
      <c r="E52" s="141"/>
      <c r="F52" s="141"/>
      <c r="G52" s="141"/>
      <c r="H52" s="29">
        <v>0</v>
      </c>
      <c r="I52" s="145">
        <v>0</v>
      </c>
      <c r="J52" s="145">
        <v>0</v>
      </c>
      <c r="K52" s="145">
        <v>0</v>
      </c>
      <c r="L52" s="145">
        <v>0</v>
      </c>
      <c r="M52" s="145">
        <v>0</v>
      </c>
      <c r="N52" s="145">
        <v>0</v>
      </c>
      <c r="O52" s="142">
        <f t="shared" si="1"/>
        <v>0</v>
      </c>
      <c r="P52" s="155" t="s">
        <v>220</v>
      </c>
    </row>
    <row r="53" spans="1:16" ht="45" customHeight="1">
      <c r="A53" s="153" t="s">
        <v>221</v>
      </c>
      <c r="B53" s="39">
        <v>0</v>
      </c>
      <c r="C53" s="141" t="s">
        <v>267</v>
      </c>
      <c r="D53" s="141" t="s">
        <v>6</v>
      </c>
      <c r="E53" s="141"/>
      <c r="F53" s="141"/>
      <c r="G53" s="141"/>
      <c r="H53" s="29">
        <v>0</v>
      </c>
      <c r="I53" s="145">
        <v>0</v>
      </c>
      <c r="J53" s="145">
        <v>0</v>
      </c>
      <c r="K53" s="145">
        <v>0</v>
      </c>
      <c r="L53" s="145">
        <v>0</v>
      </c>
      <c r="M53" s="145">
        <v>0</v>
      </c>
      <c r="N53" s="145">
        <v>0</v>
      </c>
      <c r="O53" s="142">
        <f t="shared" si="1"/>
        <v>0</v>
      </c>
      <c r="P53" s="143" t="s">
        <v>222</v>
      </c>
    </row>
    <row r="54" spans="1:16" ht="45" customHeight="1">
      <c r="A54" s="153" t="s">
        <v>253</v>
      </c>
      <c r="B54" s="39">
        <v>0</v>
      </c>
      <c r="C54" s="141" t="s">
        <v>150</v>
      </c>
      <c r="D54" s="141" t="s">
        <v>10</v>
      </c>
      <c r="E54" s="141" t="s">
        <v>44</v>
      </c>
      <c r="F54" s="141" t="s">
        <v>38</v>
      </c>
      <c r="G54" s="141"/>
      <c r="H54" s="29">
        <v>0</v>
      </c>
      <c r="I54" s="145">
        <v>3</v>
      </c>
      <c r="J54" s="145">
        <v>0</v>
      </c>
      <c r="K54" s="145">
        <v>3</v>
      </c>
      <c r="L54" s="145">
        <v>0</v>
      </c>
      <c r="M54" s="145">
        <v>0</v>
      </c>
      <c r="N54" s="145" t="s">
        <v>118</v>
      </c>
      <c r="O54" s="142">
        <f t="shared" si="1"/>
        <v>1</v>
      </c>
      <c r="P54" s="143" t="s">
        <v>373</v>
      </c>
    </row>
    <row r="55" spans="1:16" ht="45" customHeight="1">
      <c r="A55" s="153" t="s">
        <v>130</v>
      </c>
      <c r="B55" s="39">
        <v>0</v>
      </c>
      <c r="C55" s="141" t="s">
        <v>123</v>
      </c>
      <c r="D55" s="141" t="s">
        <v>26</v>
      </c>
      <c r="E55" s="141" t="s">
        <v>44</v>
      </c>
      <c r="F55" s="141" t="s">
        <v>40</v>
      </c>
      <c r="G55" s="141"/>
      <c r="H55" s="29">
        <v>1</v>
      </c>
      <c r="I55" s="145">
        <v>1</v>
      </c>
      <c r="J55" s="145">
        <v>1</v>
      </c>
      <c r="K55" s="145">
        <v>1</v>
      </c>
      <c r="L55" s="145">
        <v>1</v>
      </c>
      <c r="M55" s="145">
        <v>0</v>
      </c>
      <c r="N55" s="145">
        <v>0</v>
      </c>
      <c r="O55" s="142">
        <f t="shared" si="1"/>
        <v>0.7142857142857143</v>
      </c>
      <c r="P55" s="143" t="s">
        <v>305</v>
      </c>
    </row>
    <row r="56" spans="1:16" ht="45" customHeight="1">
      <c r="A56" s="153" t="s">
        <v>143</v>
      </c>
      <c r="B56" s="39">
        <v>0</v>
      </c>
      <c r="C56" s="141" t="s">
        <v>210</v>
      </c>
      <c r="D56" s="141" t="s">
        <v>26</v>
      </c>
      <c r="E56" s="141" t="s">
        <v>48</v>
      </c>
      <c r="F56" s="141"/>
      <c r="G56" s="141"/>
      <c r="H56" s="29">
        <v>0</v>
      </c>
      <c r="I56" s="145">
        <v>0</v>
      </c>
      <c r="J56" s="145">
        <v>0</v>
      </c>
      <c r="K56" s="145">
        <v>0</v>
      </c>
      <c r="L56" s="145">
        <v>0</v>
      </c>
      <c r="M56" s="145">
        <v>0</v>
      </c>
      <c r="N56" s="145">
        <v>0</v>
      </c>
      <c r="O56" s="142">
        <f t="shared" si="1"/>
        <v>0</v>
      </c>
      <c r="P56" s="143" t="s">
        <v>244</v>
      </c>
    </row>
    <row r="57" spans="1:16" ht="45" customHeight="1">
      <c r="A57" s="153" t="s">
        <v>173</v>
      </c>
      <c r="B57" s="39">
        <v>0</v>
      </c>
      <c r="C57" s="141" t="s">
        <v>174</v>
      </c>
      <c r="D57" s="141" t="s">
        <v>6</v>
      </c>
      <c r="E57" s="141"/>
      <c r="F57" s="141"/>
      <c r="G57" s="141"/>
      <c r="H57" s="29" t="s">
        <v>118</v>
      </c>
      <c r="I57" s="145" t="s">
        <v>118</v>
      </c>
      <c r="J57" s="145" t="s">
        <v>118</v>
      </c>
      <c r="K57" s="145" t="s">
        <v>118</v>
      </c>
      <c r="L57" s="145" t="s">
        <v>118</v>
      </c>
      <c r="M57" s="145" t="s">
        <v>118</v>
      </c>
      <c r="N57" s="145" t="s">
        <v>118</v>
      </c>
      <c r="O57" s="142" t="e">
        <f t="shared" si="1"/>
        <v>#DIV/0!</v>
      </c>
      <c r="P57" s="143" t="s">
        <v>374</v>
      </c>
    </row>
    <row r="58" spans="1:16" ht="45" customHeight="1">
      <c r="A58" s="153" t="s">
        <v>176</v>
      </c>
      <c r="B58" s="39">
        <v>0</v>
      </c>
      <c r="C58" s="141" t="s">
        <v>174</v>
      </c>
      <c r="D58" s="141"/>
      <c r="E58" s="141"/>
      <c r="F58" s="141"/>
      <c r="G58" s="141"/>
      <c r="H58" s="29" t="s">
        <v>118</v>
      </c>
      <c r="I58" s="29" t="s">
        <v>118</v>
      </c>
      <c r="J58" s="29" t="s">
        <v>118</v>
      </c>
      <c r="K58" s="29" t="s">
        <v>118</v>
      </c>
      <c r="L58" s="29" t="s">
        <v>118</v>
      </c>
      <c r="M58" s="29" t="s">
        <v>118</v>
      </c>
      <c r="N58" s="29" t="s">
        <v>118</v>
      </c>
      <c r="O58" s="142" t="e">
        <f t="shared" si="1"/>
        <v>#DIV/0!</v>
      </c>
      <c r="P58" s="143" t="s">
        <v>375</v>
      </c>
    </row>
    <row r="59" spans="1:16" ht="45" customHeight="1">
      <c r="A59" s="153" t="s">
        <v>246</v>
      </c>
      <c r="B59" s="39">
        <v>0</v>
      </c>
      <c r="C59" s="141" t="s">
        <v>150</v>
      </c>
      <c r="D59" s="141" t="s">
        <v>6</v>
      </c>
      <c r="E59" s="141"/>
      <c r="F59" s="141"/>
      <c r="G59" s="42"/>
      <c r="H59" s="139" t="s">
        <v>118</v>
      </c>
      <c r="I59" s="139" t="s">
        <v>118</v>
      </c>
      <c r="J59" s="139" t="s">
        <v>118</v>
      </c>
      <c r="K59" s="139" t="s">
        <v>118</v>
      </c>
      <c r="L59" s="139" t="s">
        <v>118</v>
      </c>
      <c r="M59" s="139" t="s">
        <v>118</v>
      </c>
      <c r="N59" s="139" t="s">
        <v>118</v>
      </c>
      <c r="O59" s="142" t="e">
        <f t="shared" si="1"/>
        <v>#DIV/0!</v>
      </c>
      <c r="P59" s="138" t="s">
        <v>376</v>
      </c>
    </row>
    <row r="60" spans="1:16" ht="45" customHeight="1">
      <c r="A60" s="153" t="s">
        <v>184</v>
      </c>
      <c r="B60" s="39">
        <v>0</v>
      </c>
      <c r="C60" s="141" t="s">
        <v>174</v>
      </c>
      <c r="D60" s="141" t="s">
        <v>14</v>
      </c>
      <c r="E60" s="141"/>
      <c r="F60" s="141"/>
      <c r="G60" s="42"/>
      <c r="H60" s="139">
        <v>0</v>
      </c>
      <c r="I60" s="139">
        <v>0</v>
      </c>
      <c r="J60" s="139">
        <v>0</v>
      </c>
      <c r="K60" s="139">
        <v>0</v>
      </c>
      <c r="L60" s="139">
        <v>0</v>
      </c>
      <c r="M60" s="139">
        <v>0</v>
      </c>
      <c r="N60" s="139">
        <v>0</v>
      </c>
      <c r="O60" s="142">
        <f t="shared" si="1"/>
        <v>0</v>
      </c>
      <c r="P60" s="138" t="s">
        <v>377</v>
      </c>
    </row>
    <row r="61" spans="1:16" ht="45" customHeight="1">
      <c r="A61" s="28" t="s">
        <v>182</v>
      </c>
      <c r="B61" s="39">
        <v>0</v>
      </c>
      <c r="C61" s="141" t="s">
        <v>174</v>
      </c>
      <c r="D61" s="35" t="s">
        <v>14</v>
      </c>
      <c r="E61" s="35"/>
      <c r="F61" s="35"/>
      <c r="G61" s="43"/>
      <c r="H61" s="139">
        <v>0</v>
      </c>
      <c r="I61" s="139">
        <v>0</v>
      </c>
      <c r="J61" s="139">
        <v>0</v>
      </c>
      <c r="K61" s="139">
        <v>0</v>
      </c>
      <c r="L61" s="139">
        <v>0</v>
      </c>
      <c r="M61" s="139">
        <v>0</v>
      </c>
      <c r="N61" s="139">
        <v>0</v>
      </c>
      <c r="O61" s="142">
        <f t="shared" si="1"/>
        <v>0</v>
      </c>
      <c r="P61" s="138" t="s">
        <v>378</v>
      </c>
    </row>
    <row r="62" spans="1:16" ht="45" customHeight="1">
      <c r="A62" s="140" t="s">
        <v>122</v>
      </c>
      <c r="B62" s="39">
        <v>0</v>
      </c>
      <c r="C62" s="141" t="s">
        <v>123</v>
      </c>
      <c r="D62" s="141" t="s">
        <v>14</v>
      </c>
      <c r="E62" s="141" t="s">
        <v>44</v>
      </c>
      <c r="F62" s="141" t="s">
        <v>40</v>
      </c>
      <c r="G62" s="42"/>
      <c r="H62" s="139">
        <v>3</v>
      </c>
      <c r="I62" s="139">
        <v>0</v>
      </c>
      <c r="J62" s="139">
        <v>4</v>
      </c>
      <c r="K62" s="139">
        <v>1</v>
      </c>
      <c r="L62" s="139" t="s">
        <v>118</v>
      </c>
      <c r="M62" s="139">
        <v>2</v>
      </c>
      <c r="N62" s="139" t="s">
        <v>118</v>
      </c>
      <c r="O62" s="142">
        <f t="shared" si="1"/>
        <v>2</v>
      </c>
      <c r="P62" s="138" t="s">
        <v>308</v>
      </c>
    </row>
    <row r="63" spans="1:16" ht="45" customHeight="1">
      <c r="A63" s="140" t="s">
        <v>223</v>
      </c>
      <c r="B63" s="39">
        <v>0</v>
      </c>
      <c r="C63" s="141" t="s">
        <v>267</v>
      </c>
      <c r="D63" s="141" t="s">
        <v>6</v>
      </c>
      <c r="E63" s="141"/>
      <c r="F63" s="141"/>
      <c r="G63" s="42"/>
      <c r="H63" s="139">
        <v>0</v>
      </c>
      <c r="I63" s="139">
        <v>0</v>
      </c>
      <c r="J63" s="139">
        <v>0</v>
      </c>
      <c r="K63" s="139">
        <v>0</v>
      </c>
      <c r="L63" s="139">
        <v>0</v>
      </c>
      <c r="M63" s="139">
        <v>0</v>
      </c>
      <c r="N63" s="139">
        <v>0</v>
      </c>
      <c r="O63" s="142">
        <f t="shared" si="1"/>
        <v>0</v>
      </c>
      <c r="P63" s="138" t="s">
        <v>224</v>
      </c>
    </row>
    <row r="64" spans="1:16" ht="45" customHeight="1">
      <c r="A64" s="140" t="s">
        <v>169</v>
      </c>
      <c r="B64" s="39">
        <v>3</v>
      </c>
      <c r="C64" s="141" t="s">
        <v>210</v>
      </c>
      <c r="D64" s="141" t="s">
        <v>14</v>
      </c>
      <c r="E64" s="141" t="s">
        <v>44</v>
      </c>
      <c r="F64" s="141" t="s">
        <v>39</v>
      </c>
      <c r="G64" s="42" t="s">
        <v>261</v>
      </c>
      <c r="H64" s="139">
        <v>0</v>
      </c>
      <c r="I64" s="139">
        <v>0</v>
      </c>
      <c r="J64" s="139">
        <v>0</v>
      </c>
      <c r="K64" s="139">
        <v>0</v>
      </c>
      <c r="L64" s="139">
        <v>0</v>
      </c>
      <c r="M64" s="139">
        <v>0</v>
      </c>
      <c r="N64" s="139">
        <v>2</v>
      </c>
      <c r="O64" s="142">
        <f t="shared" si="1"/>
        <v>0.2857142857142857</v>
      </c>
      <c r="P64" s="138" t="s">
        <v>379</v>
      </c>
    </row>
    <row r="65" spans="1:16" ht="45" customHeight="1">
      <c r="A65" s="140" t="s">
        <v>138</v>
      </c>
      <c r="B65" s="39">
        <v>0</v>
      </c>
      <c r="C65" s="141" t="s">
        <v>210</v>
      </c>
      <c r="D65" s="141" t="s">
        <v>26</v>
      </c>
      <c r="E65" s="141" t="s">
        <v>48</v>
      </c>
      <c r="F65" s="141"/>
      <c r="G65" s="141"/>
      <c r="H65" s="50">
        <v>1</v>
      </c>
      <c r="I65" s="50">
        <v>0</v>
      </c>
      <c r="J65" s="50">
        <v>0</v>
      </c>
      <c r="K65" s="50">
        <v>0</v>
      </c>
      <c r="L65" s="50">
        <v>0</v>
      </c>
      <c r="M65" s="50">
        <v>1</v>
      </c>
      <c r="N65" s="50">
        <v>0</v>
      </c>
      <c r="O65" s="142">
        <f t="shared" si="1"/>
        <v>0.2857142857142857</v>
      </c>
      <c r="P65" s="148" t="s">
        <v>380</v>
      </c>
    </row>
    <row r="66" spans="1:16" ht="45" customHeight="1">
      <c r="A66" s="140" t="s">
        <v>217</v>
      </c>
      <c r="B66" s="39">
        <v>0</v>
      </c>
      <c r="C66" s="141" t="s">
        <v>210</v>
      </c>
      <c r="D66" s="141" t="s">
        <v>6</v>
      </c>
      <c r="E66" s="141"/>
      <c r="F66" s="141"/>
      <c r="G66" s="141"/>
      <c r="H66" s="139">
        <v>0</v>
      </c>
      <c r="I66" s="139">
        <v>0</v>
      </c>
      <c r="J66" s="139">
        <v>0</v>
      </c>
      <c r="K66" s="139">
        <v>0</v>
      </c>
      <c r="L66" s="139">
        <v>0</v>
      </c>
      <c r="M66" s="139">
        <v>0</v>
      </c>
      <c r="N66" s="139">
        <v>0</v>
      </c>
      <c r="O66" s="142">
        <f t="shared" si="1"/>
        <v>0</v>
      </c>
      <c r="P66" s="138" t="s">
        <v>381</v>
      </c>
    </row>
    <row r="67" spans="1:16" ht="45" customHeight="1">
      <c r="A67" s="140" t="s">
        <v>171</v>
      </c>
      <c r="B67" s="39">
        <v>0</v>
      </c>
      <c r="C67" s="141" t="s">
        <v>150</v>
      </c>
      <c r="D67" s="141" t="s">
        <v>6</v>
      </c>
      <c r="E67" s="141"/>
      <c r="F67" s="141"/>
      <c r="G67" s="141"/>
      <c r="H67" s="139">
        <v>0</v>
      </c>
      <c r="I67" s="139">
        <v>0</v>
      </c>
      <c r="J67" s="139">
        <v>0</v>
      </c>
      <c r="K67" s="139">
        <v>0</v>
      </c>
      <c r="L67" s="139">
        <v>0</v>
      </c>
      <c r="M67" s="139">
        <v>0</v>
      </c>
      <c r="N67" s="139">
        <v>0</v>
      </c>
      <c r="O67" s="142">
        <f t="shared" ref="O67:O98" si="2">AVERAGE(H67:N67)</f>
        <v>0</v>
      </c>
      <c r="P67" s="138" t="s">
        <v>382</v>
      </c>
    </row>
    <row r="68" spans="1:16" ht="45" customHeight="1">
      <c r="A68" s="140" t="s">
        <v>313</v>
      </c>
      <c r="B68" s="39">
        <v>0</v>
      </c>
      <c r="C68" s="21" t="s">
        <v>267</v>
      </c>
      <c r="D68" s="21" t="s">
        <v>6</v>
      </c>
      <c r="E68" s="21"/>
      <c r="F68" s="21"/>
      <c r="G68" s="21"/>
      <c r="H68" s="22">
        <v>0</v>
      </c>
      <c r="I68" s="22">
        <v>0</v>
      </c>
      <c r="J68" s="22">
        <v>0</v>
      </c>
      <c r="K68" s="22">
        <v>0</v>
      </c>
      <c r="L68" s="22">
        <v>0</v>
      </c>
      <c r="M68" s="22">
        <v>0</v>
      </c>
      <c r="N68" s="22">
        <v>0</v>
      </c>
      <c r="O68" s="142">
        <f t="shared" si="2"/>
        <v>0</v>
      </c>
      <c r="P68" s="24" t="s">
        <v>314</v>
      </c>
    </row>
    <row r="69" spans="1:16" ht="45" customHeight="1">
      <c r="A69" s="140" t="s">
        <v>315</v>
      </c>
      <c r="B69" s="39">
        <v>0</v>
      </c>
      <c r="C69" s="21" t="s">
        <v>267</v>
      </c>
      <c r="D69" s="21" t="s">
        <v>6</v>
      </c>
      <c r="E69" s="21"/>
      <c r="F69" s="21"/>
      <c r="G69" s="21"/>
      <c r="H69" s="22"/>
      <c r="I69" s="22"/>
      <c r="J69" s="22"/>
      <c r="K69" s="22"/>
      <c r="L69" s="22"/>
      <c r="M69" s="22"/>
      <c r="N69" s="22"/>
      <c r="O69" s="142" t="e">
        <f t="shared" si="2"/>
        <v>#DIV/0!</v>
      </c>
      <c r="P69" s="24" t="s">
        <v>316</v>
      </c>
    </row>
    <row r="70" spans="1:16" ht="45" customHeight="1">
      <c r="A70" s="140"/>
      <c r="B70" s="39">
        <v>0</v>
      </c>
      <c r="C70" s="21"/>
      <c r="D70" s="21"/>
      <c r="E70" s="21"/>
      <c r="F70" s="21"/>
      <c r="G70" s="21"/>
      <c r="H70" s="22"/>
      <c r="I70" s="22"/>
      <c r="J70" s="22"/>
      <c r="K70" s="22"/>
      <c r="L70" s="22"/>
      <c r="M70" s="22"/>
      <c r="N70" s="22"/>
      <c r="O70" s="142" t="e">
        <f t="shared" si="2"/>
        <v>#DIV/0!</v>
      </c>
      <c r="P70" s="24"/>
    </row>
    <row r="71" spans="1:16" ht="45" customHeight="1">
      <c r="A71" s="140"/>
      <c r="B71" s="39">
        <v>0</v>
      </c>
      <c r="C71" s="21"/>
      <c r="D71" s="21"/>
      <c r="E71" s="21"/>
      <c r="F71" s="21"/>
      <c r="G71" s="21"/>
      <c r="H71" s="22">
        <v>0</v>
      </c>
      <c r="I71" s="22">
        <v>0</v>
      </c>
      <c r="J71" s="22">
        <v>0</v>
      </c>
      <c r="K71" s="22">
        <v>0</v>
      </c>
      <c r="L71" s="22">
        <v>0</v>
      </c>
      <c r="M71" s="22">
        <v>0</v>
      </c>
      <c r="N71" s="22">
        <v>0</v>
      </c>
      <c r="O71" s="142">
        <f t="shared" si="2"/>
        <v>0</v>
      </c>
      <c r="P71" s="24"/>
    </row>
    <row r="72" spans="1:16" ht="45" customHeight="1">
      <c r="A72" s="140"/>
      <c r="B72" s="39">
        <v>0</v>
      </c>
      <c r="C72" s="21"/>
      <c r="D72" s="21"/>
      <c r="E72" s="21"/>
      <c r="F72" s="21"/>
      <c r="G72" s="21"/>
      <c r="H72" s="22"/>
      <c r="I72" s="22"/>
      <c r="J72" s="22"/>
      <c r="K72" s="22"/>
      <c r="L72" s="22"/>
      <c r="M72" s="22"/>
      <c r="N72" s="22"/>
      <c r="O72" s="142" t="e">
        <f t="shared" si="2"/>
        <v>#DIV/0!</v>
      </c>
      <c r="P72" s="24"/>
    </row>
    <row r="73" spans="1:16" ht="45" customHeight="1">
      <c r="A73" s="140"/>
      <c r="B73" s="39">
        <v>0</v>
      </c>
      <c r="C73" s="21"/>
      <c r="D73" s="21"/>
      <c r="E73" s="21"/>
      <c r="F73" s="21"/>
      <c r="G73" s="21"/>
      <c r="H73" s="22"/>
      <c r="I73" s="22"/>
      <c r="J73" s="22"/>
      <c r="K73" s="22"/>
      <c r="L73" s="22"/>
      <c r="M73" s="22"/>
      <c r="N73" s="22"/>
      <c r="O73" s="142" t="e">
        <f t="shared" si="2"/>
        <v>#DIV/0!</v>
      </c>
      <c r="P73" s="24"/>
    </row>
    <row r="74" spans="1:16" ht="45" customHeight="1">
      <c r="A74" s="140"/>
      <c r="B74" s="39">
        <v>0</v>
      </c>
      <c r="C74" s="21"/>
      <c r="D74" s="21"/>
      <c r="E74" s="21"/>
      <c r="F74" s="21"/>
      <c r="G74" s="21"/>
      <c r="H74" s="22">
        <v>0</v>
      </c>
      <c r="I74" s="22">
        <v>0</v>
      </c>
      <c r="J74" s="22">
        <v>0</v>
      </c>
      <c r="K74" s="22">
        <v>0</v>
      </c>
      <c r="L74" s="22">
        <v>0</v>
      </c>
      <c r="M74" s="22">
        <v>0</v>
      </c>
      <c r="N74" s="22">
        <v>0</v>
      </c>
      <c r="O74" s="142">
        <f t="shared" si="2"/>
        <v>0</v>
      </c>
      <c r="P74" s="24"/>
    </row>
    <row r="75" spans="1:16" ht="45" customHeight="1">
      <c r="A75" s="140"/>
      <c r="B75" s="39">
        <v>0</v>
      </c>
      <c r="C75" s="21"/>
      <c r="D75" s="21"/>
      <c r="E75" s="21"/>
      <c r="F75" s="21"/>
      <c r="G75" s="21"/>
      <c r="H75" s="22"/>
      <c r="I75" s="22"/>
      <c r="J75" s="22"/>
      <c r="K75" s="22"/>
      <c r="L75" s="22"/>
      <c r="M75" s="22"/>
      <c r="N75" s="22"/>
      <c r="O75" s="142" t="e">
        <f t="shared" si="2"/>
        <v>#DIV/0!</v>
      </c>
      <c r="P75" s="24"/>
    </row>
    <row r="76" spans="1:16" ht="45" customHeight="1">
      <c r="A76" s="140"/>
      <c r="B76" s="39">
        <v>0</v>
      </c>
      <c r="C76" s="21"/>
      <c r="D76" s="21"/>
      <c r="E76" s="21"/>
      <c r="F76" s="21"/>
      <c r="G76" s="21"/>
      <c r="H76" s="22"/>
      <c r="I76" s="22"/>
      <c r="J76" s="22"/>
      <c r="K76" s="22"/>
      <c r="L76" s="22"/>
      <c r="M76" s="22"/>
      <c r="N76" s="22"/>
      <c r="O76" s="142" t="e">
        <f t="shared" si="2"/>
        <v>#DIV/0!</v>
      </c>
      <c r="P76" s="24"/>
    </row>
    <row r="77" spans="1:16" ht="45" customHeight="1">
      <c r="A77" s="140"/>
      <c r="B77" s="39">
        <v>0</v>
      </c>
      <c r="C77" s="21"/>
      <c r="D77" s="21"/>
      <c r="E77" s="21"/>
      <c r="F77" s="21"/>
      <c r="G77" s="21"/>
      <c r="H77" s="22">
        <v>0</v>
      </c>
      <c r="I77" s="22">
        <v>0</v>
      </c>
      <c r="J77" s="22">
        <v>0</v>
      </c>
      <c r="K77" s="22">
        <v>0</v>
      </c>
      <c r="L77" s="22">
        <v>0</v>
      </c>
      <c r="M77" s="22">
        <v>0</v>
      </c>
      <c r="N77" s="22">
        <v>0</v>
      </c>
      <c r="O77" s="142">
        <f t="shared" si="2"/>
        <v>0</v>
      </c>
      <c r="P77" s="24"/>
    </row>
    <row r="78" spans="1:16" ht="45" customHeight="1">
      <c r="A78" s="140"/>
      <c r="B78" s="39">
        <v>0</v>
      </c>
      <c r="C78" s="21"/>
      <c r="D78" s="21"/>
      <c r="E78" s="21"/>
      <c r="F78" s="21"/>
      <c r="G78" s="21"/>
      <c r="H78" s="22" t="s">
        <v>118</v>
      </c>
      <c r="I78" s="22"/>
      <c r="J78" s="22"/>
      <c r="K78" s="22"/>
      <c r="L78" s="22"/>
      <c r="M78" s="22"/>
      <c r="N78" s="22"/>
      <c r="O78" s="142" t="e">
        <f t="shared" si="2"/>
        <v>#DIV/0!</v>
      </c>
      <c r="P78" s="24"/>
    </row>
    <row r="79" spans="1:16" ht="45" customHeight="1">
      <c r="A79" s="140"/>
      <c r="B79" s="39">
        <v>0</v>
      </c>
      <c r="C79" s="21"/>
      <c r="D79" s="21"/>
      <c r="E79" s="21"/>
      <c r="F79" s="21"/>
      <c r="G79" s="21"/>
      <c r="H79" s="22"/>
      <c r="I79" s="22"/>
      <c r="J79" s="22"/>
      <c r="K79" s="22"/>
      <c r="L79" s="22"/>
      <c r="M79" s="22"/>
      <c r="N79" s="22"/>
      <c r="O79" s="142" t="e">
        <f t="shared" si="2"/>
        <v>#DIV/0!</v>
      </c>
      <c r="P79" s="24"/>
    </row>
    <row r="80" spans="1:16" ht="45" customHeight="1">
      <c r="A80" s="140"/>
      <c r="B80" s="39">
        <v>0</v>
      </c>
      <c r="C80" s="21"/>
      <c r="D80" s="21"/>
      <c r="E80" s="21"/>
      <c r="F80" s="21"/>
      <c r="G80" s="21"/>
      <c r="H80" s="22">
        <v>0</v>
      </c>
      <c r="I80" s="22">
        <v>0</v>
      </c>
      <c r="J80" s="22">
        <v>0</v>
      </c>
      <c r="K80" s="22">
        <v>0</v>
      </c>
      <c r="L80" s="22">
        <v>0</v>
      </c>
      <c r="M80" s="22">
        <v>0</v>
      </c>
      <c r="N80" s="22">
        <v>0</v>
      </c>
      <c r="O80" s="23">
        <f t="shared" ref="O80:O111" si="3">AVERAGE(H80:N82)</f>
        <v>0</v>
      </c>
      <c r="P80" s="24"/>
    </row>
    <row r="81" spans="1:16" ht="45" customHeight="1">
      <c r="A81" s="140"/>
      <c r="B81" s="39">
        <v>0</v>
      </c>
      <c r="C81" s="21"/>
      <c r="D81" s="21"/>
      <c r="E81" s="21"/>
      <c r="F81" s="21"/>
      <c r="G81" s="21"/>
      <c r="H81" s="22">
        <v>0</v>
      </c>
      <c r="I81" s="22">
        <v>0</v>
      </c>
      <c r="J81" s="22">
        <v>0</v>
      </c>
      <c r="K81" s="22">
        <v>0</v>
      </c>
      <c r="L81" s="22">
        <v>0</v>
      </c>
      <c r="M81" s="22">
        <v>0</v>
      </c>
      <c r="N81" s="22">
        <v>0</v>
      </c>
      <c r="O81" s="23">
        <f t="shared" si="3"/>
        <v>0</v>
      </c>
      <c r="P81" s="24"/>
    </row>
    <row r="82" spans="1:16" ht="45"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customHeight="1">
      <c r="A112" s="140"/>
      <c r="B112" s="39">
        <v>0</v>
      </c>
      <c r="C112" s="21"/>
      <c r="D112" s="21"/>
      <c r="E112" s="21"/>
      <c r="F112" s="21"/>
      <c r="G112" s="21"/>
      <c r="H112" s="22">
        <v>0</v>
      </c>
      <c r="I112" s="22">
        <v>0</v>
      </c>
      <c r="J112" s="22">
        <v>0</v>
      </c>
      <c r="K112" s="22">
        <v>0</v>
      </c>
      <c r="L112" s="22">
        <v>0</v>
      </c>
      <c r="M112" s="22">
        <v>0</v>
      </c>
      <c r="N112" s="22">
        <v>0</v>
      </c>
      <c r="O112" s="23">
        <f t="shared" ref="O112:O143" si="4">AVERAGE(H112:N114)</f>
        <v>0</v>
      </c>
      <c r="P112" s="24"/>
    </row>
    <row r="113" spans="1:16" ht="45"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customHeight="1">
      <c r="A117" s="140"/>
      <c r="B117" s="39">
        <v>0</v>
      </c>
      <c r="C117" s="21"/>
      <c r="D117" s="21"/>
      <c r="E117" s="21"/>
      <c r="F117" s="21"/>
      <c r="G117" s="21"/>
      <c r="H117" s="22">
        <v>0</v>
      </c>
      <c r="I117" s="22">
        <v>0</v>
      </c>
      <c r="J117" s="22">
        <v>0</v>
      </c>
      <c r="K117" s="22">
        <v>0</v>
      </c>
      <c r="L117" s="22">
        <v>0</v>
      </c>
      <c r="M117" s="22">
        <v>0</v>
      </c>
      <c r="N117" s="22">
        <v>0</v>
      </c>
      <c r="O117" s="23">
        <f t="shared" si="4"/>
        <v>0</v>
      </c>
      <c r="P117" s="24"/>
    </row>
    <row r="118" spans="1:16" ht="45" customHeight="1">
      <c r="A118" s="140"/>
      <c r="B118" s="39">
        <v>0</v>
      </c>
      <c r="C118" s="21"/>
      <c r="D118" s="21"/>
      <c r="E118" s="21"/>
      <c r="F118" s="21"/>
      <c r="G118" s="21"/>
      <c r="H118" s="22">
        <v>0</v>
      </c>
      <c r="I118" s="22">
        <v>0</v>
      </c>
      <c r="J118" s="22">
        <v>0</v>
      </c>
      <c r="K118" s="22">
        <v>0</v>
      </c>
      <c r="L118" s="22">
        <v>0</v>
      </c>
      <c r="M118" s="22">
        <v>0</v>
      </c>
      <c r="N118" s="22">
        <v>0</v>
      </c>
      <c r="O118" s="23">
        <f t="shared" si="4"/>
        <v>0</v>
      </c>
      <c r="P118" s="24"/>
    </row>
    <row r="119" spans="1:16" ht="45" customHeight="1">
      <c r="A119" s="140"/>
      <c r="B119" s="39">
        <v>0</v>
      </c>
      <c r="C119" s="21"/>
      <c r="D119" s="21"/>
      <c r="E119" s="21"/>
      <c r="F119" s="21"/>
      <c r="G119" s="21"/>
      <c r="H119" s="22">
        <v>0</v>
      </c>
      <c r="I119" s="22">
        <v>0</v>
      </c>
      <c r="J119" s="22">
        <v>0</v>
      </c>
      <c r="K119" s="22">
        <v>0</v>
      </c>
      <c r="L119" s="22">
        <v>0</v>
      </c>
      <c r="M119" s="22">
        <v>0</v>
      </c>
      <c r="N119" s="22">
        <v>0</v>
      </c>
      <c r="O119" s="23">
        <f t="shared" si="4"/>
        <v>0</v>
      </c>
      <c r="P119" s="24"/>
    </row>
    <row r="120" spans="1:16" ht="45" customHeight="1">
      <c r="A120" s="140"/>
      <c r="B120" s="39">
        <v>0</v>
      </c>
      <c r="C120" s="21"/>
      <c r="D120" s="21"/>
      <c r="E120" s="21"/>
      <c r="F120" s="21"/>
      <c r="G120" s="21"/>
      <c r="H120" s="22">
        <v>0</v>
      </c>
      <c r="I120" s="22">
        <v>0</v>
      </c>
      <c r="J120" s="22">
        <v>0</v>
      </c>
      <c r="K120" s="22">
        <v>0</v>
      </c>
      <c r="L120" s="22">
        <v>0</v>
      </c>
      <c r="M120" s="22">
        <v>0</v>
      </c>
      <c r="N120" s="22">
        <v>0</v>
      </c>
      <c r="O120" s="23">
        <f t="shared" si="4"/>
        <v>0</v>
      </c>
      <c r="P120" s="24"/>
    </row>
    <row r="121" spans="1:16" ht="45" customHeight="1">
      <c r="A121" s="140"/>
      <c r="B121" s="39">
        <v>0</v>
      </c>
      <c r="C121" s="21"/>
      <c r="D121" s="21"/>
      <c r="E121" s="21"/>
      <c r="F121" s="21"/>
      <c r="G121" s="21"/>
      <c r="H121" s="22">
        <v>0</v>
      </c>
      <c r="I121" s="22">
        <v>0</v>
      </c>
      <c r="J121" s="22">
        <v>0</v>
      </c>
      <c r="K121" s="22">
        <v>0</v>
      </c>
      <c r="L121" s="22">
        <v>0</v>
      </c>
      <c r="M121" s="22">
        <v>0</v>
      </c>
      <c r="N121" s="22">
        <v>0</v>
      </c>
      <c r="O121" s="23">
        <f t="shared" si="4"/>
        <v>0</v>
      </c>
      <c r="P121" s="24"/>
    </row>
    <row r="122" spans="1:16" ht="45" customHeight="1">
      <c r="A122" s="140"/>
      <c r="B122" s="39">
        <v>0</v>
      </c>
      <c r="C122" s="21"/>
      <c r="D122" s="21"/>
      <c r="E122" s="21"/>
      <c r="F122" s="21"/>
      <c r="G122" s="21"/>
      <c r="H122" s="22">
        <v>0</v>
      </c>
      <c r="I122" s="22">
        <v>0</v>
      </c>
      <c r="J122" s="22">
        <v>0</v>
      </c>
      <c r="K122" s="22">
        <v>0</v>
      </c>
      <c r="L122" s="22">
        <v>0</v>
      </c>
      <c r="M122" s="22">
        <v>0</v>
      </c>
      <c r="N122" s="22">
        <v>0</v>
      </c>
      <c r="O122" s="23">
        <f t="shared" si="4"/>
        <v>0</v>
      </c>
      <c r="P122" s="24"/>
    </row>
    <row r="123" spans="1:16" ht="45" customHeight="1">
      <c r="A123" s="140"/>
      <c r="B123" s="39">
        <v>0</v>
      </c>
      <c r="C123" s="21"/>
      <c r="D123" s="21"/>
      <c r="E123" s="21"/>
      <c r="F123" s="21"/>
      <c r="G123" s="21"/>
      <c r="H123" s="22">
        <v>0</v>
      </c>
      <c r="I123" s="22">
        <v>0</v>
      </c>
      <c r="J123" s="22">
        <v>0</v>
      </c>
      <c r="K123" s="22">
        <v>0</v>
      </c>
      <c r="L123" s="22">
        <v>0</v>
      </c>
      <c r="M123" s="22">
        <v>0</v>
      </c>
      <c r="N123" s="22">
        <v>0</v>
      </c>
      <c r="O123" s="23">
        <f t="shared" si="4"/>
        <v>0</v>
      </c>
      <c r="P123" s="24"/>
    </row>
    <row r="124" spans="1:16" ht="45" customHeight="1">
      <c r="A124" s="140"/>
      <c r="B124" s="39">
        <v>0</v>
      </c>
      <c r="C124" s="21"/>
      <c r="D124" s="21"/>
      <c r="E124" s="21"/>
      <c r="F124" s="21"/>
      <c r="G124" s="21"/>
      <c r="H124" s="22">
        <v>0</v>
      </c>
      <c r="I124" s="22">
        <v>0</v>
      </c>
      <c r="J124" s="22">
        <v>0</v>
      </c>
      <c r="K124" s="22">
        <v>0</v>
      </c>
      <c r="L124" s="22">
        <v>0</v>
      </c>
      <c r="M124" s="22">
        <v>0</v>
      </c>
      <c r="N124" s="22">
        <v>0</v>
      </c>
      <c r="O124" s="23">
        <f t="shared" si="4"/>
        <v>0</v>
      </c>
      <c r="P124" s="24"/>
    </row>
    <row r="125" spans="1:16" ht="45" customHeight="1">
      <c r="A125" s="140"/>
      <c r="B125" s="39">
        <v>0</v>
      </c>
      <c r="C125" s="21"/>
      <c r="D125" s="21"/>
      <c r="E125" s="21"/>
      <c r="F125" s="21"/>
      <c r="G125" s="21"/>
      <c r="H125" s="22">
        <v>0</v>
      </c>
      <c r="I125" s="22">
        <v>0</v>
      </c>
      <c r="J125" s="22">
        <v>0</v>
      </c>
      <c r="K125" s="22">
        <v>0</v>
      </c>
      <c r="L125" s="22">
        <v>0</v>
      </c>
      <c r="M125" s="22">
        <v>0</v>
      </c>
      <c r="N125" s="22">
        <v>0</v>
      </c>
      <c r="O125" s="23">
        <f t="shared" si="4"/>
        <v>0</v>
      </c>
      <c r="P125" s="24"/>
    </row>
    <row r="126" spans="1:16" ht="45" customHeight="1">
      <c r="A126" s="140"/>
      <c r="B126" s="39">
        <v>0</v>
      </c>
      <c r="C126" s="21"/>
      <c r="D126" s="21"/>
      <c r="E126" s="21"/>
      <c r="F126" s="21"/>
      <c r="G126" s="21"/>
      <c r="H126" s="22">
        <v>0</v>
      </c>
      <c r="I126" s="22">
        <v>0</v>
      </c>
      <c r="J126" s="22">
        <v>0</v>
      </c>
      <c r="K126" s="22">
        <v>0</v>
      </c>
      <c r="L126" s="22">
        <v>0</v>
      </c>
      <c r="M126" s="22">
        <v>0</v>
      </c>
      <c r="N126" s="22">
        <v>0</v>
      </c>
      <c r="O126" s="23">
        <f t="shared" si="4"/>
        <v>0</v>
      </c>
      <c r="P126" s="24"/>
    </row>
    <row r="127" spans="1:16" ht="45" customHeight="1">
      <c r="A127" s="140"/>
      <c r="B127" s="39">
        <v>0</v>
      </c>
      <c r="C127" s="21"/>
      <c r="D127" s="21"/>
      <c r="E127" s="21"/>
      <c r="F127" s="21"/>
      <c r="G127" s="21"/>
      <c r="H127" s="22">
        <v>0</v>
      </c>
      <c r="I127" s="22">
        <v>0</v>
      </c>
      <c r="J127" s="22">
        <v>0</v>
      </c>
      <c r="K127" s="22">
        <v>0</v>
      </c>
      <c r="L127" s="22">
        <v>0</v>
      </c>
      <c r="M127" s="22">
        <v>0</v>
      </c>
      <c r="N127" s="22">
        <v>0</v>
      </c>
      <c r="O127" s="23">
        <f t="shared" si="4"/>
        <v>0</v>
      </c>
      <c r="P127" s="24"/>
    </row>
    <row r="128" spans="1:16" ht="45" customHeight="1">
      <c r="A128" s="140"/>
      <c r="B128" s="39">
        <v>0</v>
      </c>
      <c r="C128" s="21"/>
      <c r="D128" s="21"/>
      <c r="E128" s="21"/>
      <c r="F128" s="21"/>
      <c r="G128" s="21"/>
      <c r="H128" s="22">
        <v>0</v>
      </c>
      <c r="I128" s="22">
        <v>0</v>
      </c>
      <c r="J128" s="22">
        <v>0</v>
      </c>
      <c r="K128" s="22">
        <v>0</v>
      </c>
      <c r="L128" s="22">
        <v>0</v>
      </c>
      <c r="M128" s="22">
        <v>0</v>
      </c>
      <c r="N128" s="22">
        <v>0</v>
      </c>
      <c r="O128" s="23">
        <f t="shared" si="4"/>
        <v>0</v>
      </c>
      <c r="P128" s="24"/>
    </row>
    <row r="129" spans="1:16" ht="45" customHeight="1">
      <c r="A129" s="140"/>
      <c r="B129" s="39">
        <v>0</v>
      </c>
      <c r="C129" s="21"/>
      <c r="D129" s="21"/>
      <c r="E129" s="21"/>
      <c r="F129" s="21"/>
      <c r="G129" s="21"/>
      <c r="H129" s="22">
        <v>0</v>
      </c>
      <c r="I129" s="22">
        <v>0</v>
      </c>
      <c r="J129" s="22">
        <v>0</v>
      </c>
      <c r="K129" s="22">
        <v>0</v>
      </c>
      <c r="L129" s="22">
        <v>0</v>
      </c>
      <c r="M129" s="22">
        <v>0</v>
      </c>
      <c r="N129" s="22">
        <v>0</v>
      </c>
      <c r="O129" s="23">
        <f t="shared" si="4"/>
        <v>0</v>
      </c>
      <c r="P129" s="24"/>
    </row>
    <row r="130" spans="1:16" ht="45" customHeight="1">
      <c r="A130" s="140"/>
      <c r="B130" s="39">
        <v>0</v>
      </c>
      <c r="C130" s="21"/>
      <c r="D130" s="21"/>
      <c r="E130" s="21"/>
      <c r="F130" s="21"/>
      <c r="G130" s="21"/>
      <c r="H130" s="22">
        <v>0</v>
      </c>
      <c r="I130" s="22">
        <v>0</v>
      </c>
      <c r="J130" s="22">
        <v>0</v>
      </c>
      <c r="K130" s="22">
        <v>0</v>
      </c>
      <c r="L130" s="22">
        <v>0</v>
      </c>
      <c r="M130" s="22">
        <v>0</v>
      </c>
      <c r="N130" s="22">
        <v>0</v>
      </c>
      <c r="O130" s="23">
        <f t="shared" si="4"/>
        <v>0</v>
      </c>
      <c r="P130" s="24"/>
    </row>
    <row r="131" spans="1:16" ht="45" customHeight="1">
      <c r="A131" s="140"/>
      <c r="B131" s="39">
        <v>0</v>
      </c>
      <c r="C131" s="21"/>
      <c r="D131" s="21"/>
      <c r="E131" s="21"/>
      <c r="F131" s="21"/>
      <c r="G131" s="21"/>
      <c r="H131" s="22">
        <v>0</v>
      </c>
      <c r="I131" s="22">
        <v>0</v>
      </c>
      <c r="J131" s="22">
        <v>0</v>
      </c>
      <c r="K131" s="22">
        <v>0</v>
      </c>
      <c r="L131" s="22">
        <v>0</v>
      </c>
      <c r="M131" s="22">
        <v>0</v>
      </c>
      <c r="N131" s="22">
        <v>0</v>
      </c>
      <c r="O131" s="23">
        <f t="shared" si="4"/>
        <v>0</v>
      </c>
      <c r="P131" s="24"/>
    </row>
    <row r="132" spans="1:16" ht="45" customHeight="1">
      <c r="A132" s="140"/>
      <c r="B132" s="39">
        <v>0</v>
      </c>
      <c r="C132" s="21"/>
      <c r="D132" s="21"/>
      <c r="E132" s="21"/>
      <c r="F132" s="21"/>
      <c r="G132" s="21"/>
      <c r="H132" s="22">
        <v>0</v>
      </c>
      <c r="I132" s="22">
        <v>0</v>
      </c>
      <c r="J132" s="22">
        <v>0</v>
      </c>
      <c r="K132" s="22">
        <v>0</v>
      </c>
      <c r="L132" s="22">
        <v>0</v>
      </c>
      <c r="M132" s="22">
        <v>0</v>
      </c>
      <c r="N132" s="22">
        <v>0</v>
      </c>
      <c r="O132" s="23">
        <f t="shared" si="4"/>
        <v>0</v>
      </c>
      <c r="P132" s="24"/>
    </row>
    <row r="133" spans="1:16" ht="45" customHeight="1">
      <c r="A133" s="140"/>
      <c r="B133" s="39">
        <v>0</v>
      </c>
      <c r="C133" s="21"/>
      <c r="D133" s="21"/>
      <c r="E133" s="21"/>
      <c r="F133" s="21"/>
      <c r="G133" s="21"/>
      <c r="H133" s="22">
        <v>0</v>
      </c>
      <c r="I133" s="22">
        <v>0</v>
      </c>
      <c r="J133" s="22">
        <v>0</v>
      </c>
      <c r="K133" s="22">
        <v>0</v>
      </c>
      <c r="L133" s="22">
        <v>0</v>
      </c>
      <c r="M133" s="22">
        <v>0</v>
      </c>
      <c r="N133" s="22">
        <v>0</v>
      </c>
      <c r="O133" s="23">
        <f t="shared" si="4"/>
        <v>0</v>
      </c>
      <c r="P133" s="24"/>
    </row>
    <row r="134" spans="1:16" ht="45" customHeight="1">
      <c r="A134" s="140"/>
      <c r="B134" s="39">
        <v>0</v>
      </c>
      <c r="C134" s="21"/>
      <c r="D134" s="21"/>
      <c r="E134" s="21"/>
      <c r="F134" s="21"/>
      <c r="G134" s="21"/>
      <c r="H134" s="22">
        <v>0</v>
      </c>
      <c r="I134" s="22">
        <v>0</v>
      </c>
      <c r="J134" s="22">
        <v>0</v>
      </c>
      <c r="K134" s="22">
        <v>0</v>
      </c>
      <c r="L134" s="22">
        <v>0</v>
      </c>
      <c r="M134" s="22">
        <v>0</v>
      </c>
      <c r="N134" s="22">
        <v>0</v>
      </c>
      <c r="O134" s="23">
        <f t="shared" si="4"/>
        <v>0</v>
      </c>
      <c r="P134" s="24"/>
    </row>
    <row r="135" spans="1:16" ht="45" customHeight="1">
      <c r="A135" s="140"/>
      <c r="B135" s="39">
        <v>0</v>
      </c>
      <c r="C135" s="21"/>
      <c r="D135" s="21"/>
      <c r="E135" s="21"/>
      <c r="F135" s="21"/>
      <c r="G135" s="21"/>
      <c r="H135" s="22">
        <v>0</v>
      </c>
      <c r="I135" s="22">
        <v>0</v>
      </c>
      <c r="J135" s="22">
        <v>0</v>
      </c>
      <c r="K135" s="22">
        <v>0</v>
      </c>
      <c r="L135" s="22">
        <v>0</v>
      </c>
      <c r="M135" s="22">
        <v>0</v>
      </c>
      <c r="N135" s="22">
        <v>0</v>
      </c>
      <c r="O135" s="23">
        <f t="shared" si="4"/>
        <v>0</v>
      </c>
      <c r="P135" s="24"/>
    </row>
    <row r="136" spans="1:16" ht="45" customHeight="1">
      <c r="A136" s="140"/>
      <c r="B136" s="39">
        <v>0</v>
      </c>
      <c r="C136" s="21"/>
      <c r="D136" s="21"/>
      <c r="E136" s="21"/>
      <c r="F136" s="21"/>
      <c r="G136" s="21"/>
      <c r="H136" s="22">
        <v>0</v>
      </c>
      <c r="I136" s="22">
        <v>0</v>
      </c>
      <c r="J136" s="22">
        <v>0</v>
      </c>
      <c r="K136" s="22">
        <v>0</v>
      </c>
      <c r="L136" s="22">
        <v>0</v>
      </c>
      <c r="M136" s="22">
        <v>0</v>
      </c>
      <c r="N136" s="22">
        <v>0</v>
      </c>
      <c r="O136" s="23">
        <f t="shared" si="4"/>
        <v>0</v>
      </c>
      <c r="P136" s="24"/>
    </row>
    <row r="137" spans="1:16" ht="45" customHeight="1">
      <c r="A137" s="140"/>
      <c r="B137" s="39">
        <v>0</v>
      </c>
      <c r="C137" s="21"/>
      <c r="D137" s="21"/>
      <c r="E137" s="21"/>
      <c r="F137" s="21"/>
      <c r="G137" s="21"/>
      <c r="H137" s="22">
        <v>0</v>
      </c>
      <c r="I137" s="22">
        <v>0</v>
      </c>
      <c r="J137" s="22">
        <v>0</v>
      </c>
      <c r="K137" s="22">
        <v>0</v>
      </c>
      <c r="L137" s="22">
        <v>0</v>
      </c>
      <c r="M137" s="22">
        <v>0</v>
      </c>
      <c r="N137" s="22">
        <v>0</v>
      </c>
      <c r="O137" s="23">
        <f t="shared" si="4"/>
        <v>0</v>
      </c>
      <c r="P137" s="24"/>
    </row>
    <row r="138" spans="1:16" ht="45" customHeight="1">
      <c r="A138" s="152"/>
      <c r="B138" s="39">
        <v>0</v>
      </c>
      <c r="C138" s="25"/>
      <c r="D138" s="25"/>
      <c r="E138" s="25"/>
      <c r="F138" s="25"/>
      <c r="G138" s="25"/>
      <c r="H138" s="36">
        <v>0</v>
      </c>
      <c r="I138" s="37">
        <v>0</v>
      </c>
      <c r="J138" s="37">
        <v>0</v>
      </c>
      <c r="K138" s="37">
        <v>0</v>
      </c>
      <c r="L138" s="37">
        <v>0</v>
      </c>
      <c r="M138" s="37">
        <v>0</v>
      </c>
      <c r="N138" s="37">
        <v>0</v>
      </c>
      <c r="O138" s="38">
        <f t="shared" si="4"/>
        <v>0</v>
      </c>
      <c r="P138" s="19"/>
    </row>
    <row r="139" spans="1:16" ht="45" customHeight="1">
      <c r="A139" s="153"/>
      <c r="B139" s="39">
        <v>0</v>
      </c>
      <c r="C139" s="21"/>
      <c r="D139" s="21"/>
      <c r="E139" s="21"/>
      <c r="F139" s="21"/>
      <c r="G139" s="21"/>
      <c r="H139" s="32">
        <v>0</v>
      </c>
      <c r="I139" s="22">
        <v>0</v>
      </c>
      <c r="J139" s="22">
        <v>0</v>
      </c>
      <c r="K139" s="22">
        <v>0</v>
      </c>
      <c r="L139" s="22">
        <v>0</v>
      </c>
      <c r="M139" s="22">
        <v>0</v>
      </c>
      <c r="N139" s="22">
        <v>0</v>
      </c>
      <c r="O139" s="23">
        <f t="shared" si="4"/>
        <v>0</v>
      </c>
      <c r="P139" s="24"/>
    </row>
    <row r="140" spans="1:16" ht="45" customHeight="1">
      <c r="A140" s="153"/>
      <c r="B140" s="39">
        <v>0</v>
      </c>
      <c r="C140" s="21"/>
      <c r="D140" s="21"/>
      <c r="E140" s="21"/>
      <c r="F140" s="21"/>
      <c r="G140" s="21"/>
      <c r="H140" s="32">
        <v>0</v>
      </c>
      <c r="I140" s="22">
        <v>0</v>
      </c>
      <c r="J140" s="22">
        <v>0</v>
      </c>
      <c r="K140" s="22">
        <v>0</v>
      </c>
      <c r="L140" s="22">
        <v>0</v>
      </c>
      <c r="M140" s="22">
        <v>0</v>
      </c>
      <c r="N140" s="22">
        <v>0</v>
      </c>
      <c r="O140" s="23">
        <f t="shared" si="4"/>
        <v>0.23809523809523808</v>
      </c>
      <c r="P140" s="24"/>
    </row>
    <row r="141" spans="1:16" ht="45" customHeight="1">
      <c r="A141" s="153"/>
      <c r="B141" s="39">
        <v>0</v>
      </c>
      <c r="C141" s="21"/>
      <c r="D141" s="21"/>
      <c r="E141" s="21"/>
      <c r="F141" s="21"/>
      <c r="G141" s="21"/>
      <c r="H141" s="32">
        <v>0</v>
      </c>
      <c r="I141" s="22">
        <v>0</v>
      </c>
      <c r="J141" s="22">
        <v>0</v>
      </c>
      <c r="K141" s="22">
        <v>0</v>
      </c>
      <c r="L141" s="22">
        <v>0</v>
      </c>
      <c r="M141" s="22">
        <v>0</v>
      </c>
      <c r="N141" s="22">
        <v>0</v>
      </c>
      <c r="O141" s="23">
        <f t="shared" si="4"/>
        <v>0.35714285714285715</v>
      </c>
      <c r="P141" s="24"/>
    </row>
    <row r="142" spans="1:16" ht="45" customHeight="1">
      <c r="A142" s="153"/>
      <c r="B142" s="39">
        <v>5</v>
      </c>
      <c r="C142" s="21"/>
      <c r="D142" s="21"/>
      <c r="E142" s="21"/>
      <c r="F142" s="21"/>
      <c r="G142" s="21"/>
      <c r="H142" s="32">
        <v>0</v>
      </c>
      <c r="I142" s="22">
        <v>0</v>
      </c>
      <c r="J142" s="22">
        <v>0</v>
      </c>
      <c r="K142" s="22">
        <v>0</v>
      </c>
      <c r="L142" s="22">
        <v>0</v>
      </c>
      <c r="M142" s="22">
        <v>0</v>
      </c>
      <c r="N142" s="22">
        <v>5</v>
      </c>
      <c r="O142" s="23">
        <f t="shared" si="4"/>
        <v>0.7142857142857143</v>
      </c>
      <c r="P142" s="24"/>
    </row>
  </sheetData>
  <autoFilter ref="A2:P142" xr:uid="{C4E090FE-E85A-46BE-9ADE-C9CC1CB23DEA}">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1C415707-495D-456A-8ED6-C79C0D3C4871}"/>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737ADFE-06E4-4A9D-B9C5-53BCC8469D4E}">
          <x14:formula1>
            <xm:f>'Guide suivi GDP '!$E$3:$E$8</xm:f>
          </x14:formula1>
          <xm:sqref>D3:D142</xm:sqref>
        </x14:dataValidation>
        <x14:dataValidation type="list" allowBlank="1" showInputMessage="1" showErrorMessage="1" xr:uid="{C9DFFC09-3AA7-41B0-8B92-C1AFD31D5B7F}">
          <x14:formula1>
            <xm:f>'Guide suivi GDP '!$E$20:$E$24</xm:f>
          </x14:formula1>
          <xm:sqref>E3:E142</xm:sqref>
        </x14:dataValidation>
        <x14:dataValidation type="list" allowBlank="1" showInputMessage="1" showErrorMessage="1" xr:uid="{3E1D1093-CAF8-4D11-83E3-697068AAE6B3}">
          <x14:formula1>
            <xm:f>'Guide suivi GDP '!$E$14:$E$19</xm:f>
          </x14:formula1>
          <xm:sqref>F3:F142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539B-1EF2-456C-A99A-6624932F8169}">
  <sheetPr filterMode="1">
    <tabColor rgb="FF92D050"/>
  </sheetPr>
  <dimension ref="A1:Q142"/>
  <sheetViews>
    <sheetView workbookViewId="0">
      <selection activeCell="P16" sqref="P16"/>
    </sheetView>
  </sheetViews>
  <sheetFormatPr baseColWidth="10" defaultColWidth="9.140625" defaultRowHeight="12.75" outlineLevelCol="2"/>
  <cols>
    <col min="1" max="1" width="24"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hidden="1" customWidth="1" outlineLevel="2" collapsed="1"/>
    <col min="9" max="9" width="12.7109375" style="26" hidden="1" customWidth="1" outlineLevel="2"/>
    <col min="10" max="10" width="11" style="26" hidden="1" customWidth="1" outlineLevel="2"/>
    <col min="11" max="11" width="8.85546875" style="26" hidden="1" customWidth="1" outlineLevel="2"/>
    <col min="12" max="12" width="11.7109375" style="26" hidden="1" customWidth="1" outlineLevel="2"/>
    <col min="13" max="13" width="12.28515625" style="26" hidden="1" customWidth="1" outlineLevel="2"/>
    <col min="14" max="14" width="15.7109375" style="26" hidden="1" customWidth="1" outlineLevel="2"/>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hidden="1"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102</v>
      </c>
    </row>
    <row r="4" spans="1:16" ht="45"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hidden="1" customHeight="1">
      <c r="A5" s="153"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318</v>
      </c>
    </row>
    <row r="6" spans="1:16" ht="45" hidden="1" customHeight="1">
      <c r="A6" s="153" t="s">
        <v>170</v>
      </c>
      <c r="B6" s="39">
        <v>0</v>
      </c>
      <c r="C6" s="141" t="s">
        <v>210</v>
      </c>
      <c r="D6" s="141" t="s">
        <v>26</v>
      </c>
      <c r="E6" s="141"/>
      <c r="F6" s="141"/>
      <c r="G6" s="45">
        <v>45565</v>
      </c>
      <c r="H6" s="29">
        <v>0</v>
      </c>
      <c r="I6" s="145">
        <v>5</v>
      </c>
      <c r="J6" s="145">
        <v>0</v>
      </c>
      <c r="K6" s="145">
        <v>3</v>
      </c>
      <c r="L6" s="145">
        <v>2</v>
      </c>
      <c r="M6" s="145">
        <v>1</v>
      </c>
      <c r="N6" s="145">
        <v>0</v>
      </c>
      <c r="O6" s="142">
        <f t="shared" si="0"/>
        <v>1.5714285714285714</v>
      </c>
      <c r="P6" s="143" t="s">
        <v>319</v>
      </c>
    </row>
    <row r="7" spans="1:16" ht="45" hidden="1"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320</v>
      </c>
    </row>
    <row r="10" spans="1:16" ht="45" hidden="1" customHeight="1">
      <c r="A10" s="153" t="s">
        <v>273</v>
      </c>
      <c r="B10" s="39">
        <v>0</v>
      </c>
      <c r="C10" s="141" t="s">
        <v>210</v>
      </c>
      <c r="D10" s="141"/>
      <c r="E10" s="141"/>
      <c r="F10" s="141"/>
      <c r="G10" s="141"/>
      <c r="H10" s="29">
        <v>0</v>
      </c>
      <c r="I10" s="145">
        <v>0</v>
      </c>
      <c r="J10" s="145">
        <v>0</v>
      </c>
      <c r="K10" s="145">
        <v>0</v>
      </c>
      <c r="L10" s="145">
        <v>0</v>
      </c>
      <c r="M10" s="145">
        <v>0</v>
      </c>
      <c r="N10" s="145">
        <v>0</v>
      </c>
      <c r="O10" s="142">
        <f t="shared" si="0"/>
        <v>0</v>
      </c>
      <c r="P10" s="143" t="s">
        <v>321</v>
      </c>
    </row>
    <row r="11" spans="1:16" ht="45" hidden="1" customHeight="1">
      <c r="A11" s="153" t="s">
        <v>275</v>
      </c>
      <c r="B11" s="39">
        <v>0</v>
      </c>
      <c r="C11" s="141" t="s">
        <v>210</v>
      </c>
      <c r="D11" s="141"/>
      <c r="E11" s="141"/>
      <c r="F11" s="141"/>
      <c r="G11" s="141"/>
      <c r="H11" s="29"/>
      <c r="I11" s="145"/>
      <c r="J11" s="145"/>
      <c r="K11" s="145"/>
      <c r="L11" s="145"/>
      <c r="M11" s="145"/>
      <c r="N11" s="145"/>
      <c r="O11" s="142" t="e">
        <f t="shared" si="0"/>
        <v>#DIV/0!</v>
      </c>
      <c r="P11" s="143" t="s">
        <v>276</v>
      </c>
    </row>
    <row r="12" spans="1:16" ht="45" hidden="1" customHeight="1">
      <c r="A12" s="153" t="s">
        <v>274</v>
      </c>
      <c r="B12" s="39">
        <v>0</v>
      </c>
      <c r="C12" s="141" t="s">
        <v>210</v>
      </c>
      <c r="D12" s="141"/>
      <c r="E12" s="141"/>
      <c r="F12" s="141"/>
      <c r="G12" s="141"/>
      <c r="H12" s="29" t="s">
        <v>118</v>
      </c>
      <c r="I12" s="145" t="s">
        <v>118</v>
      </c>
      <c r="J12" s="145" t="s">
        <v>118</v>
      </c>
      <c r="K12" s="145" t="s">
        <v>118</v>
      </c>
      <c r="L12" s="145" t="s">
        <v>118</v>
      </c>
      <c r="M12" s="145" t="s">
        <v>118</v>
      </c>
      <c r="N12" s="145" t="s">
        <v>118</v>
      </c>
      <c r="O12" s="142" t="e">
        <f t="shared" si="0"/>
        <v>#DIV/0!</v>
      </c>
      <c r="P12" s="143" t="s">
        <v>322</v>
      </c>
    </row>
    <row r="13" spans="1:16" ht="45" hidden="1" customHeight="1">
      <c r="A13" s="153" t="s">
        <v>280</v>
      </c>
      <c r="B13" s="39">
        <v>0</v>
      </c>
      <c r="C13" s="141" t="s">
        <v>210</v>
      </c>
      <c r="D13" s="21"/>
      <c r="E13" s="21"/>
      <c r="F13" s="21"/>
      <c r="G13" s="21"/>
      <c r="H13" s="29"/>
      <c r="I13" s="145"/>
      <c r="J13" s="145"/>
      <c r="K13" s="145"/>
      <c r="L13" s="145"/>
      <c r="M13" s="145"/>
      <c r="N13" s="145"/>
      <c r="O13" s="142" t="e">
        <f t="shared" si="0"/>
        <v>#DIV/0!</v>
      </c>
      <c r="P13" s="46" t="s">
        <v>323</v>
      </c>
    </row>
    <row r="14" spans="1:16" ht="45" hidden="1" customHeight="1">
      <c r="A14" s="153" t="s">
        <v>277</v>
      </c>
      <c r="B14" s="39">
        <v>0</v>
      </c>
      <c r="C14" s="141" t="s">
        <v>210</v>
      </c>
      <c r="D14" s="21"/>
      <c r="E14" s="21"/>
      <c r="F14" s="21"/>
      <c r="G14" s="21"/>
      <c r="H14" s="29">
        <v>0</v>
      </c>
      <c r="I14" s="145">
        <v>0</v>
      </c>
      <c r="J14" s="145">
        <v>0</v>
      </c>
      <c r="K14" s="145">
        <v>0</v>
      </c>
      <c r="L14" s="145">
        <v>0</v>
      </c>
      <c r="M14" s="145">
        <v>0</v>
      </c>
      <c r="N14" s="145">
        <v>0</v>
      </c>
      <c r="O14" s="142">
        <f t="shared" si="0"/>
        <v>0</v>
      </c>
      <c r="P14" s="46" t="s">
        <v>324</v>
      </c>
    </row>
    <row r="15" spans="1:16" ht="45" hidden="1" customHeight="1">
      <c r="A15" s="153" t="s">
        <v>279</v>
      </c>
      <c r="B15" s="39">
        <v>0</v>
      </c>
      <c r="C15" s="141" t="s">
        <v>210</v>
      </c>
      <c r="D15" s="21" t="s">
        <v>6</v>
      </c>
      <c r="E15" s="21"/>
      <c r="F15" s="21"/>
      <c r="G15" s="21"/>
      <c r="H15" s="29"/>
      <c r="I15" s="145"/>
      <c r="J15" s="145"/>
      <c r="K15" s="145"/>
      <c r="L15" s="145"/>
      <c r="M15" s="145"/>
      <c r="N15" s="145"/>
      <c r="O15" s="142" t="e">
        <f t="shared" si="0"/>
        <v>#DIV/0!</v>
      </c>
      <c r="P15" s="46" t="s">
        <v>107</v>
      </c>
    </row>
    <row r="16" spans="1:16" ht="45" customHeight="1">
      <c r="A16" s="153" t="s">
        <v>125</v>
      </c>
      <c r="B16" s="39">
        <v>0</v>
      </c>
      <c r="C16" s="141" t="s">
        <v>123</v>
      </c>
      <c r="D16" s="141" t="s">
        <v>14</v>
      </c>
      <c r="E16" s="141" t="s">
        <v>44</v>
      </c>
      <c r="F16" s="141" t="s">
        <v>41</v>
      </c>
      <c r="G16" s="141"/>
      <c r="H16" s="29">
        <v>2</v>
      </c>
      <c r="I16" s="145">
        <v>5</v>
      </c>
      <c r="J16" s="145">
        <v>0</v>
      </c>
      <c r="K16" s="145">
        <v>4</v>
      </c>
      <c r="L16" s="145">
        <v>1</v>
      </c>
      <c r="M16" s="145">
        <v>1</v>
      </c>
      <c r="N16" s="145">
        <v>1</v>
      </c>
      <c r="O16" s="142">
        <f t="shared" si="0"/>
        <v>2</v>
      </c>
      <c r="P16" s="143" t="s">
        <v>325</v>
      </c>
    </row>
    <row r="17" spans="1:16" ht="45" hidden="1" customHeight="1">
      <c r="A17" s="153" t="s">
        <v>127</v>
      </c>
      <c r="B17" s="39">
        <v>0</v>
      </c>
      <c r="C17" s="141" t="s">
        <v>210</v>
      </c>
      <c r="D17" s="141" t="s">
        <v>26</v>
      </c>
      <c r="E17" s="141" t="s">
        <v>48</v>
      </c>
      <c r="F17" s="141"/>
      <c r="G17" s="141"/>
      <c r="H17" s="29">
        <v>1</v>
      </c>
      <c r="I17" s="145">
        <v>3</v>
      </c>
      <c r="J17" s="145">
        <v>3</v>
      </c>
      <c r="K17" s="145">
        <v>4</v>
      </c>
      <c r="L17" s="145">
        <v>3</v>
      </c>
      <c r="M17" s="145">
        <v>4</v>
      </c>
      <c r="N17" s="145">
        <v>1</v>
      </c>
      <c r="O17" s="142">
        <f t="shared" si="0"/>
        <v>2.7142857142857144</v>
      </c>
      <c r="P17" s="143" t="s">
        <v>383</v>
      </c>
    </row>
    <row r="18" spans="1:16" ht="45" hidden="1" customHeight="1">
      <c r="A18" s="153" t="s">
        <v>243</v>
      </c>
      <c r="B18" s="39">
        <v>0</v>
      </c>
      <c r="C18" s="141" t="s">
        <v>210</v>
      </c>
      <c r="D18" s="141" t="s">
        <v>26</v>
      </c>
      <c r="E18" s="141" t="s">
        <v>48</v>
      </c>
      <c r="F18" s="141"/>
      <c r="G18" s="141"/>
      <c r="H18" s="29">
        <v>2</v>
      </c>
      <c r="I18" s="145">
        <v>1</v>
      </c>
      <c r="J18" s="145">
        <v>0</v>
      </c>
      <c r="K18" s="145">
        <v>0</v>
      </c>
      <c r="L18" s="145">
        <v>0</v>
      </c>
      <c r="M18" s="145">
        <v>1</v>
      </c>
      <c r="N18" s="145">
        <v>0</v>
      </c>
      <c r="O18" s="142">
        <f t="shared" si="0"/>
        <v>0.5714285714285714</v>
      </c>
      <c r="P18" s="143" t="s">
        <v>327</v>
      </c>
    </row>
    <row r="19" spans="1:16" ht="45" hidden="1" customHeight="1">
      <c r="A19" s="41" t="s">
        <v>113</v>
      </c>
      <c r="B19" s="39">
        <v>0</v>
      </c>
      <c r="C19" s="141" t="s">
        <v>51</v>
      </c>
      <c r="D19" s="141" t="s">
        <v>6</v>
      </c>
      <c r="E19" s="141" t="s">
        <v>44</v>
      </c>
      <c r="F19" s="141" t="s">
        <v>39</v>
      </c>
      <c r="G19" s="141"/>
      <c r="H19" s="29">
        <v>0</v>
      </c>
      <c r="I19" s="145">
        <v>0</v>
      </c>
      <c r="J19" s="145">
        <v>0</v>
      </c>
      <c r="K19" s="145">
        <v>0</v>
      </c>
      <c r="L19" s="145">
        <v>0</v>
      </c>
      <c r="M19" s="145">
        <v>0</v>
      </c>
      <c r="N19" s="145">
        <v>0</v>
      </c>
      <c r="O19" s="142">
        <f t="shared" si="0"/>
        <v>0</v>
      </c>
      <c r="P19" s="143" t="s">
        <v>188</v>
      </c>
    </row>
    <row r="20" spans="1:16" ht="45" hidden="1" customHeight="1">
      <c r="A20" s="153" t="s">
        <v>213</v>
      </c>
      <c r="B20" s="39">
        <v>0</v>
      </c>
      <c r="C20" s="141" t="s">
        <v>210</v>
      </c>
      <c r="D20" s="141" t="s">
        <v>6</v>
      </c>
      <c r="E20" s="141"/>
      <c r="F20" s="141"/>
      <c r="G20" s="141"/>
      <c r="H20" s="29" t="s">
        <v>118</v>
      </c>
      <c r="I20" s="145" t="s">
        <v>118</v>
      </c>
      <c r="J20" s="145" t="s">
        <v>118</v>
      </c>
      <c r="K20" s="145" t="s">
        <v>118</v>
      </c>
      <c r="L20" s="145" t="s">
        <v>118</v>
      </c>
      <c r="M20" s="145" t="s">
        <v>118</v>
      </c>
      <c r="N20" s="145" t="s">
        <v>118</v>
      </c>
      <c r="O20" s="142" t="e">
        <f t="shared" si="0"/>
        <v>#DIV/0!</v>
      </c>
      <c r="P20" s="143" t="s">
        <v>328</v>
      </c>
    </row>
    <row r="21" spans="1:16" ht="45" hidden="1" customHeight="1">
      <c r="A21" s="153" t="s">
        <v>154</v>
      </c>
      <c r="B21" s="39">
        <v>0</v>
      </c>
      <c r="C21" s="141" t="s">
        <v>210</v>
      </c>
      <c r="D21" s="141" t="s">
        <v>26</v>
      </c>
      <c r="E21" s="141" t="s">
        <v>48</v>
      </c>
      <c r="F21" s="141"/>
      <c r="G21" s="141"/>
      <c r="H21" s="29">
        <v>0</v>
      </c>
      <c r="I21" s="145">
        <v>0</v>
      </c>
      <c r="J21" s="145">
        <v>0</v>
      </c>
      <c r="K21" s="145">
        <v>0</v>
      </c>
      <c r="L21" s="145">
        <v>0</v>
      </c>
      <c r="M21" s="145">
        <v>0</v>
      </c>
      <c r="N21" s="145">
        <v>0</v>
      </c>
      <c r="O21" s="142">
        <f t="shared" si="0"/>
        <v>0</v>
      </c>
      <c r="P21" s="143" t="s">
        <v>384</v>
      </c>
    </row>
    <row r="22" spans="1:16" ht="45" hidden="1" customHeight="1">
      <c r="A22" s="153" t="s">
        <v>284</v>
      </c>
      <c r="B22" s="39">
        <v>0</v>
      </c>
      <c r="C22" s="21" t="s">
        <v>51</v>
      </c>
      <c r="D22" s="21" t="s">
        <v>6</v>
      </c>
      <c r="E22" s="21"/>
      <c r="F22" s="21"/>
      <c r="G22" s="21"/>
      <c r="H22" s="48"/>
      <c r="I22" s="51"/>
      <c r="J22" s="51"/>
      <c r="K22" s="51"/>
      <c r="L22" s="51"/>
      <c r="M22" s="51"/>
      <c r="N22" s="51"/>
      <c r="O22" s="142" t="e">
        <f t="shared" si="0"/>
        <v>#DIV/0!</v>
      </c>
      <c r="P22" s="46" t="s">
        <v>356</v>
      </c>
    </row>
    <row r="23" spans="1:16" ht="45" hidden="1" customHeight="1">
      <c r="A23" s="153" t="s">
        <v>227</v>
      </c>
      <c r="B23" s="39">
        <v>2</v>
      </c>
      <c r="C23" s="141" t="s">
        <v>51</v>
      </c>
      <c r="D23" s="141" t="s">
        <v>6</v>
      </c>
      <c r="E23" s="141"/>
      <c r="F23" s="141"/>
      <c r="G23" s="141"/>
      <c r="H23" s="29" t="s">
        <v>118</v>
      </c>
      <c r="I23" s="145" t="s">
        <v>118</v>
      </c>
      <c r="J23" s="145" t="s">
        <v>118</v>
      </c>
      <c r="K23" s="145" t="s">
        <v>118</v>
      </c>
      <c r="L23" s="145" t="s">
        <v>118</v>
      </c>
      <c r="M23" s="145" t="s">
        <v>118</v>
      </c>
      <c r="N23" s="145" t="s">
        <v>118</v>
      </c>
      <c r="O23" s="142" t="e">
        <f t="shared" si="0"/>
        <v>#DIV/0!</v>
      </c>
      <c r="P23" s="143" t="s">
        <v>228</v>
      </c>
    </row>
    <row r="24" spans="1:16" ht="45" hidden="1" customHeight="1">
      <c r="A24" s="153" t="s">
        <v>180</v>
      </c>
      <c r="B24" s="39">
        <v>0</v>
      </c>
      <c r="C24" s="141" t="s">
        <v>174</v>
      </c>
      <c r="D24" s="141" t="s">
        <v>6</v>
      </c>
      <c r="E24" s="141"/>
      <c r="F24" s="141"/>
      <c r="G24" s="141"/>
      <c r="H24" s="29" t="s">
        <v>118</v>
      </c>
      <c r="I24" s="145" t="s">
        <v>118</v>
      </c>
      <c r="J24" s="145" t="s">
        <v>118</v>
      </c>
      <c r="K24" s="145" t="s">
        <v>118</v>
      </c>
      <c r="L24" s="145" t="s">
        <v>118</v>
      </c>
      <c r="M24" s="145" t="s">
        <v>118</v>
      </c>
      <c r="N24" s="145" t="s">
        <v>118</v>
      </c>
      <c r="O24" s="142" t="e">
        <f t="shared" si="0"/>
        <v>#DIV/0!</v>
      </c>
      <c r="P24" s="143" t="s">
        <v>385</v>
      </c>
    </row>
    <row r="25" spans="1:16" ht="45" hidden="1" customHeight="1">
      <c r="A25" s="40" t="s">
        <v>215</v>
      </c>
      <c r="B25" s="39">
        <v>0</v>
      </c>
      <c r="C25" s="141" t="s">
        <v>51</v>
      </c>
      <c r="D25" s="141" t="s">
        <v>6</v>
      </c>
      <c r="E25" s="141"/>
      <c r="F25" s="141"/>
      <c r="G25" s="141"/>
      <c r="H25" s="29">
        <v>0</v>
      </c>
      <c r="I25" s="145">
        <v>0</v>
      </c>
      <c r="J25" s="145">
        <v>0</v>
      </c>
      <c r="K25" s="145">
        <v>0</v>
      </c>
      <c r="L25" s="145">
        <v>0</v>
      </c>
      <c r="M25" s="145">
        <v>0</v>
      </c>
      <c r="N25" s="145">
        <v>0</v>
      </c>
      <c r="O25" s="142">
        <f t="shared" si="0"/>
        <v>0</v>
      </c>
      <c r="P25" s="143" t="s">
        <v>216</v>
      </c>
    </row>
    <row r="26" spans="1:16" ht="45" hidden="1" customHeight="1">
      <c r="A26" s="153" t="s">
        <v>156</v>
      </c>
      <c r="B26" s="39">
        <v>0</v>
      </c>
      <c r="C26" s="141" t="s">
        <v>150</v>
      </c>
      <c r="D26" s="141" t="s">
        <v>14</v>
      </c>
      <c r="E26" s="141" t="s">
        <v>44</v>
      </c>
      <c r="F26" s="141" t="s">
        <v>39</v>
      </c>
      <c r="G26" s="45">
        <v>45575</v>
      </c>
      <c r="H26" s="29">
        <v>2</v>
      </c>
      <c r="I26" s="145">
        <v>5</v>
      </c>
      <c r="J26" s="145">
        <v>4</v>
      </c>
      <c r="K26" s="145">
        <v>5</v>
      </c>
      <c r="L26" s="145">
        <v>0</v>
      </c>
      <c r="M26" s="145">
        <v>3</v>
      </c>
      <c r="N26" s="145">
        <v>2</v>
      </c>
      <c r="O26" s="142">
        <f t="shared" si="0"/>
        <v>3</v>
      </c>
      <c r="P26" s="143" t="s">
        <v>386</v>
      </c>
    </row>
    <row r="27" spans="1:16" ht="45" hidden="1" customHeight="1">
      <c r="A27" s="153" t="s">
        <v>98</v>
      </c>
      <c r="B27" s="39">
        <v>0</v>
      </c>
      <c r="C27" s="141" t="s">
        <v>51</v>
      </c>
      <c r="D27" s="141" t="s">
        <v>26</v>
      </c>
      <c r="E27" s="141" t="s">
        <v>47</v>
      </c>
      <c r="F27" s="141" t="s">
        <v>39</v>
      </c>
      <c r="G27" s="141" t="s">
        <v>230</v>
      </c>
      <c r="H27" s="30">
        <v>2</v>
      </c>
      <c r="I27" s="139">
        <v>0</v>
      </c>
      <c r="J27" s="139">
        <v>0</v>
      </c>
      <c r="K27" s="139">
        <v>0</v>
      </c>
      <c r="L27" s="139">
        <v>0</v>
      </c>
      <c r="M27" s="139">
        <v>2</v>
      </c>
      <c r="N27" s="139">
        <v>1</v>
      </c>
      <c r="O27" s="142">
        <f t="shared" si="0"/>
        <v>0.7142857142857143</v>
      </c>
      <c r="P27" s="138" t="s">
        <v>332</v>
      </c>
    </row>
    <row r="28" spans="1:16" ht="45" hidden="1" customHeight="1">
      <c r="A28" s="153" t="s">
        <v>283</v>
      </c>
      <c r="B28" s="39">
        <v>0</v>
      </c>
      <c r="C28" s="21" t="s">
        <v>210</v>
      </c>
      <c r="D28" s="21" t="s">
        <v>6</v>
      </c>
      <c r="E28" s="21"/>
      <c r="F28" s="21"/>
      <c r="G28" s="21"/>
      <c r="H28" s="48"/>
      <c r="I28" s="51"/>
      <c r="J28" s="51"/>
      <c r="K28" s="51"/>
      <c r="L28" s="51"/>
      <c r="M28" s="51"/>
      <c r="N28" s="51"/>
      <c r="O28" s="142" t="e">
        <f t="shared" si="0"/>
        <v>#DIV/0!</v>
      </c>
      <c r="P28" s="46" t="s">
        <v>333</v>
      </c>
    </row>
    <row r="29" spans="1:16" ht="45" hidden="1" customHeight="1">
      <c r="A29" s="153" t="s">
        <v>103</v>
      </c>
      <c r="B29" s="39">
        <v>0</v>
      </c>
      <c r="C29" s="141" t="s">
        <v>51</v>
      </c>
      <c r="D29" s="141" t="s">
        <v>26</v>
      </c>
      <c r="E29" s="141" t="s">
        <v>48</v>
      </c>
      <c r="F29" s="141"/>
      <c r="G29" s="141"/>
      <c r="H29" s="29">
        <v>0</v>
      </c>
      <c r="I29" s="145" t="s">
        <v>104</v>
      </c>
      <c r="J29" s="145" t="s">
        <v>104</v>
      </c>
      <c r="K29" s="145" t="s">
        <v>104</v>
      </c>
      <c r="L29" s="145" t="s">
        <v>101</v>
      </c>
      <c r="M29" s="145" t="s">
        <v>101</v>
      </c>
      <c r="N29" s="145" t="s">
        <v>101</v>
      </c>
      <c r="O29" s="142">
        <f t="shared" si="0"/>
        <v>0</v>
      </c>
      <c r="P29" s="143" t="s">
        <v>107</v>
      </c>
    </row>
    <row r="30" spans="1:16" ht="45" hidden="1" customHeight="1">
      <c r="A30" s="153" t="s">
        <v>225</v>
      </c>
      <c r="B30" s="39">
        <v>0</v>
      </c>
      <c r="C30" s="141" t="s">
        <v>267</v>
      </c>
      <c r="D30" s="141" t="s">
        <v>6</v>
      </c>
      <c r="E30" s="141"/>
      <c r="F30" s="141"/>
      <c r="G30" s="141"/>
      <c r="H30" s="29">
        <v>0</v>
      </c>
      <c r="I30" s="145">
        <v>0</v>
      </c>
      <c r="J30" s="145">
        <v>0</v>
      </c>
      <c r="K30" s="145">
        <v>0</v>
      </c>
      <c r="L30" s="145">
        <v>0</v>
      </c>
      <c r="M30" s="145">
        <v>0</v>
      </c>
      <c r="N30" s="145">
        <v>0</v>
      </c>
      <c r="O30" s="142">
        <f t="shared" si="0"/>
        <v>0</v>
      </c>
      <c r="P30" s="143" t="s">
        <v>226</v>
      </c>
    </row>
    <row r="31" spans="1:16" ht="45" customHeight="1">
      <c r="A31" s="153" t="s">
        <v>132</v>
      </c>
      <c r="B31" s="39">
        <v>0</v>
      </c>
      <c r="C31" s="141" t="s">
        <v>123</v>
      </c>
      <c r="D31" s="141" t="s">
        <v>26</v>
      </c>
      <c r="E31" s="141" t="s">
        <v>48</v>
      </c>
      <c r="F31" s="141"/>
      <c r="G31" s="141"/>
      <c r="H31" s="29">
        <v>1</v>
      </c>
      <c r="I31" s="145">
        <v>2</v>
      </c>
      <c r="J31" s="145">
        <v>0</v>
      </c>
      <c r="K31" s="145">
        <v>0</v>
      </c>
      <c r="L31" s="145">
        <v>0</v>
      </c>
      <c r="M31" s="145">
        <v>0</v>
      </c>
      <c r="N31" s="145">
        <v>0</v>
      </c>
      <c r="O31" s="142">
        <f t="shared" si="0"/>
        <v>0.42857142857142855</v>
      </c>
      <c r="P31" s="143" t="s">
        <v>334</v>
      </c>
    </row>
    <row r="32" spans="1:16" ht="45" customHeight="1">
      <c r="A32" s="40" t="s">
        <v>147</v>
      </c>
      <c r="B32" s="39">
        <v>0</v>
      </c>
      <c r="C32" s="141" t="s">
        <v>123</v>
      </c>
      <c r="D32" s="141" t="s">
        <v>6</v>
      </c>
      <c r="E32" s="141"/>
      <c r="F32" s="141" t="s">
        <v>39</v>
      </c>
      <c r="G32" s="141"/>
      <c r="H32" s="29">
        <v>3</v>
      </c>
      <c r="I32" s="145">
        <v>0</v>
      </c>
      <c r="J32" s="145">
        <v>0</v>
      </c>
      <c r="K32" s="145">
        <v>0</v>
      </c>
      <c r="L32" s="145">
        <v>0</v>
      </c>
      <c r="M32" s="145">
        <v>0</v>
      </c>
      <c r="N32" s="145">
        <v>0</v>
      </c>
      <c r="O32" s="142">
        <f t="shared" si="0"/>
        <v>0.42857142857142855</v>
      </c>
      <c r="P32" s="143" t="s">
        <v>245</v>
      </c>
    </row>
    <row r="33" spans="1:17" ht="45" hidden="1" customHeight="1">
      <c r="A33" s="153" t="s">
        <v>165</v>
      </c>
      <c r="B33" s="39">
        <v>0</v>
      </c>
      <c r="C33" s="141" t="s">
        <v>150</v>
      </c>
      <c r="D33" s="141"/>
      <c r="E33" s="141"/>
      <c r="F33" s="141"/>
      <c r="G33" s="141"/>
      <c r="H33" s="29">
        <v>0</v>
      </c>
      <c r="I33" s="145">
        <v>0</v>
      </c>
      <c r="J33" s="145">
        <v>0</v>
      </c>
      <c r="K33" s="145">
        <v>0</v>
      </c>
      <c r="L33" s="145">
        <v>0</v>
      </c>
      <c r="M33" s="145">
        <v>0</v>
      </c>
      <c r="N33" s="145">
        <v>1</v>
      </c>
      <c r="O33" s="142">
        <f t="shared" si="0"/>
        <v>0.14285714285714285</v>
      </c>
      <c r="P33" s="143" t="s">
        <v>387</v>
      </c>
    </row>
    <row r="34" spans="1:17" ht="45" hidden="1" customHeight="1">
      <c r="A34" s="40" t="s">
        <v>110</v>
      </c>
      <c r="B34" s="39">
        <v>0</v>
      </c>
      <c r="C34" s="141" t="s">
        <v>150</v>
      </c>
      <c r="D34" s="141" t="s">
        <v>6</v>
      </c>
      <c r="E34" s="141"/>
      <c r="F34" s="141"/>
      <c r="G34" s="141"/>
      <c r="H34" s="29" t="s">
        <v>101</v>
      </c>
      <c r="I34" s="145" t="s">
        <v>101</v>
      </c>
      <c r="J34" s="145" t="s">
        <v>101</v>
      </c>
      <c r="K34" s="145" t="s">
        <v>104</v>
      </c>
      <c r="L34" s="145" t="s">
        <v>101</v>
      </c>
      <c r="M34" s="145" t="s">
        <v>101</v>
      </c>
      <c r="N34" s="145" t="s">
        <v>101</v>
      </c>
      <c r="O34" s="142" t="e">
        <f t="shared" si="0"/>
        <v>#DIV/0!</v>
      </c>
      <c r="P34" s="143" t="s">
        <v>335</v>
      </c>
    </row>
    <row r="35" spans="1:17" ht="45" hidden="1" customHeight="1">
      <c r="A35" s="153" t="s">
        <v>162</v>
      </c>
      <c r="B35" s="39">
        <v>0</v>
      </c>
      <c r="C35" s="141" t="s">
        <v>150</v>
      </c>
      <c r="D35" s="141"/>
      <c r="E35" s="141"/>
      <c r="F35" s="141"/>
      <c r="G35" s="141"/>
      <c r="H35" s="29">
        <v>0</v>
      </c>
      <c r="I35" s="145">
        <v>0</v>
      </c>
      <c r="J35" s="145">
        <v>0</v>
      </c>
      <c r="K35" s="145">
        <v>0</v>
      </c>
      <c r="L35" s="145">
        <v>0</v>
      </c>
      <c r="M35" s="145">
        <v>0</v>
      </c>
      <c r="N35" s="145">
        <v>0</v>
      </c>
      <c r="O35" s="142">
        <f t="shared" ref="O35:O66" si="1">AVERAGE(H35:N35)</f>
        <v>0</v>
      </c>
      <c r="P35" s="143" t="s">
        <v>388</v>
      </c>
    </row>
    <row r="36" spans="1:17" ht="45" hidden="1" customHeight="1">
      <c r="A36" s="153" t="s">
        <v>164</v>
      </c>
      <c r="B36" s="39">
        <v>0</v>
      </c>
      <c r="C36" s="141" t="s">
        <v>150</v>
      </c>
      <c r="D36" s="141"/>
      <c r="E36" s="141"/>
      <c r="F36" s="141"/>
      <c r="G36" s="141"/>
      <c r="H36" s="29">
        <v>0</v>
      </c>
      <c r="I36" s="145">
        <v>0</v>
      </c>
      <c r="J36" s="145">
        <v>0</v>
      </c>
      <c r="K36" s="145">
        <v>0</v>
      </c>
      <c r="L36" s="145">
        <v>0</v>
      </c>
      <c r="M36" s="145">
        <v>0</v>
      </c>
      <c r="N36" s="145">
        <v>0</v>
      </c>
      <c r="O36" s="142">
        <f t="shared" si="1"/>
        <v>0</v>
      </c>
      <c r="P36" s="143" t="s">
        <v>389</v>
      </c>
    </row>
    <row r="37" spans="1:17" ht="45" customHeight="1">
      <c r="A37" s="153" t="s">
        <v>136</v>
      </c>
      <c r="B37" s="39">
        <v>0</v>
      </c>
      <c r="C37" s="141" t="s">
        <v>123</v>
      </c>
      <c r="D37" s="141" t="s">
        <v>10</v>
      </c>
      <c r="E37" s="141" t="s">
        <v>44</v>
      </c>
      <c r="F37" s="141" t="s">
        <v>38</v>
      </c>
      <c r="G37" s="141"/>
      <c r="H37" s="29">
        <v>3</v>
      </c>
      <c r="I37" s="145">
        <v>0</v>
      </c>
      <c r="J37" s="145">
        <v>1</v>
      </c>
      <c r="K37" s="145">
        <v>0</v>
      </c>
      <c r="L37" s="145">
        <v>0</v>
      </c>
      <c r="M37" s="145">
        <v>1</v>
      </c>
      <c r="N37" s="145">
        <v>0</v>
      </c>
      <c r="O37" s="142">
        <f t="shared" si="1"/>
        <v>0.7142857142857143</v>
      </c>
      <c r="P37" s="143" t="s">
        <v>297</v>
      </c>
    </row>
    <row r="38" spans="1:17" ht="45" hidden="1" customHeight="1">
      <c r="A38" s="153" t="s">
        <v>205</v>
      </c>
      <c r="B38" s="39">
        <v>0</v>
      </c>
      <c r="C38" s="141" t="s">
        <v>174</v>
      </c>
      <c r="D38" s="141" t="s">
        <v>6</v>
      </c>
      <c r="E38" s="141"/>
      <c r="F38" s="141"/>
      <c r="G38" s="141"/>
      <c r="H38" s="29">
        <v>0</v>
      </c>
      <c r="I38" s="145">
        <v>0</v>
      </c>
      <c r="J38" s="145">
        <v>0</v>
      </c>
      <c r="K38" s="145">
        <v>0</v>
      </c>
      <c r="L38" s="145">
        <v>0</v>
      </c>
      <c r="M38" s="145">
        <v>0</v>
      </c>
      <c r="N38" s="145">
        <v>0</v>
      </c>
      <c r="O38" s="142">
        <f t="shared" si="1"/>
        <v>0</v>
      </c>
      <c r="P38" s="143" t="s">
        <v>390</v>
      </c>
    </row>
    <row r="39" spans="1:17" ht="45" hidden="1" customHeight="1">
      <c r="A39" s="28" t="s">
        <v>158</v>
      </c>
      <c r="B39" s="39">
        <v>0</v>
      </c>
      <c r="C39" s="141" t="s">
        <v>150</v>
      </c>
      <c r="D39" s="141" t="s">
        <v>10</v>
      </c>
      <c r="E39" s="141" t="s">
        <v>48</v>
      </c>
      <c r="F39" s="141" t="s">
        <v>38</v>
      </c>
      <c r="G39" s="141"/>
      <c r="H39" s="29">
        <v>2</v>
      </c>
      <c r="I39" s="145" t="s">
        <v>118</v>
      </c>
      <c r="J39" s="145" t="s">
        <v>118</v>
      </c>
      <c r="K39" s="145">
        <v>2</v>
      </c>
      <c r="L39" s="145">
        <v>0</v>
      </c>
      <c r="M39" s="145">
        <v>0</v>
      </c>
      <c r="N39" s="145" t="s">
        <v>118</v>
      </c>
      <c r="O39" s="142">
        <f t="shared" si="1"/>
        <v>1</v>
      </c>
      <c r="P39" s="143" t="s">
        <v>391</v>
      </c>
      <c r="Q39" s="13" t="s">
        <v>259</v>
      </c>
    </row>
    <row r="40" spans="1:17" ht="45" hidden="1" customHeight="1">
      <c r="A40" s="153" t="s">
        <v>234</v>
      </c>
      <c r="B40" s="39">
        <v>0</v>
      </c>
      <c r="C40" s="141" t="s">
        <v>51</v>
      </c>
      <c r="D40" s="141" t="s">
        <v>18</v>
      </c>
      <c r="E40" s="141" t="s">
        <v>44</v>
      </c>
      <c r="F40" s="141" t="s">
        <v>40</v>
      </c>
      <c r="G40" s="141"/>
      <c r="H40" s="29">
        <v>4</v>
      </c>
      <c r="I40" s="145">
        <v>4</v>
      </c>
      <c r="J40" s="145">
        <v>1</v>
      </c>
      <c r="K40" s="145">
        <v>4</v>
      </c>
      <c r="L40" s="145">
        <v>1</v>
      </c>
      <c r="M40" s="145">
        <v>3</v>
      </c>
      <c r="N40" s="145">
        <v>3</v>
      </c>
      <c r="O40" s="142">
        <f t="shared" si="1"/>
        <v>2.8571428571428572</v>
      </c>
      <c r="P40" s="143" t="s">
        <v>392</v>
      </c>
      <c r="Q40" s="13" t="s">
        <v>259</v>
      </c>
    </row>
    <row r="41" spans="1:17" ht="45" hidden="1" customHeight="1">
      <c r="A41" s="40" t="s">
        <v>111</v>
      </c>
      <c r="B41" s="39">
        <v>0</v>
      </c>
      <c r="C41" s="141" t="s">
        <v>51</v>
      </c>
      <c r="D41" s="141" t="s">
        <v>26</v>
      </c>
      <c r="E41" s="141" t="s">
        <v>45</v>
      </c>
      <c r="F41" s="141" t="s">
        <v>37</v>
      </c>
      <c r="G41" s="141"/>
      <c r="H41" s="29">
        <v>0</v>
      </c>
      <c r="I41" s="145">
        <v>0</v>
      </c>
      <c r="J41" s="145">
        <v>0</v>
      </c>
      <c r="K41" s="145">
        <v>0</v>
      </c>
      <c r="L41" s="145">
        <v>0</v>
      </c>
      <c r="M41" s="145">
        <v>0</v>
      </c>
      <c r="N41" s="145">
        <v>0</v>
      </c>
      <c r="O41" s="142">
        <f t="shared" si="1"/>
        <v>0</v>
      </c>
      <c r="P41" s="143" t="s">
        <v>112</v>
      </c>
    </row>
    <row r="42" spans="1:17" ht="45" customHeight="1">
      <c r="A42" s="153" t="s">
        <v>139</v>
      </c>
      <c r="B42" s="39">
        <v>0</v>
      </c>
      <c r="C42" s="141" t="s">
        <v>123</v>
      </c>
      <c r="D42" s="141" t="s">
        <v>26</v>
      </c>
      <c r="E42" s="141" t="s">
        <v>48</v>
      </c>
      <c r="F42" s="141"/>
      <c r="G42" s="141"/>
      <c r="H42" s="139">
        <v>2</v>
      </c>
      <c r="I42" s="139">
        <v>0</v>
      </c>
      <c r="J42" s="139">
        <v>0</v>
      </c>
      <c r="K42" s="139">
        <v>0</v>
      </c>
      <c r="L42" s="139">
        <v>0</v>
      </c>
      <c r="M42" s="139">
        <v>1</v>
      </c>
      <c r="N42" s="139">
        <v>0</v>
      </c>
      <c r="O42" s="142">
        <f t="shared" si="1"/>
        <v>0.42857142857142855</v>
      </c>
      <c r="P42" s="138" t="s">
        <v>338</v>
      </c>
    </row>
    <row r="43" spans="1:17" ht="45" hidden="1" customHeight="1">
      <c r="A43" s="153" t="s">
        <v>152</v>
      </c>
      <c r="B43" s="39">
        <v>5</v>
      </c>
      <c r="C43" s="141" t="s">
        <v>248</v>
      </c>
      <c r="D43" s="141" t="s">
        <v>14</v>
      </c>
      <c r="E43" s="141" t="s">
        <v>45</v>
      </c>
      <c r="F43" s="141" t="s">
        <v>42</v>
      </c>
      <c r="G43" s="141"/>
      <c r="H43" s="31">
        <v>3</v>
      </c>
      <c r="I43" s="146">
        <v>5</v>
      </c>
      <c r="J43" s="146">
        <v>5</v>
      </c>
      <c r="K43" s="146">
        <v>4</v>
      </c>
      <c r="L43" s="146">
        <v>2</v>
      </c>
      <c r="M43" s="146">
        <v>1</v>
      </c>
      <c r="N43" s="146" t="s">
        <v>118</v>
      </c>
      <c r="O43" s="142">
        <f t="shared" si="1"/>
        <v>3.3333333333333335</v>
      </c>
      <c r="P43" s="144" t="s">
        <v>393</v>
      </c>
    </row>
    <row r="44" spans="1:17" ht="45" hidden="1" customHeight="1">
      <c r="A44" s="153" t="s">
        <v>172</v>
      </c>
      <c r="B44" s="39">
        <v>3</v>
      </c>
      <c r="C44" s="141" t="s">
        <v>51</v>
      </c>
      <c r="D44" s="141"/>
      <c r="E44" s="141"/>
      <c r="F44" s="141"/>
      <c r="G44" s="141"/>
      <c r="H44" s="30">
        <v>0</v>
      </c>
      <c r="I44" s="139">
        <v>0</v>
      </c>
      <c r="J44" s="139">
        <v>0</v>
      </c>
      <c r="K44" s="139">
        <v>0</v>
      </c>
      <c r="L44" s="139">
        <v>0</v>
      </c>
      <c r="M44" s="139">
        <v>0</v>
      </c>
      <c r="N44" s="139">
        <v>0</v>
      </c>
      <c r="O44" s="142">
        <f t="shared" si="1"/>
        <v>0</v>
      </c>
      <c r="P44" s="138" t="s">
        <v>370</v>
      </c>
    </row>
    <row r="45" spans="1:17" ht="45" hidden="1" customHeight="1">
      <c r="A45" s="153" t="s">
        <v>106</v>
      </c>
      <c r="B45" s="39">
        <v>0</v>
      </c>
      <c r="C45" s="141" t="s">
        <v>51</v>
      </c>
      <c r="D45" s="141"/>
      <c r="E45" s="141"/>
      <c r="F45" s="141"/>
      <c r="G45" s="141"/>
      <c r="H45" s="30">
        <v>0</v>
      </c>
      <c r="I45" s="139" t="s">
        <v>101</v>
      </c>
      <c r="J45" s="139" t="s">
        <v>101</v>
      </c>
      <c r="K45" s="139" t="s">
        <v>104</v>
      </c>
      <c r="L45" s="139" t="s">
        <v>101</v>
      </c>
      <c r="M45" s="139" t="s">
        <v>101</v>
      </c>
      <c r="N45" s="139" t="s">
        <v>96</v>
      </c>
      <c r="O45" s="142">
        <f t="shared" si="1"/>
        <v>0</v>
      </c>
      <c r="P45" s="138" t="s">
        <v>394</v>
      </c>
    </row>
    <row r="46" spans="1:17" ht="45" customHeight="1">
      <c r="A46" s="153" t="s">
        <v>168</v>
      </c>
      <c r="B46" s="39">
        <v>5</v>
      </c>
      <c r="C46" s="141" t="s">
        <v>123</v>
      </c>
      <c r="D46" s="141" t="s">
        <v>10</v>
      </c>
      <c r="E46" s="141" t="s">
        <v>44</v>
      </c>
      <c r="F46" s="141" t="s">
        <v>38</v>
      </c>
      <c r="G46" s="141"/>
      <c r="H46" s="30">
        <v>3</v>
      </c>
      <c r="I46" s="139">
        <v>0</v>
      </c>
      <c r="J46" s="139" t="s">
        <v>118</v>
      </c>
      <c r="K46" s="139">
        <v>3</v>
      </c>
      <c r="L46" s="139" t="s">
        <v>118</v>
      </c>
      <c r="M46" s="139">
        <v>3</v>
      </c>
      <c r="N46" s="139" t="s">
        <v>118</v>
      </c>
      <c r="O46" s="142">
        <f t="shared" si="1"/>
        <v>2.25</v>
      </c>
      <c r="P46" s="138" t="s">
        <v>339</v>
      </c>
    </row>
    <row r="47" spans="1:17" ht="45" customHeight="1">
      <c r="A47" s="153" t="s">
        <v>167</v>
      </c>
      <c r="B47" s="39">
        <v>5</v>
      </c>
      <c r="C47" s="141" t="s">
        <v>123</v>
      </c>
      <c r="D47" s="141" t="s">
        <v>10</v>
      </c>
      <c r="E47" s="141" t="s">
        <v>44</v>
      </c>
      <c r="F47" s="141" t="s">
        <v>38</v>
      </c>
      <c r="G47" s="141"/>
      <c r="H47" s="30">
        <v>3</v>
      </c>
      <c r="I47" s="139">
        <v>0</v>
      </c>
      <c r="J47" s="139" t="s">
        <v>118</v>
      </c>
      <c r="K47" s="139">
        <v>3</v>
      </c>
      <c r="L47" s="139" t="s">
        <v>118</v>
      </c>
      <c r="M47" s="139">
        <v>3</v>
      </c>
      <c r="N47" s="139" t="s">
        <v>118</v>
      </c>
      <c r="O47" s="142">
        <f t="shared" si="1"/>
        <v>2.25</v>
      </c>
      <c r="P47" s="138" t="s">
        <v>302</v>
      </c>
      <c r="Q47" s="13" t="s">
        <v>268</v>
      </c>
    </row>
    <row r="48" spans="1:17" ht="45" hidden="1" customHeight="1">
      <c r="A48" s="153" t="s">
        <v>149</v>
      </c>
      <c r="B48" s="39">
        <v>0</v>
      </c>
      <c r="C48" s="141" t="s">
        <v>51</v>
      </c>
      <c r="D48" s="141" t="s">
        <v>26</v>
      </c>
      <c r="E48" s="141" t="s">
        <v>44</v>
      </c>
      <c r="F48" s="141" t="s">
        <v>37</v>
      </c>
      <c r="G48" s="141"/>
      <c r="H48" s="29">
        <v>5</v>
      </c>
      <c r="I48" s="145">
        <v>5</v>
      </c>
      <c r="J48" s="145">
        <v>5</v>
      </c>
      <c r="K48" s="145">
        <v>5</v>
      </c>
      <c r="L48" s="145">
        <v>5</v>
      </c>
      <c r="M48" s="145">
        <v>5</v>
      </c>
      <c r="N48" s="145">
        <v>5</v>
      </c>
      <c r="O48" s="142">
        <f t="shared" si="1"/>
        <v>5</v>
      </c>
      <c r="P48" s="143" t="s">
        <v>395</v>
      </c>
    </row>
    <row r="49" spans="1:16" ht="45" customHeight="1">
      <c r="A49" s="153" t="s">
        <v>129</v>
      </c>
      <c r="B49" s="39">
        <v>0</v>
      </c>
      <c r="C49" s="141" t="s">
        <v>123</v>
      </c>
      <c r="D49" s="141" t="s">
        <v>26</v>
      </c>
      <c r="E49" s="141" t="s">
        <v>47</v>
      </c>
      <c r="F49" s="141" t="s">
        <v>41</v>
      </c>
      <c r="G49" s="141"/>
      <c r="H49" s="30">
        <v>0</v>
      </c>
      <c r="I49" s="139">
        <v>0</v>
      </c>
      <c r="J49" s="139">
        <v>0</v>
      </c>
      <c r="K49" s="139">
        <v>0</v>
      </c>
      <c r="L49" s="139">
        <v>0</v>
      </c>
      <c r="M49" s="139">
        <v>0</v>
      </c>
      <c r="N49" s="139">
        <v>0</v>
      </c>
      <c r="O49" s="142">
        <f t="shared" si="1"/>
        <v>0</v>
      </c>
      <c r="P49" s="138" t="s">
        <v>238</v>
      </c>
    </row>
    <row r="50" spans="1:16" ht="45" customHeight="1">
      <c r="A50" s="153" t="s">
        <v>134</v>
      </c>
      <c r="B50" s="39">
        <v>0</v>
      </c>
      <c r="C50" s="141" t="s">
        <v>123</v>
      </c>
      <c r="D50" s="141" t="s">
        <v>18</v>
      </c>
      <c r="E50" s="141" t="s">
        <v>44</v>
      </c>
      <c r="F50" s="141" t="s">
        <v>38</v>
      </c>
      <c r="G50" s="141"/>
      <c r="H50" s="30">
        <v>0</v>
      </c>
      <c r="I50" s="139">
        <v>0</v>
      </c>
      <c r="J50" s="139">
        <v>0</v>
      </c>
      <c r="K50" s="139">
        <v>0</v>
      </c>
      <c r="L50" s="139">
        <v>0</v>
      </c>
      <c r="M50" s="139">
        <v>0</v>
      </c>
      <c r="N50" s="139">
        <v>0</v>
      </c>
      <c r="O50" s="142">
        <f t="shared" si="1"/>
        <v>0</v>
      </c>
      <c r="P50" s="138" t="s">
        <v>340</v>
      </c>
    </row>
    <row r="51" spans="1:16" ht="45" hidden="1" customHeight="1">
      <c r="A51" s="152" t="s">
        <v>281</v>
      </c>
      <c r="B51" s="39">
        <v>0</v>
      </c>
      <c r="C51" s="21" t="s">
        <v>210</v>
      </c>
      <c r="D51" s="21" t="s">
        <v>6</v>
      </c>
      <c r="E51" s="21"/>
      <c r="F51" s="21" t="s">
        <v>38</v>
      </c>
      <c r="G51" s="21"/>
      <c r="H51" s="49">
        <v>0</v>
      </c>
      <c r="I51" s="52">
        <v>0</v>
      </c>
      <c r="J51" s="52">
        <v>0</v>
      </c>
      <c r="K51" s="52">
        <v>0</v>
      </c>
      <c r="L51" s="52">
        <v>0</v>
      </c>
      <c r="M51" s="52">
        <v>0</v>
      </c>
      <c r="N51" s="52">
        <v>0</v>
      </c>
      <c r="O51" s="142">
        <f t="shared" si="1"/>
        <v>0</v>
      </c>
      <c r="P51" s="24" t="s">
        <v>341</v>
      </c>
    </row>
    <row r="52" spans="1:16" ht="45" hidden="1" customHeight="1">
      <c r="A52" s="153" t="s">
        <v>219</v>
      </c>
      <c r="B52" s="39">
        <v>0</v>
      </c>
      <c r="C52" s="141" t="s">
        <v>267</v>
      </c>
      <c r="D52" s="141" t="s">
        <v>6</v>
      </c>
      <c r="E52" s="141"/>
      <c r="F52" s="141"/>
      <c r="G52" s="141"/>
      <c r="H52" s="29">
        <v>0</v>
      </c>
      <c r="I52" s="145">
        <v>0</v>
      </c>
      <c r="J52" s="145">
        <v>0</v>
      </c>
      <c r="K52" s="145">
        <v>0</v>
      </c>
      <c r="L52" s="145">
        <v>0</v>
      </c>
      <c r="M52" s="145">
        <v>0</v>
      </c>
      <c r="N52" s="145">
        <v>0</v>
      </c>
      <c r="O52" s="142">
        <f t="shared" si="1"/>
        <v>0</v>
      </c>
      <c r="P52" s="155" t="s">
        <v>220</v>
      </c>
    </row>
    <row r="53" spans="1:16" ht="45" hidden="1" customHeight="1">
      <c r="A53" s="153" t="s">
        <v>221</v>
      </c>
      <c r="B53" s="39">
        <v>0</v>
      </c>
      <c r="C53" s="141" t="s">
        <v>267</v>
      </c>
      <c r="D53" s="141" t="s">
        <v>6</v>
      </c>
      <c r="E53" s="141"/>
      <c r="F53" s="141"/>
      <c r="G53" s="141"/>
      <c r="H53" s="29">
        <v>0</v>
      </c>
      <c r="I53" s="145">
        <v>0</v>
      </c>
      <c r="J53" s="145">
        <v>0</v>
      </c>
      <c r="K53" s="145">
        <v>0</v>
      </c>
      <c r="L53" s="145">
        <v>0</v>
      </c>
      <c r="M53" s="145">
        <v>0</v>
      </c>
      <c r="N53" s="145">
        <v>0</v>
      </c>
      <c r="O53" s="142">
        <f t="shared" si="1"/>
        <v>0</v>
      </c>
      <c r="P53" s="143" t="s">
        <v>222</v>
      </c>
    </row>
    <row r="54" spans="1:16" ht="45" hidden="1" customHeight="1">
      <c r="A54" s="153" t="s">
        <v>253</v>
      </c>
      <c r="B54" s="39">
        <v>0</v>
      </c>
      <c r="C54" s="141" t="s">
        <v>150</v>
      </c>
      <c r="D54" s="141" t="s">
        <v>10</v>
      </c>
      <c r="E54" s="141" t="s">
        <v>44</v>
      </c>
      <c r="F54" s="141" t="s">
        <v>38</v>
      </c>
      <c r="G54" s="141"/>
      <c r="H54" s="29">
        <v>0</v>
      </c>
      <c r="I54" s="145">
        <v>3</v>
      </c>
      <c r="J54" s="145">
        <v>0</v>
      </c>
      <c r="K54" s="145">
        <v>3</v>
      </c>
      <c r="L54" s="145">
        <v>0</v>
      </c>
      <c r="M54" s="145">
        <v>0</v>
      </c>
      <c r="N54" s="145" t="s">
        <v>118</v>
      </c>
      <c r="O54" s="142">
        <f t="shared" si="1"/>
        <v>1</v>
      </c>
      <c r="P54" s="143" t="s">
        <v>396</v>
      </c>
    </row>
    <row r="55" spans="1:16" ht="45" customHeight="1">
      <c r="A55" s="153" t="s">
        <v>130</v>
      </c>
      <c r="B55" s="39">
        <v>0</v>
      </c>
      <c r="C55" s="141" t="s">
        <v>123</v>
      </c>
      <c r="D55" s="141" t="s">
        <v>26</v>
      </c>
      <c r="E55" s="141" t="s">
        <v>44</v>
      </c>
      <c r="F55" s="141" t="s">
        <v>40</v>
      </c>
      <c r="G55" s="141"/>
      <c r="H55" s="29">
        <v>1</v>
      </c>
      <c r="I55" s="145">
        <v>1</v>
      </c>
      <c r="J55" s="145">
        <v>1</v>
      </c>
      <c r="K55" s="145">
        <v>1</v>
      </c>
      <c r="L55" s="145">
        <v>1</v>
      </c>
      <c r="M55" s="145">
        <v>0</v>
      </c>
      <c r="N55" s="145">
        <v>0</v>
      </c>
      <c r="O55" s="142">
        <f t="shared" si="1"/>
        <v>0.7142857142857143</v>
      </c>
      <c r="P55" s="143" t="s">
        <v>305</v>
      </c>
    </row>
    <row r="56" spans="1:16" ht="45" hidden="1" customHeight="1">
      <c r="A56" s="153" t="s">
        <v>143</v>
      </c>
      <c r="B56" s="39">
        <v>0</v>
      </c>
      <c r="C56" s="141" t="s">
        <v>210</v>
      </c>
      <c r="D56" s="141" t="s">
        <v>26</v>
      </c>
      <c r="E56" s="141" t="s">
        <v>48</v>
      </c>
      <c r="F56" s="141"/>
      <c r="G56" s="141"/>
      <c r="H56" s="29">
        <v>0</v>
      </c>
      <c r="I56" s="145">
        <v>0</v>
      </c>
      <c r="J56" s="145">
        <v>0</v>
      </c>
      <c r="K56" s="145">
        <v>0</v>
      </c>
      <c r="L56" s="145">
        <v>0</v>
      </c>
      <c r="M56" s="145">
        <v>0</v>
      </c>
      <c r="N56" s="145">
        <v>0</v>
      </c>
      <c r="O56" s="142">
        <f t="shared" si="1"/>
        <v>0</v>
      </c>
      <c r="P56" s="143" t="s">
        <v>397</v>
      </c>
    </row>
    <row r="57" spans="1:16" ht="45" hidden="1" customHeight="1">
      <c r="A57" s="153" t="s">
        <v>173</v>
      </c>
      <c r="B57" s="39">
        <v>0</v>
      </c>
      <c r="C57" s="141" t="s">
        <v>174</v>
      </c>
      <c r="D57" s="141" t="s">
        <v>6</v>
      </c>
      <c r="E57" s="141"/>
      <c r="F57" s="141"/>
      <c r="G57" s="141"/>
      <c r="H57" s="29" t="s">
        <v>118</v>
      </c>
      <c r="I57" s="145" t="s">
        <v>118</v>
      </c>
      <c r="J57" s="145" t="s">
        <v>118</v>
      </c>
      <c r="K57" s="145" t="s">
        <v>118</v>
      </c>
      <c r="L57" s="145" t="s">
        <v>118</v>
      </c>
      <c r="M57" s="145" t="s">
        <v>118</v>
      </c>
      <c r="N57" s="145" t="s">
        <v>118</v>
      </c>
      <c r="O57" s="142" t="e">
        <f t="shared" si="1"/>
        <v>#DIV/0!</v>
      </c>
      <c r="P57" s="143" t="s">
        <v>398</v>
      </c>
    </row>
    <row r="58" spans="1:16" ht="45" hidden="1" customHeight="1">
      <c r="A58" s="153" t="s">
        <v>176</v>
      </c>
      <c r="B58" s="39">
        <v>0</v>
      </c>
      <c r="C58" s="141" t="s">
        <v>174</v>
      </c>
      <c r="D58" s="141"/>
      <c r="E58" s="141"/>
      <c r="F58" s="141"/>
      <c r="G58" s="141"/>
      <c r="H58" s="29" t="s">
        <v>118</v>
      </c>
      <c r="I58" s="29" t="s">
        <v>118</v>
      </c>
      <c r="J58" s="29" t="s">
        <v>118</v>
      </c>
      <c r="K58" s="29" t="s">
        <v>118</v>
      </c>
      <c r="L58" s="29" t="s">
        <v>118</v>
      </c>
      <c r="M58" s="29" t="s">
        <v>118</v>
      </c>
      <c r="N58" s="29" t="s">
        <v>118</v>
      </c>
      <c r="O58" s="142" t="e">
        <f t="shared" si="1"/>
        <v>#DIV/0!</v>
      </c>
      <c r="P58" s="143" t="s">
        <v>399</v>
      </c>
    </row>
    <row r="59" spans="1:16" ht="45" hidden="1" customHeight="1">
      <c r="A59" s="153" t="s">
        <v>246</v>
      </c>
      <c r="B59" s="39">
        <v>0</v>
      </c>
      <c r="C59" s="141" t="s">
        <v>150</v>
      </c>
      <c r="D59" s="141" t="s">
        <v>6</v>
      </c>
      <c r="E59" s="141"/>
      <c r="F59" s="141"/>
      <c r="G59" s="42"/>
      <c r="H59" s="139" t="s">
        <v>118</v>
      </c>
      <c r="I59" s="139" t="s">
        <v>118</v>
      </c>
      <c r="J59" s="139" t="s">
        <v>118</v>
      </c>
      <c r="K59" s="139" t="s">
        <v>118</v>
      </c>
      <c r="L59" s="139" t="s">
        <v>118</v>
      </c>
      <c r="M59" s="139" t="s">
        <v>118</v>
      </c>
      <c r="N59" s="139" t="s">
        <v>118</v>
      </c>
      <c r="O59" s="142" t="e">
        <f t="shared" si="1"/>
        <v>#DIV/0!</v>
      </c>
      <c r="P59" s="138" t="s">
        <v>400</v>
      </c>
    </row>
    <row r="60" spans="1:16" ht="45" hidden="1" customHeight="1">
      <c r="A60" s="153" t="s">
        <v>184</v>
      </c>
      <c r="B60" s="39">
        <v>0</v>
      </c>
      <c r="C60" s="141" t="s">
        <v>174</v>
      </c>
      <c r="D60" s="141" t="s">
        <v>14</v>
      </c>
      <c r="E60" s="141"/>
      <c r="F60" s="141"/>
      <c r="G60" s="42"/>
      <c r="H60" s="139">
        <v>0</v>
      </c>
      <c r="I60" s="139">
        <v>0</v>
      </c>
      <c r="J60" s="139">
        <v>0</v>
      </c>
      <c r="K60" s="139">
        <v>0</v>
      </c>
      <c r="L60" s="139">
        <v>0</v>
      </c>
      <c r="M60" s="139">
        <v>0</v>
      </c>
      <c r="N60" s="139">
        <v>0</v>
      </c>
      <c r="O60" s="142">
        <f t="shared" si="1"/>
        <v>0</v>
      </c>
      <c r="P60" s="138" t="s">
        <v>401</v>
      </c>
    </row>
    <row r="61" spans="1:16" ht="45" hidden="1" customHeight="1">
      <c r="A61" s="28" t="s">
        <v>182</v>
      </c>
      <c r="B61" s="39">
        <v>0</v>
      </c>
      <c r="C61" s="141" t="s">
        <v>174</v>
      </c>
      <c r="D61" s="35" t="s">
        <v>14</v>
      </c>
      <c r="E61" s="35"/>
      <c r="F61" s="35"/>
      <c r="G61" s="43"/>
      <c r="H61" s="139">
        <v>0</v>
      </c>
      <c r="I61" s="139">
        <v>0</v>
      </c>
      <c r="J61" s="139">
        <v>0</v>
      </c>
      <c r="K61" s="139">
        <v>0</v>
      </c>
      <c r="L61" s="139">
        <v>0</v>
      </c>
      <c r="M61" s="139">
        <v>0</v>
      </c>
      <c r="N61" s="139">
        <v>0</v>
      </c>
      <c r="O61" s="142">
        <f t="shared" si="1"/>
        <v>0</v>
      </c>
      <c r="P61" s="138" t="s">
        <v>402</v>
      </c>
    </row>
    <row r="62" spans="1:16" ht="45" customHeight="1">
      <c r="A62" s="140" t="s">
        <v>122</v>
      </c>
      <c r="B62" s="39">
        <v>0</v>
      </c>
      <c r="C62" s="141" t="s">
        <v>123</v>
      </c>
      <c r="D62" s="141" t="s">
        <v>14</v>
      </c>
      <c r="E62" s="141" t="s">
        <v>44</v>
      </c>
      <c r="F62" s="141" t="s">
        <v>40</v>
      </c>
      <c r="G62" s="42"/>
      <c r="H62" s="139">
        <v>3</v>
      </c>
      <c r="I62" s="139">
        <v>0</v>
      </c>
      <c r="J62" s="139">
        <v>4</v>
      </c>
      <c r="K62" s="139">
        <v>1</v>
      </c>
      <c r="L62" s="139" t="s">
        <v>118</v>
      </c>
      <c r="M62" s="139">
        <v>2</v>
      </c>
      <c r="N62" s="139" t="s">
        <v>118</v>
      </c>
      <c r="O62" s="142">
        <f t="shared" si="1"/>
        <v>2</v>
      </c>
      <c r="P62" s="138" t="s">
        <v>308</v>
      </c>
    </row>
    <row r="63" spans="1:16" ht="45" hidden="1" customHeight="1">
      <c r="A63" s="140" t="s">
        <v>223</v>
      </c>
      <c r="B63" s="39">
        <v>0</v>
      </c>
      <c r="C63" s="141" t="s">
        <v>267</v>
      </c>
      <c r="D63" s="141" t="s">
        <v>6</v>
      </c>
      <c r="E63" s="141"/>
      <c r="F63" s="141"/>
      <c r="G63" s="42"/>
      <c r="H63" s="139">
        <v>0</v>
      </c>
      <c r="I63" s="139">
        <v>0</v>
      </c>
      <c r="J63" s="139">
        <v>0</v>
      </c>
      <c r="K63" s="139">
        <v>0</v>
      </c>
      <c r="L63" s="139">
        <v>0</v>
      </c>
      <c r="M63" s="139">
        <v>0</v>
      </c>
      <c r="N63" s="139">
        <v>0</v>
      </c>
      <c r="O63" s="142">
        <f t="shared" si="1"/>
        <v>0</v>
      </c>
      <c r="P63" s="138" t="s">
        <v>224</v>
      </c>
    </row>
    <row r="64" spans="1:16" ht="45" hidden="1" customHeight="1">
      <c r="A64" s="140" t="s">
        <v>403</v>
      </c>
      <c r="B64" s="39">
        <v>3</v>
      </c>
      <c r="C64" s="141" t="s">
        <v>210</v>
      </c>
      <c r="D64" s="141" t="s">
        <v>14</v>
      </c>
      <c r="E64" s="141" t="s">
        <v>44</v>
      </c>
      <c r="F64" s="141" t="s">
        <v>39</v>
      </c>
      <c r="G64" s="42" t="s">
        <v>261</v>
      </c>
      <c r="H64" s="139">
        <v>0</v>
      </c>
      <c r="I64" s="139">
        <v>0</v>
      </c>
      <c r="J64" s="139">
        <v>0</v>
      </c>
      <c r="K64" s="139">
        <v>0</v>
      </c>
      <c r="L64" s="139">
        <v>0</v>
      </c>
      <c r="M64" s="139">
        <v>0</v>
      </c>
      <c r="N64" s="139">
        <v>2</v>
      </c>
      <c r="O64" s="142">
        <f t="shared" si="1"/>
        <v>0.2857142857142857</v>
      </c>
      <c r="P64" s="138" t="s">
        <v>404</v>
      </c>
    </row>
    <row r="65" spans="1:16" ht="45" hidden="1" customHeight="1">
      <c r="A65" s="140" t="s">
        <v>138</v>
      </c>
      <c r="B65" s="39">
        <v>0</v>
      </c>
      <c r="C65" s="141" t="s">
        <v>210</v>
      </c>
      <c r="D65" s="141" t="s">
        <v>26</v>
      </c>
      <c r="E65" s="141" t="s">
        <v>48</v>
      </c>
      <c r="F65" s="141"/>
      <c r="G65" s="141"/>
      <c r="H65" s="50">
        <v>1</v>
      </c>
      <c r="I65" s="50">
        <v>0</v>
      </c>
      <c r="J65" s="50">
        <v>0</v>
      </c>
      <c r="K65" s="50">
        <v>0</v>
      </c>
      <c r="L65" s="50">
        <v>0</v>
      </c>
      <c r="M65" s="50">
        <v>1</v>
      </c>
      <c r="N65" s="50">
        <v>0</v>
      </c>
      <c r="O65" s="142">
        <f t="shared" si="1"/>
        <v>0.2857142857142857</v>
      </c>
      <c r="P65" s="148" t="s">
        <v>347</v>
      </c>
    </row>
    <row r="66" spans="1:16" ht="45" hidden="1" customHeight="1">
      <c r="A66" s="140" t="s">
        <v>217</v>
      </c>
      <c r="B66" s="39">
        <v>0</v>
      </c>
      <c r="C66" s="141" t="s">
        <v>210</v>
      </c>
      <c r="D66" s="141" t="s">
        <v>6</v>
      </c>
      <c r="E66" s="141"/>
      <c r="F66" s="141"/>
      <c r="G66" s="141"/>
      <c r="H66" s="139">
        <v>0</v>
      </c>
      <c r="I66" s="139">
        <v>0</v>
      </c>
      <c r="J66" s="139">
        <v>0</v>
      </c>
      <c r="K66" s="139">
        <v>0</v>
      </c>
      <c r="L66" s="139">
        <v>0</v>
      </c>
      <c r="M66" s="139">
        <v>0</v>
      </c>
      <c r="N66" s="139">
        <v>0</v>
      </c>
      <c r="O66" s="142">
        <f t="shared" si="1"/>
        <v>0</v>
      </c>
      <c r="P66" s="138" t="s">
        <v>405</v>
      </c>
    </row>
    <row r="67" spans="1:16" ht="45" hidden="1" customHeight="1">
      <c r="A67" s="140" t="s">
        <v>171</v>
      </c>
      <c r="B67" s="39">
        <v>0</v>
      </c>
      <c r="C67" s="141" t="s">
        <v>150</v>
      </c>
      <c r="D67" s="141" t="s">
        <v>6</v>
      </c>
      <c r="E67" s="141"/>
      <c r="F67" s="141"/>
      <c r="G67" s="141"/>
      <c r="H67" s="139">
        <v>0</v>
      </c>
      <c r="I67" s="139">
        <v>0</v>
      </c>
      <c r="J67" s="139">
        <v>0</v>
      </c>
      <c r="K67" s="139">
        <v>0</v>
      </c>
      <c r="L67" s="139">
        <v>0</v>
      </c>
      <c r="M67" s="139">
        <v>0</v>
      </c>
      <c r="N67" s="139">
        <v>0</v>
      </c>
      <c r="O67" s="142">
        <f t="shared" ref="O67:O98" si="2">AVERAGE(H67:N67)</f>
        <v>0</v>
      </c>
      <c r="P67" s="138" t="s">
        <v>406</v>
      </c>
    </row>
    <row r="68" spans="1:16" ht="45" hidden="1" customHeight="1">
      <c r="A68" s="140" t="s">
        <v>313</v>
      </c>
      <c r="B68" s="39">
        <v>0</v>
      </c>
      <c r="C68" s="21" t="s">
        <v>267</v>
      </c>
      <c r="D68" s="21" t="s">
        <v>6</v>
      </c>
      <c r="E68" s="21"/>
      <c r="F68" s="21"/>
      <c r="G68" s="21"/>
      <c r="H68" s="22">
        <v>0</v>
      </c>
      <c r="I68" s="22">
        <v>0</v>
      </c>
      <c r="J68" s="22">
        <v>0</v>
      </c>
      <c r="K68" s="22">
        <v>0</v>
      </c>
      <c r="L68" s="22">
        <v>0</v>
      </c>
      <c r="M68" s="22">
        <v>0</v>
      </c>
      <c r="N68" s="22">
        <v>0</v>
      </c>
      <c r="O68" s="142">
        <f t="shared" si="2"/>
        <v>0</v>
      </c>
      <c r="P68" s="24" t="s">
        <v>314</v>
      </c>
    </row>
    <row r="69" spans="1:16" ht="45" hidden="1" customHeight="1">
      <c r="A69" s="140" t="s">
        <v>315</v>
      </c>
      <c r="B69" s="39">
        <v>0</v>
      </c>
      <c r="C69" s="21" t="s">
        <v>267</v>
      </c>
      <c r="D69" s="21" t="s">
        <v>6</v>
      </c>
      <c r="E69" s="21"/>
      <c r="F69" s="21"/>
      <c r="G69" s="21"/>
      <c r="H69" s="22"/>
      <c r="I69" s="22"/>
      <c r="J69" s="22"/>
      <c r="K69" s="22"/>
      <c r="L69" s="22"/>
      <c r="M69" s="22"/>
      <c r="N69" s="22"/>
      <c r="O69" s="142" t="e">
        <f t="shared" si="2"/>
        <v>#DIV/0!</v>
      </c>
      <c r="P69" s="24" t="s">
        <v>316</v>
      </c>
    </row>
    <row r="70" spans="1:16" ht="45" hidden="1" customHeight="1">
      <c r="A70" s="140"/>
      <c r="B70" s="39">
        <v>0</v>
      </c>
      <c r="C70" s="21"/>
      <c r="D70" s="21"/>
      <c r="E70" s="21"/>
      <c r="F70" s="21"/>
      <c r="G70" s="21"/>
      <c r="H70" s="22"/>
      <c r="I70" s="22"/>
      <c r="J70" s="22"/>
      <c r="K70" s="22"/>
      <c r="L70" s="22"/>
      <c r="M70" s="22"/>
      <c r="N70" s="22"/>
      <c r="O70" s="142" t="e">
        <f t="shared" si="2"/>
        <v>#DIV/0!</v>
      </c>
      <c r="P70" s="24"/>
    </row>
    <row r="71" spans="1:16" ht="45" hidden="1" customHeight="1">
      <c r="A71" s="140"/>
      <c r="B71" s="39">
        <v>0</v>
      </c>
      <c r="C71" s="21"/>
      <c r="D71" s="21"/>
      <c r="E71" s="21"/>
      <c r="F71" s="21"/>
      <c r="G71" s="21"/>
      <c r="H71" s="22">
        <v>0</v>
      </c>
      <c r="I71" s="22">
        <v>0</v>
      </c>
      <c r="J71" s="22">
        <v>0</v>
      </c>
      <c r="K71" s="22">
        <v>0</v>
      </c>
      <c r="L71" s="22">
        <v>0</v>
      </c>
      <c r="M71" s="22">
        <v>0</v>
      </c>
      <c r="N71" s="22">
        <v>0</v>
      </c>
      <c r="O71" s="142">
        <f t="shared" si="2"/>
        <v>0</v>
      </c>
      <c r="P71" s="24"/>
    </row>
    <row r="72" spans="1:16" ht="45" hidden="1" customHeight="1">
      <c r="A72" s="140"/>
      <c r="B72" s="39">
        <v>0</v>
      </c>
      <c r="C72" s="21"/>
      <c r="D72" s="21"/>
      <c r="E72" s="21"/>
      <c r="F72" s="21"/>
      <c r="G72" s="21"/>
      <c r="H72" s="22"/>
      <c r="I72" s="22"/>
      <c r="J72" s="22"/>
      <c r="K72" s="22"/>
      <c r="L72" s="22"/>
      <c r="M72" s="22"/>
      <c r="N72" s="22"/>
      <c r="O72" s="142" t="e">
        <f t="shared" si="2"/>
        <v>#DIV/0!</v>
      </c>
      <c r="P72" s="24"/>
    </row>
    <row r="73" spans="1:16" ht="45" hidden="1" customHeight="1">
      <c r="A73" s="140"/>
      <c r="B73" s="39">
        <v>0</v>
      </c>
      <c r="C73" s="21"/>
      <c r="D73" s="21"/>
      <c r="E73" s="21"/>
      <c r="F73" s="21"/>
      <c r="G73" s="21"/>
      <c r="H73" s="22"/>
      <c r="I73" s="22"/>
      <c r="J73" s="22"/>
      <c r="K73" s="22"/>
      <c r="L73" s="22"/>
      <c r="M73" s="22"/>
      <c r="N73" s="22"/>
      <c r="O73" s="142" t="e">
        <f t="shared" si="2"/>
        <v>#DIV/0!</v>
      </c>
      <c r="P73" s="24"/>
    </row>
    <row r="74" spans="1:16" ht="45" hidden="1" customHeight="1">
      <c r="A74" s="140"/>
      <c r="B74" s="39">
        <v>0</v>
      </c>
      <c r="C74" s="21"/>
      <c r="D74" s="21"/>
      <c r="E74" s="21"/>
      <c r="F74" s="21"/>
      <c r="G74" s="21"/>
      <c r="H74" s="22">
        <v>0</v>
      </c>
      <c r="I74" s="22">
        <v>0</v>
      </c>
      <c r="J74" s="22">
        <v>0</v>
      </c>
      <c r="K74" s="22">
        <v>0</v>
      </c>
      <c r="L74" s="22">
        <v>0</v>
      </c>
      <c r="M74" s="22">
        <v>0</v>
      </c>
      <c r="N74" s="22">
        <v>0</v>
      </c>
      <c r="O74" s="142">
        <f t="shared" si="2"/>
        <v>0</v>
      </c>
      <c r="P74" s="24"/>
    </row>
    <row r="75" spans="1:16" ht="45" hidden="1" customHeight="1">
      <c r="A75" s="140"/>
      <c r="B75" s="39">
        <v>0</v>
      </c>
      <c r="C75" s="21"/>
      <c r="D75" s="21"/>
      <c r="E75" s="21"/>
      <c r="F75" s="21"/>
      <c r="G75" s="21"/>
      <c r="H75" s="22"/>
      <c r="I75" s="22"/>
      <c r="J75" s="22"/>
      <c r="K75" s="22"/>
      <c r="L75" s="22"/>
      <c r="M75" s="22"/>
      <c r="N75" s="22"/>
      <c r="O75" s="142" t="e">
        <f t="shared" si="2"/>
        <v>#DIV/0!</v>
      </c>
      <c r="P75" s="24"/>
    </row>
    <row r="76" spans="1:16" ht="45" hidden="1" customHeight="1">
      <c r="A76" s="140"/>
      <c r="B76" s="39">
        <v>0</v>
      </c>
      <c r="C76" s="21"/>
      <c r="D76" s="21"/>
      <c r="E76" s="21"/>
      <c r="F76" s="21"/>
      <c r="G76" s="21"/>
      <c r="H76" s="22"/>
      <c r="I76" s="22"/>
      <c r="J76" s="22"/>
      <c r="K76" s="22"/>
      <c r="L76" s="22"/>
      <c r="M76" s="22"/>
      <c r="N76" s="22"/>
      <c r="O76" s="142" t="e">
        <f t="shared" si="2"/>
        <v>#DIV/0!</v>
      </c>
      <c r="P76" s="24"/>
    </row>
    <row r="77" spans="1:16" ht="45" hidden="1" customHeight="1">
      <c r="A77" s="140"/>
      <c r="B77" s="39">
        <v>0</v>
      </c>
      <c r="C77" s="21"/>
      <c r="D77" s="21"/>
      <c r="E77" s="21"/>
      <c r="F77" s="21"/>
      <c r="G77" s="21"/>
      <c r="H77" s="22">
        <v>0</v>
      </c>
      <c r="I77" s="22">
        <v>0</v>
      </c>
      <c r="J77" s="22">
        <v>0</v>
      </c>
      <c r="K77" s="22">
        <v>0</v>
      </c>
      <c r="L77" s="22">
        <v>0</v>
      </c>
      <c r="M77" s="22">
        <v>0</v>
      </c>
      <c r="N77" s="22">
        <v>0</v>
      </c>
      <c r="O77" s="142">
        <f t="shared" si="2"/>
        <v>0</v>
      </c>
      <c r="P77" s="24"/>
    </row>
    <row r="78" spans="1:16" ht="45" hidden="1" customHeight="1">
      <c r="A78" s="140"/>
      <c r="B78" s="39">
        <v>0</v>
      </c>
      <c r="C78" s="21"/>
      <c r="D78" s="21"/>
      <c r="E78" s="21"/>
      <c r="F78" s="21"/>
      <c r="G78" s="21"/>
      <c r="H78" s="22" t="s">
        <v>118</v>
      </c>
      <c r="I78" s="22"/>
      <c r="J78" s="22"/>
      <c r="K78" s="22"/>
      <c r="L78" s="22"/>
      <c r="M78" s="22"/>
      <c r="N78" s="22"/>
      <c r="O78" s="142" t="e">
        <f t="shared" si="2"/>
        <v>#DIV/0!</v>
      </c>
      <c r="P78" s="24"/>
    </row>
    <row r="79" spans="1:16" ht="45" hidden="1" customHeight="1">
      <c r="A79" s="140"/>
      <c r="B79" s="39">
        <v>0</v>
      </c>
      <c r="C79" s="21"/>
      <c r="D79" s="21"/>
      <c r="E79" s="21"/>
      <c r="F79" s="21"/>
      <c r="G79" s="21"/>
      <c r="H79" s="22"/>
      <c r="I79" s="22"/>
      <c r="J79" s="22"/>
      <c r="K79" s="22"/>
      <c r="L79" s="22"/>
      <c r="M79" s="22"/>
      <c r="N79" s="22"/>
      <c r="O79" s="142" t="e">
        <f t="shared" si="2"/>
        <v>#DIV/0!</v>
      </c>
      <c r="P79" s="24"/>
    </row>
    <row r="80" spans="1:16" ht="45" hidden="1" customHeight="1">
      <c r="A80" s="140"/>
      <c r="B80" s="39">
        <v>0</v>
      </c>
      <c r="C80" s="21"/>
      <c r="D80" s="21"/>
      <c r="E80" s="21"/>
      <c r="F80" s="21"/>
      <c r="G80" s="21"/>
      <c r="H80" s="22">
        <v>0</v>
      </c>
      <c r="I80" s="22">
        <v>0</v>
      </c>
      <c r="J80" s="22">
        <v>0</v>
      </c>
      <c r="K80" s="22">
        <v>0</v>
      </c>
      <c r="L80" s="22">
        <v>0</v>
      </c>
      <c r="M80" s="22">
        <v>0</v>
      </c>
      <c r="N80" s="22">
        <v>0</v>
      </c>
      <c r="O80" s="23">
        <f t="shared" ref="O80:O111" si="3">AVERAGE(H80:N82)</f>
        <v>0</v>
      </c>
      <c r="P80" s="24"/>
    </row>
    <row r="81" spans="1:16" ht="45" hidden="1" customHeight="1">
      <c r="A81" s="140"/>
      <c r="B81" s="39">
        <v>0</v>
      </c>
      <c r="C81" s="21"/>
      <c r="D81" s="21"/>
      <c r="E81" s="21"/>
      <c r="F81" s="21"/>
      <c r="G81" s="21"/>
      <c r="H81" s="22">
        <v>0</v>
      </c>
      <c r="I81" s="22">
        <v>0</v>
      </c>
      <c r="J81" s="22">
        <v>0</v>
      </c>
      <c r="K81" s="22">
        <v>0</v>
      </c>
      <c r="L81" s="22">
        <v>0</v>
      </c>
      <c r="M81" s="22">
        <v>0</v>
      </c>
      <c r="N81" s="22">
        <v>0</v>
      </c>
      <c r="O81" s="23">
        <f t="shared" si="3"/>
        <v>0</v>
      </c>
      <c r="P81" s="24"/>
    </row>
    <row r="82" spans="1:16" ht="45" hidden="1"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hidden="1"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ref="O112:O143" si="4">AVERAGE(H112:N114)</f>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4"/>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4"/>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4"/>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4"/>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4"/>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4"/>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4"/>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4"/>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4"/>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4"/>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4"/>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4"/>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4"/>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4"/>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4"/>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4"/>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4"/>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4"/>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4"/>
        <v>0</v>
      </c>
      <c r="P137" s="24"/>
    </row>
    <row r="138" spans="1:16" ht="45" hidden="1" customHeight="1">
      <c r="A138" s="152"/>
      <c r="B138" s="39">
        <v>0</v>
      </c>
      <c r="C138" s="25"/>
      <c r="D138" s="25"/>
      <c r="E138" s="25"/>
      <c r="F138" s="25"/>
      <c r="G138" s="25"/>
      <c r="H138" s="36">
        <v>0</v>
      </c>
      <c r="I138" s="37">
        <v>0</v>
      </c>
      <c r="J138" s="37">
        <v>0</v>
      </c>
      <c r="K138" s="37">
        <v>0</v>
      </c>
      <c r="L138" s="37">
        <v>0</v>
      </c>
      <c r="M138" s="37">
        <v>0</v>
      </c>
      <c r="N138" s="37">
        <v>0</v>
      </c>
      <c r="O138" s="38">
        <f t="shared" si="4"/>
        <v>0</v>
      </c>
      <c r="P138" s="19"/>
    </row>
    <row r="139" spans="1:16" ht="45" hidden="1" customHeight="1">
      <c r="A139" s="153"/>
      <c r="B139" s="39">
        <v>0</v>
      </c>
      <c r="C139" s="21"/>
      <c r="D139" s="21"/>
      <c r="E139" s="21"/>
      <c r="F139" s="21"/>
      <c r="G139" s="21"/>
      <c r="H139" s="32">
        <v>0</v>
      </c>
      <c r="I139" s="22">
        <v>0</v>
      </c>
      <c r="J139" s="22">
        <v>0</v>
      </c>
      <c r="K139" s="22">
        <v>0</v>
      </c>
      <c r="L139" s="22">
        <v>0</v>
      </c>
      <c r="M139" s="22">
        <v>0</v>
      </c>
      <c r="N139" s="22">
        <v>0</v>
      </c>
      <c r="O139" s="23">
        <f t="shared" si="4"/>
        <v>0</v>
      </c>
      <c r="P139" s="24"/>
    </row>
    <row r="140" spans="1:16" ht="45" hidden="1" customHeight="1">
      <c r="A140" s="153"/>
      <c r="B140" s="39">
        <v>0</v>
      </c>
      <c r="C140" s="21"/>
      <c r="D140" s="21"/>
      <c r="E140" s="21"/>
      <c r="F140" s="21"/>
      <c r="G140" s="21"/>
      <c r="H140" s="32">
        <v>0</v>
      </c>
      <c r="I140" s="22">
        <v>0</v>
      </c>
      <c r="J140" s="22">
        <v>0</v>
      </c>
      <c r="K140" s="22">
        <v>0</v>
      </c>
      <c r="L140" s="22">
        <v>0</v>
      </c>
      <c r="M140" s="22">
        <v>0</v>
      </c>
      <c r="N140" s="22">
        <v>0</v>
      </c>
      <c r="O140" s="23">
        <f t="shared" si="4"/>
        <v>0.23809523809523808</v>
      </c>
      <c r="P140" s="24"/>
    </row>
    <row r="141" spans="1:16" ht="45" hidden="1" customHeight="1">
      <c r="A141" s="153"/>
      <c r="B141" s="39">
        <v>0</v>
      </c>
      <c r="C141" s="21"/>
      <c r="D141" s="21"/>
      <c r="E141" s="21"/>
      <c r="F141" s="21"/>
      <c r="G141" s="21"/>
      <c r="H141" s="32">
        <v>0</v>
      </c>
      <c r="I141" s="22">
        <v>0</v>
      </c>
      <c r="J141" s="22">
        <v>0</v>
      </c>
      <c r="K141" s="22">
        <v>0</v>
      </c>
      <c r="L141" s="22">
        <v>0</v>
      </c>
      <c r="M141" s="22">
        <v>0</v>
      </c>
      <c r="N141" s="22">
        <v>0</v>
      </c>
      <c r="O141" s="23">
        <f t="shared" si="4"/>
        <v>0.35714285714285715</v>
      </c>
      <c r="P141" s="24"/>
    </row>
    <row r="142" spans="1:16" ht="45" hidden="1" customHeight="1">
      <c r="A142" s="153"/>
      <c r="B142" s="39">
        <v>5</v>
      </c>
      <c r="C142" s="21"/>
      <c r="D142" s="21"/>
      <c r="E142" s="21"/>
      <c r="F142" s="21"/>
      <c r="G142" s="21"/>
      <c r="H142" s="32">
        <v>0</v>
      </c>
      <c r="I142" s="22">
        <v>0</v>
      </c>
      <c r="J142" s="22">
        <v>0</v>
      </c>
      <c r="K142" s="22">
        <v>0</v>
      </c>
      <c r="L142" s="22">
        <v>0</v>
      </c>
      <c r="M142" s="22">
        <v>0</v>
      </c>
      <c r="N142" s="22">
        <v>5</v>
      </c>
      <c r="O142" s="23">
        <f t="shared" si="4"/>
        <v>0.7142857142857143</v>
      </c>
      <c r="P142" s="24"/>
    </row>
  </sheetData>
  <autoFilter ref="A2:P142" xr:uid="{6831539B-1EF2-456C-A99A-6624932F8169}">
    <filterColumn colId="2">
      <filters>
        <filter val="Tiffany"/>
      </filters>
    </filterColumn>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3F6118FE-C725-4F9A-AB62-CBC9862CD901}"/>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08698F9-E0D4-4C48-9ABA-08616AF3C782}">
          <x14:formula1>
            <xm:f>'Guide suivi GDP '!$E$14:$E$19</xm:f>
          </x14:formula1>
          <xm:sqref>F3:F142</xm:sqref>
        </x14:dataValidation>
        <x14:dataValidation type="list" allowBlank="1" showInputMessage="1" showErrorMessage="1" xr:uid="{822F749C-610B-403E-874B-62C22C4FEF29}">
          <x14:formula1>
            <xm:f>'Guide suivi GDP '!$E$20:$E$24</xm:f>
          </x14:formula1>
          <xm:sqref>E3:E142</xm:sqref>
        </x14:dataValidation>
        <x14:dataValidation type="list" allowBlank="1" showInputMessage="1" showErrorMessage="1" xr:uid="{7A826EC4-7901-4C2C-B674-889E99DCE36C}">
          <x14:formula1>
            <xm:f>'Guide suivi GDP '!$E$3:$E$8</xm:f>
          </x14:formula1>
          <xm:sqref>D3:D142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B6B5-A3DB-4B9A-A196-FBD2F7E7ABCC}">
  <sheetPr filterMode="1">
    <tabColor rgb="FF92D050"/>
  </sheetPr>
  <dimension ref="A1:Q142"/>
  <sheetViews>
    <sheetView workbookViewId="0">
      <selection activeCell="G31" sqref="G31"/>
    </sheetView>
  </sheetViews>
  <sheetFormatPr baseColWidth="10" defaultColWidth="9.140625" defaultRowHeight="12.75" outlineLevelCol="2"/>
  <cols>
    <col min="1" max="1" width="24"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customWidth="1" outlineLevel="2" collapsed="1"/>
    <col min="9" max="9" width="12.7109375" style="26" customWidth="1" outlineLevel="2"/>
    <col min="10" max="10" width="11" style="26" customWidth="1" outlineLevel="2"/>
    <col min="11" max="11" width="8.85546875" style="26" customWidth="1" outlineLevel="2"/>
    <col min="12" max="12" width="11.7109375" style="26" customWidth="1" outlineLevel="2"/>
    <col min="13" max="13" width="12.28515625" style="26" customWidth="1" outlineLevel="2"/>
    <col min="14" max="14" width="15.7109375" style="26" customWidth="1" outlineLevel="2"/>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hidden="1"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107</v>
      </c>
    </row>
    <row r="4" spans="1:16"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hidden="1" customHeight="1">
      <c r="A5" s="153"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407</v>
      </c>
    </row>
    <row r="6" spans="1:16"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143" t="s">
        <v>319</v>
      </c>
    </row>
    <row r="7" spans="1:16" ht="45" hidden="1"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408</v>
      </c>
    </row>
    <row r="10" spans="1:16" ht="45"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143" t="s">
        <v>321</v>
      </c>
    </row>
    <row r="11" spans="1:16" ht="45" customHeight="1">
      <c r="A11" s="153" t="s">
        <v>275</v>
      </c>
      <c r="B11" s="39">
        <v>0</v>
      </c>
      <c r="C11" s="141" t="s">
        <v>409</v>
      </c>
      <c r="D11" s="141"/>
      <c r="E11" s="141"/>
      <c r="F11" s="141"/>
      <c r="G11" s="141"/>
      <c r="H11" s="29"/>
      <c r="I11" s="145"/>
      <c r="J11" s="145"/>
      <c r="K11" s="145"/>
      <c r="L11" s="145"/>
      <c r="M11" s="145"/>
      <c r="N11" s="145"/>
      <c r="O11" s="142" t="e">
        <f t="shared" si="0"/>
        <v>#DIV/0!</v>
      </c>
      <c r="P11" s="143" t="s">
        <v>276</v>
      </c>
    </row>
    <row r="12" spans="1:16" ht="45" customHeight="1">
      <c r="A12" s="153" t="s">
        <v>274</v>
      </c>
      <c r="B12" s="39">
        <v>0</v>
      </c>
      <c r="C12" s="141" t="s">
        <v>409</v>
      </c>
      <c r="D12" s="141"/>
      <c r="E12" s="141"/>
      <c r="F12" s="141"/>
      <c r="G12" s="141"/>
      <c r="H12" s="29" t="s">
        <v>118</v>
      </c>
      <c r="I12" s="145" t="s">
        <v>118</v>
      </c>
      <c r="J12" s="145" t="s">
        <v>118</v>
      </c>
      <c r="K12" s="145" t="s">
        <v>118</v>
      </c>
      <c r="L12" s="145" t="s">
        <v>118</v>
      </c>
      <c r="M12" s="145" t="s">
        <v>118</v>
      </c>
      <c r="N12" s="145" t="s">
        <v>118</v>
      </c>
      <c r="O12" s="142" t="e">
        <f t="shared" si="0"/>
        <v>#DIV/0!</v>
      </c>
      <c r="P12" s="143" t="s">
        <v>322</v>
      </c>
    </row>
    <row r="13" spans="1:16" ht="45" customHeight="1">
      <c r="A13" s="153" t="s">
        <v>280</v>
      </c>
      <c r="B13" s="39">
        <v>0</v>
      </c>
      <c r="C13" s="141" t="s">
        <v>409</v>
      </c>
      <c r="D13" s="21"/>
      <c r="E13" s="21"/>
      <c r="F13" s="21"/>
      <c r="G13" s="21"/>
      <c r="H13" s="29"/>
      <c r="I13" s="145"/>
      <c r="J13" s="145"/>
      <c r="K13" s="145"/>
      <c r="L13" s="145"/>
      <c r="M13" s="145"/>
      <c r="N13" s="145"/>
      <c r="O13" s="142" t="e">
        <f t="shared" si="0"/>
        <v>#DIV/0!</v>
      </c>
      <c r="P13" s="46" t="s">
        <v>323</v>
      </c>
    </row>
    <row r="14" spans="1:16" ht="45" customHeight="1">
      <c r="A14" s="153" t="s">
        <v>277</v>
      </c>
      <c r="B14" s="39">
        <v>0</v>
      </c>
      <c r="C14" s="141" t="s">
        <v>409</v>
      </c>
      <c r="D14" s="21"/>
      <c r="E14" s="21"/>
      <c r="F14" s="21"/>
      <c r="G14" s="21"/>
      <c r="H14" s="29">
        <v>0</v>
      </c>
      <c r="I14" s="145">
        <v>0</v>
      </c>
      <c r="J14" s="145">
        <v>0</v>
      </c>
      <c r="K14" s="145">
        <v>0</v>
      </c>
      <c r="L14" s="145">
        <v>0</v>
      </c>
      <c r="M14" s="145">
        <v>0</v>
      </c>
      <c r="N14" s="145">
        <v>0</v>
      </c>
      <c r="O14" s="142">
        <f t="shared" si="0"/>
        <v>0</v>
      </c>
      <c r="P14" s="46" t="s">
        <v>410</v>
      </c>
    </row>
    <row r="15" spans="1:16" ht="45" customHeight="1">
      <c r="A15" s="153" t="s">
        <v>279</v>
      </c>
      <c r="B15" s="39">
        <v>0</v>
      </c>
      <c r="C15" s="141" t="s">
        <v>409</v>
      </c>
      <c r="D15" s="21" t="s">
        <v>6</v>
      </c>
      <c r="E15" s="21"/>
      <c r="F15" s="21"/>
      <c r="G15" s="21"/>
      <c r="H15" s="29"/>
      <c r="I15" s="145"/>
      <c r="J15" s="145"/>
      <c r="K15" s="145"/>
      <c r="L15" s="145"/>
      <c r="M15" s="145"/>
      <c r="N15" s="145"/>
      <c r="O15" s="142" t="e">
        <f t="shared" si="0"/>
        <v>#DIV/0!</v>
      </c>
      <c r="P15" s="46" t="s">
        <v>411</v>
      </c>
    </row>
    <row r="16" spans="1:16" ht="45" hidden="1" customHeight="1">
      <c r="A16" s="153" t="s">
        <v>125</v>
      </c>
      <c r="B16" s="39">
        <v>0</v>
      </c>
      <c r="C16" s="141" t="s">
        <v>123</v>
      </c>
      <c r="D16" s="141" t="s">
        <v>14</v>
      </c>
      <c r="E16" s="141" t="s">
        <v>44</v>
      </c>
      <c r="F16" s="141" t="s">
        <v>41</v>
      </c>
      <c r="G16" s="141"/>
      <c r="H16" s="29">
        <v>2</v>
      </c>
      <c r="I16" s="145">
        <v>5</v>
      </c>
      <c r="J16" s="145">
        <v>0</v>
      </c>
      <c r="K16" s="145">
        <v>4</v>
      </c>
      <c r="L16" s="145">
        <v>1</v>
      </c>
      <c r="M16" s="145">
        <v>1</v>
      </c>
      <c r="N16" s="145">
        <v>1</v>
      </c>
      <c r="O16" s="142">
        <f t="shared" si="0"/>
        <v>2</v>
      </c>
      <c r="P16" s="143" t="s">
        <v>412</v>
      </c>
    </row>
    <row r="17" spans="1:16" ht="45" hidden="1" customHeight="1">
      <c r="A17" s="153" t="s">
        <v>127</v>
      </c>
      <c r="B17" s="39">
        <v>0</v>
      </c>
      <c r="C17" s="141" t="s">
        <v>123</v>
      </c>
      <c r="D17" s="141" t="s">
        <v>26</v>
      </c>
      <c r="E17" s="141" t="s">
        <v>48</v>
      </c>
      <c r="F17" s="141"/>
      <c r="G17" s="141"/>
      <c r="H17" s="29">
        <v>1</v>
      </c>
      <c r="I17" s="145">
        <v>3</v>
      </c>
      <c r="J17" s="145">
        <v>3</v>
      </c>
      <c r="K17" s="145">
        <v>4</v>
      </c>
      <c r="L17" s="145">
        <v>3</v>
      </c>
      <c r="M17" s="145">
        <v>4</v>
      </c>
      <c r="N17" s="145">
        <v>1</v>
      </c>
      <c r="O17" s="142">
        <f t="shared" si="0"/>
        <v>2.7142857142857144</v>
      </c>
      <c r="P17" s="143" t="s">
        <v>413</v>
      </c>
    </row>
    <row r="18" spans="1:16" ht="45" hidden="1" customHeight="1">
      <c r="A18" s="153" t="s">
        <v>243</v>
      </c>
      <c r="B18" s="39">
        <v>0</v>
      </c>
      <c r="C18" s="141" t="s">
        <v>210</v>
      </c>
      <c r="D18" s="141" t="s">
        <v>26</v>
      </c>
      <c r="E18" s="141" t="s">
        <v>48</v>
      </c>
      <c r="F18" s="141"/>
      <c r="G18" s="141"/>
      <c r="H18" s="29">
        <v>2</v>
      </c>
      <c r="I18" s="145">
        <v>1</v>
      </c>
      <c r="J18" s="145">
        <v>0</v>
      </c>
      <c r="K18" s="145">
        <v>0</v>
      </c>
      <c r="L18" s="145">
        <v>0</v>
      </c>
      <c r="M18" s="145">
        <v>1</v>
      </c>
      <c r="N18" s="145">
        <v>0</v>
      </c>
      <c r="O18" s="142">
        <f t="shared" si="0"/>
        <v>0.5714285714285714</v>
      </c>
      <c r="P18" s="143" t="s">
        <v>327</v>
      </c>
    </row>
    <row r="19" spans="1:16" ht="45" hidden="1" customHeight="1">
      <c r="A19" s="41" t="s">
        <v>113</v>
      </c>
      <c r="B19" s="39">
        <v>0</v>
      </c>
      <c r="C19" s="141" t="s">
        <v>51</v>
      </c>
      <c r="D19" s="141" t="s">
        <v>6</v>
      </c>
      <c r="E19" s="141" t="s">
        <v>44</v>
      </c>
      <c r="F19" s="141" t="s">
        <v>39</v>
      </c>
      <c r="G19" s="141"/>
      <c r="H19" s="29">
        <v>0</v>
      </c>
      <c r="I19" s="145">
        <v>0</v>
      </c>
      <c r="J19" s="145">
        <v>0</v>
      </c>
      <c r="K19" s="145">
        <v>0</v>
      </c>
      <c r="L19" s="145">
        <v>0</v>
      </c>
      <c r="M19" s="145">
        <v>0</v>
      </c>
      <c r="N19" s="145">
        <v>0</v>
      </c>
      <c r="O19" s="142">
        <f t="shared" si="0"/>
        <v>0</v>
      </c>
      <c r="P19" s="143" t="s">
        <v>188</v>
      </c>
    </row>
    <row r="20" spans="1:16" ht="45" hidden="1" customHeight="1">
      <c r="A20" s="153" t="s">
        <v>213</v>
      </c>
      <c r="B20" s="39">
        <v>0</v>
      </c>
      <c r="C20" s="141" t="s">
        <v>150</v>
      </c>
      <c r="D20" s="141" t="s">
        <v>6</v>
      </c>
      <c r="E20" s="141"/>
      <c r="F20" s="141"/>
      <c r="G20" s="141"/>
      <c r="H20" s="29" t="s">
        <v>118</v>
      </c>
      <c r="I20" s="145" t="s">
        <v>118</v>
      </c>
      <c r="J20" s="145" t="s">
        <v>118</v>
      </c>
      <c r="K20" s="145" t="s">
        <v>118</v>
      </c>
      <c r="L20" s="145" t="s">
        <v>118</v>
      </c>
      <c r="M20" s="145" t="s">
        <v>118</v>
      </c>
      <c r="N20" s="145" t="s">
        <v>118</v>
      </c>
      <c r="O20" s="142" t="e">
        <f t="shared" si="0"/>
        <v>#DIV/0!</v>
      </c>
      <c r="P20" s="143" t="s">
        <v>328</v>
      </c>
    </row>
    <row r="21" spans="1:16" ht="45" hidden="1" customHeight="1">
      <c r="A21" s="153" t="s">
        <v>154</v>
      </c>
      <c r="B21" s="39">
        <v>0</v>
      </c>
      <c r="C21" s="141" t="s">
        <v>150</v>
      </c>
      <c r="D21" s="141" t="s">
        <v>26</v>
      </c>
      <c r="E21" s="141" t="s">
        <v>48</v>
      </c>
      <c r="F21" s="141"/>
      <c r="G21" s="141"/>
      <c r="H21" s="29">
        <v>0</v>
      </c>
      <c r="I21" s="145">
        <v>0</v>
      </c>
      <c r="J21" s="145">
        <v>0</v>
      </c>
      <c r="K21" s="145">
        <v>0</v>
      </c>
      <c r="L21" s="145">
        <v>0</v>
      </c>
      <c r="M21" s="145">
        <v>0</v>
      </c>
      <c r="N21" s="145">
        <v>0</v>
      </c>
      <c r="O21" s="142">
        <f t="shared" si="0"/>
        <v>0</v>
      </c>
      <c r="P21" s="143" t="s">
        <v>414</v>
      </c>
    </row>
    <row r="22" spans="1:16" ht="45" hidden="1" customHeight="1">
      <c r="A22" s="153" t="s">
        <v>415</v>
      </c>
      <c r="B22" s="39">
        <v>0</v>
      </c>
      <c r="C22" s="21" t="s">
        <v>51</v>
      </c>
      <c r="D22" s="21" t="s">
        <v>6</v>
      </c>
      <c r="E22" s="21"/>
      <c r="F22" s="21"/>
      <c r="G22" s="21"/>
      <c r="H22" s="48"/>
      <c r="I22" s="51"/>
      <c r="J22" s="51"/>
      <c r="K22" s="51"/>
      <c r="L22" s="51"/>
      <c r="M22" s="51"/>
      <c r="N22" s="51"/>
      <c r="O22" s="142" t="e">
        <f t="shared" si="0"/>
        <v>#DIV/0!</v>
      </c>
      <c r="P22" s="46" t="s">
        <v>416</v>
      </c>
    </row>
    <row r="23" spans="1:16" ht="45" hidden="1" customHeight="1">
      <c r="A23" s="153" t="s">
        <v>227</v>
      </c>
      <c r="B23" s="39">
        <v>2</v>
      </c>
      <c r="C23" s="141" t="s">
        <v>51</v>
      </c>
      <c r="D23" s="141" t="s">
        <v>6</v>
      </c>
      <c r="E23" s="141"/>
      <c r="F23" s="141"/>
      <c r="G23" s="141"/>
      <c r="H23" s="29" t="s">
        <v>118</v>
      </c>
      <c r="I23" s="145" t="s">
        <v>118</v>
      </c>
      <c r="J23" s="145" t="s">
        <v>118</v>
      </c>
      <c r="K23" s="145" t="s">
        <v>118</v>
      </c>
      <c r="L23" s="145" t="s">
        <v>118</v>
      </c>
      <c r="M23" s="145" t="s">
        <v>118</v>
      </c>
      <c r="N23" s="145" t="s">
        <v>118</v>
      </c>
      <c r="O23" s="142" t="e">
        <f t="shared" si="0"/>
        <v>#DIV/0!</v>
      </c>
      <c r="P23" s="143" t="s">
        <v>417</v>
      </c>
    </row>
    <row r="24" spans="1:16" ht="45" hidden="1" customHeight="1">
      <c r="A24" s="153" t="s">
        <v>180</v>
      </c>
      <c r="B24" s="39">
        <v>0</v>
      </c>
      <c r="C24" s="141" t="s">
        <v>174</v>
      </c>
      <c r="D24" s="141" t="s">
        <v>6</v>
      </c>
      <c r="E24" s="141"/>
      <c r="F24" s="141"/>
      <c r="G24" s="141"/>
      <c r="H24" s="29" t="s">
        <v>118</v>
      </c>
      <c r="I24" s="145" t="s">
        <v>118</v>
      </c>
      <c r="J24" s="145" t="s">
        <v>118</v>
      </c>
      <c r="K24" s="145" t="s">
        <v>118</v>
      </c>
      <c r="L24" s="145" t="s">
        <v>118</v>
      </c>
      <c r="M24" s="145" t="s">
        <v>118</v>
      </c>
      <c r="N24" s="145" t="s">
        <v>118</v>
      </c>
      <c r="O24" s="142" t="e">
        <f t="shared" si="0"/>
        <v>#DIV/0!</v>
      </c>
      <c r="P24" s="143" t="s">
        <v>418</v>
      </c>
    </row>
    <row r="25" spans="1:16" ht="45" hidden="1" customHeight="1">
      <c r="A25" s="40" t="s">
        <v>215</v>
      </c>
      <c r="B25" s="39">
        <v>0</v>
      </c>
      <c r="C25" s="141" t="s">
        <v>51</v>
      </c>
      <c r="D25" s="141" t="s">
        <v>6</v>
      </c>
      <c r="E25" s="141"/>
      <c r="F25" s="141"/>
      <c r="G25" s="141"/>
      <c r="H25" s="29">
        <v>0</v>
      </c>
      <c r="I25" s="145">
        <v>0</v>
      </c>
      <c r="J25" s="145">
        <v>0</v>
      </c>
      <c r="K25" s="145">
        <v>0</v>
      </c>
      <c r="L25" s="145">
        <v>0</v>
      </c>
      <c r="M25" s="145">
        <v>0</v>
      </c>
      <c r="N25" s="145">
        <v>0</v>
      </c>
      <c r="O25" s="142">
        <f t="shared" si="0"/>
        <v>0</v>
      </c>
      <c r="P25" s="143" t="s">
        <v>216</v>
      </c>
    </row>
    <row r="26" spans="1:16" ht="45" hidden="1" customHeight="1">
      <c r="A26" s="153" t="s">
        <v>156</v>
      </c>
      <c r="B26" s="39">
        <v>0</v>
      </c>
      <c r="C26" s="141" t="s">
        <v>150</v>
      </c>
      <c r="D26" s="141" t="s">
        <v>14</v>
      </c>
      <c r="E26" s="141" t="s">
        <v>44</v>
      </c>
      <c r="F26" s="141" t="s">
        <v>39</v>
      </c>
      <c r="G26" s="45"/>
      <c r="H26" s="29">
        <v>2</v>
      </c>
      <c r="I26" s="145">
        <v>5</v>
      </c>
      <c r="J26" s="145">
        <v>4</v>
      </c>
      <c r="K26" s="145">
        <v>5</v>
      </c>
      <c r="L26" s="145">
        <v>0</v>
      </c>
      <c r="M26" s="145">
        <v>3</v>
      </c>
      <c r="N26" s="145">
        <v>2</v>
      </c>
      <c r="O26" s="142">
        <f t="shared" si="0"/>
        <v>3</v>
      </c>
      <c r="P26" s="143" t="s">
        <v>419</v>
      </c>
    </row>
    <row r="27" spans="1:16" ht="45" hidden="1" customHeight="1">
      <c r="A27" s="153" t="s">
        <v>98</v>
      </c>
      <c r="B27" s="39">
        <v>0</v>
      </c>
      <c r="C27" s="141" t="s">
        <v>51</v>
      </c>
      <c r="D27" s="141" t="s">
        <v>26</v>
      </c>
      <c r="E27" s="141" t="s">
        <v>47</v>
      </c>
      <c r="F27" s="141" t="s">
        <v>39</v>
      </c>
      <c r="G27" s="141" t="s">
        <v>230</v>
      </c>
      <c r="H27" s="30">
        <v>2</v>
      </c>
      <c r="I27" s="139">
        <v>0</v>
      </c>
      <c r="J27" s="139">
        <v>0</v>
      </c>
      <c r="K27" s="139">
        <v>0</v>
      </c>
      <c r="L27" s="139">
        <v>0</v>
      </c>
      <c r="M27" s="139">
        <v>2</v>
      </c>
      <c r="N27" s="139">
        <v>1</v>
      </c>
      <c r="O27" s="142">
        <f t="shared" si="0"/>
        <v>0.7142857142857143</v>
      </c>
      <c r="P27" s="138" t="s">
        <v>332</v>
      </c>
    </row>
    <row r="28" spans="1:16" ht="45" hidden="1" customHeight="1">
      <c r="A28" s="153" t="s">
        <v>283</v>
      </c>
      <c r="B28" s="39">
        <v>0</v>
      </c>
      <c r="C28" s="21" t="s">
        <v>174</v>
      </c>
      <c r="D28" s="21" t="s">
        <v>6</v>
      </c>
      <c r="E28" s="21"/>
      <c r="F28" s="21"/>
      <c r="G28" s="21"/>
      <c r="H28" s="48"/>
      <c r="I28" s="51"/>
      <c r="J28" s="51"/>
      <c r="K28" s="51"/>
      <c r="L28" s="51"/>
      <c r="M28" s="51"/>
      <c r="N28" s="51"/>
      <c r="O28" s="142" t="e">
        <f t="shared" si="0"/>
        <v>#DIV/0!</v>
      </c>
      <c r="P28" s="46" t="s">
        <v>333</v>
      </c>
    </row>
    <row r="29" spans="1:16" ht="45" hidden="1" customHeight="1">
      <c r="A29" s="153" t="s">
        <v>103</v>
      </c>
      <c r="B29" s="39">
        <v>0</v>
      </c>
      <c r="C29" s="141" t="s">
        <v>51</v>
      </c>
      <c r="D29" s="141" t="s">
        <v>26</v>
      </c>
      <c r="E29" s="141" t="s">
        <v>48</v>
      </c>
      <c r="F29" s="141"/>
      <c r="G29" s="141"/>
      <c r="H29" s="29">
        <v>0</v>
      </c>
      <c r="I29" s="145" t="s">
        <v>104</v>
      </c>
      <c r="J29" s="145" t="s">
        <v>104</v>
      </c>
      <c r="K29" s="145" t="s">
        <v>104</v>
      </c>
      <c r="L29" s="145" t="s">
        <v>101</v>
      </c>
      <c r="M29" s="145" t="s">
        <v>101</v>
      </c>
      <c r="N29" s="145" t="s">
        <v>101</v>
      </c>
      <c r="O29" s="142">
        <f t="shared" si="0"/>
        <v>0</v>
      </c>
      <c r="P29" s="143" t="s">
        <v>107</v>
      </c>
    </row>
    <row r="30" spans="1:16" ht="45" hidden="1" customHeight="1">
      <c r="A30" s="153" t="s">
        <v>225</v>
      </c>
      <c r="B30" s="39">
        <v>0</v>
      </c>
      <c r="C30" s="141" t="s">
        <v>267</v>
      </c>
      <c r="D30" s="141" t="s">
        <v>6</v>
      </c>
      <c r="E30" s="141"/>
      <c r="F30" s="141"/>
      <c r="G30" s="141"/>
      <c r="H30" s="29">
        <v>0</v>
      </c>
      <c r="I30" s="145">
        <v>0</v>
      </c>
      <c r="J30" s="145">
        <v>0</v>
      </c>
      <c r="K30" s="145">
        <v>0</v>
      </c>
      <c r="L30" s="145">
        <v>0</v>
      </c>
      <c r="M30" s="145">
        <v>0</v>
      </c>
      <c r="N30" s="145">
        <v>0</v>
      </c>
      <c r="O30" s="142">
        <f t="shared" si="0"/>
        <v>0</v>
      </c>
      <c r="P30" s="143" t="s">
        <v>226</v>
      </c>
    </row>
    <row r="31" spans="1:16" ht="45" hidden="1" customHeight="1">
      <c r="A31" s="153" t="s">
        <v>132</v>
      </c>
      <c r="B31" s="39">
        <v>0</v>
      </c>
      <c r="C31" s="141" t="s">
        <v>123</v>
      </c>
      <c r="D31" s="141" t="s">
        <v>26</v>
      </c>
      <c r="E31" s="141" t="s">
        <v>48</v>
      </c>
      <c r="F31" s="141"/>
      <c r="G31" s="141"/>
      <c r="H31" s="29">
        <v>1</v>
      </c>
      <c r="I31" s="145">
        <v>2</v>
      </c>
      <c r="J31" s="145">
        <v>0</v>
      </c>
      <c r="K31" s="145">
        <v>0</v>
      </c>
      <c r="L31" s="145">
        <v>0</v>
      </c>
      <c r="M31" s="145">
        <v>0</v>
      </c>
      <c r="N31" s="145">
        <v>0</v>
      </c>
      <c r="O31" s="142">
        <f t="shared" si="0"/>
        <v>0.42857142857142855</v>
      </c>
      <c r="P31" s="143" t="s">
        <v>334</v>
      </c>
    </row>
    <row r="32" spans="1:16" ht="45" hidden="1" customHeight="1">
      <c r="A32" s="40" t="s">
        <v>147</v>
      </c>
      <c r="B32" s="39">
        <v>0</v>
      </c>
      <c r="C32" s="141" t="s">
        <v>123</v>
      </c>
      <c r="D32" s="141" t="s">
        <v>6</v>
      </c>
      <c r="E32" s="141"/>
      <c r="F32" s="141" t="s">
        <v>39</v>
      </c>
      <c r="G32" s="141"/>
      <c r="H32" s="29">
        <v>3</v>
      </c>
      <c r="I32" s="145">
        <v>0</v>
      </c>
      <c r="J32" s="145">
        <v>0</v>
      </c>
      <c r="K32" s="145">
        <v>0</v>
      </c>
      <c r="L32" s="145">
        <v>0</v>
      </c>
      <c r="M32" s="145">
        <v>0</v>
      </c>
      <c r="N32" s="145">
        <v>0</v>
      </c>
      <c r="O32" s="142">
        <f t="shared" si="0"/>
        <v>0.42857142857142855</v>
      </c>
      <c r="P32" s="143" t="s">
        <v>245</v>
      </c>
    </row>
    <row r="33" spans="1:17" ht="45" hidden="1" customHeight="1">
      <c r="A33" s="153" t="s">
        <v>165</v>
      </c>
      <c r="B33" s="39">
        <v>0</v>
      </c>
      <c r="C33" s="141" t="s">
        <v>150</v>
      </c>
      <c r="D33" s="141"/>
      <c r="E33" s="141"/>
      <c r="F33" s="141"/>
      <c r="G33" s="141"/>
      <c r="H33" s="29">
        <v>0</v>
      </c>
      <c r="I33" s="145">
        <v>0</v>
      </c>
      <c r="J33" s="145">
        <v>0</v>
      </c>
      <c r="K33" s="145">
        <v>0</v>
      </c>
      <c r="L33" s="145">
        <v>0</v>
      </c>
      <c r="M33" s="145">
        <v>0</v>
      </c>
      <c r="N33" s="145">
        <v>1</v>
      </c>
      <c r="O33" s="142">
        <f t="shared" si="0"/>
        <v>0.14285714285714285</v>
      </c>
      <c r="P33" s="143" t="s">
        <v>387</v>
      </c>
    </row>
    <row r="34" spans="1:17" ht="45" hidden="1" customHeight="1">
      <c r="A34" s="40" t="s">
        <v>110</v>
      </c>
      <c r="B34" s="39">
        <v>0</v>
      </c>
      <c r="C34" s="141" t="s">
        <v>150</v>
      </c>
      <c r="D34" s="141" t="s">
        <v>6</v>
      </c>
      <c r="E34" s="141"/>
      <c r="F34" s="141"/>
      <c r="G34" s="141"/>
      <c r="H34" s="29" t="s">
        <v>101</v>
      </c>
      <c r="I34" s="145" t="s">
        <v>101</v>
      </c>
      <c r="J34" s="145" t="s">
        <v>101</v>
      </c>
      <c r="K34" s="145" t="s">
        <v>104</v>
      </c>
      <c r="L34" s="145" t="s">
        <v>101</v>
      </c>
      <c r="M34" s="145" t="s">
        <v>101</v>
      </c>
      <c r="N34" s="145" t="s">
        <v>101</v>
      </c>
      <c r="O34" s="142" t="e">
        <f t="shared" si="0"/>
        <v>#DIV/0!</v>
      </c>
      <c r="P34" s="143" t="s">
        <v>335</v>
      </c>
    </row>
    <row r="35" spans="1:17" ht="45" hidden="1" customHeight="1">
      <c r="A35" s="153" t="s">
        <v>162</v>
      </c>
      <c r="B35" s="39">
        <v>0</v>
      </c>
      <c r="C35" s="141" t="s">
        <v>150</v>
      </c>
      <c r="D35" s="141"/>
      <c r="E35" s="141"/>
      <c r="F35" s="141"/>
      <c r="G35" s="141"/>
      <c r="H35" s="29">
        <v>0</v>
      </c>
      <c r="I35" s="145">
        <v>0</v>
      </c>
      <c r="J35" s="145">
        <v>0</v>
      </c>
      <c r="K35" s="145">
        <v>0</v>
      </c>
      <c r="L35" s="145">
        <v>0</v>
      </c>
      <c r="M35" s="145">
        <v>0</v>
      </c>
      <c r="N35" s="145">
        <v>0</v>
      </c>
      <c r="O35" s="142">
        <f t="shared" ref="O35:O66" si="1">AVERAGE(H35:N35)</f>
        <v>0</v>
      </c>
      <c r="P35" s="143" t="s">
        <v>420</v>
      </c>
    </row>
    <row r="36" spans="1:17" ht="45" hidden="1" customHeight="1">
      <c r="A36" s="153" t="s">
        <v>164</v>
      </c>
      <c r="B36" s="39">
        <v>0</v>
      </c>
      <c r="C36" s="141" t="s">
        <v>150</v>
      </c>
      <c r="D36" s="141"/>
      <c r="E36" s="141"/>
      <c r="F36" s="141"/>
      <c r="G36" s="141"/>
      <c r="H36" s="29">
        <v>0</v>
      </c>
      <c r="I36" s="145">
        <v>0</v>
      </c>
      <c r="J36" s="145">
        <v>0</v>
      </c>
      <c r="K36" s="145">
        <v>0</v>
      </c>
      <c r="L36" s="145">
        <v>0</v>
      </c>
      <c r="M36" s="145">
        <v>0</v>
      </c>
      <c r="N36" s="145">
        <v>0</v>
      </c>
      <c r="O36" s="142">
        <f t="shared" si="1"/>
        <v>0</v>
      </c>
      <c r="P36" s="143" t="s">
        <v>421</v>
      </c>
    </row>
    <row r="37" spans="1:17" ht="45" hidden="1" customHeight="1">
      <c r="A37" s="153" t="s">
        <v>136</v>
      </c>
      <c r="B37" s="39">
        <v>0</v>
      </c>
      <c r="C37" s="141" t="s">
        <v>123</v>
      </c>
      <c r="D37" s="141" t="s">
        <v>10</v>
      </c>
      <c r="E37" s="141" t="s">
        <v>44</v>
      </c>
      <c r="F37" s="141" t="s">
        <v>38</v>
      </c>
      <c r="G37" s="141"/>
      <c r="H37" s="29">
        <v>3</v>
      </c>
      <c r="I37" s="145">
        <v>0</v>
      </c>
      <c r="J37" s="145">
        <v>1</v>
      </c>
      <c r="K37" s="145">
        <v>0</v>
      </c>
      <c r="L37" s="145">
        <v>0</v>
      </c>
      <c r="M37" s="145">
        <v>1</v>
      </c>
      <c r="N37" s="145">
        <v>0</v>
      </c>
      <c r="O37" s="142">
        <f t="shared" si="1"/>
        <v>0.7142857142857143</v>
      </c>
      <c r="P37" s="143" t="s">
        <v>297</v>
      </c>
    </row>
    <row r="38" spans="1:17" ht="45" hidden="1" customHeight="1">
      <c r="A38" s="153" t="s">
        <v>205</v>
      </c>
      <c r="B38" s="39">
        <v>0</v>
      </c>
      <c r="C38" s="141" t="s">
        <v>174</v>
      </c>
      <c r="D38" s="141" t="s">
        <v>6</v>
      </c>
      <c r="E38" s="141"/>
      <c r="F38" s="141"/>
      <c r="G38" s="141"/>
      <c r="H38" s="29">
        <v>0</v>
      </c>
      <c r="I38" s="145">
        <v>0</v>
      </c>
      <c r="J38" s="145">
        <v>0</v>
      </c>
      <c r="K38" s="145">
        <v>0</v>
      </c>
      <c r="L38" s="145">
        <v>0</v>
      </c>
      <c r="M38" s="145">
        <v>0</v>
      </c>
      <c r="N38" s="145">
        <v>0</v>
      </c>
      <c r="O38" s="142">
        <f t="shared" si="1"/>
        <v>0</v>
      </c>
      <c r="P38" s="143" t="s">
        <v>390</v>
      </c>
    </row>
    <row r="39" spans="1:17" ht="45" hidden="1" customHeight="1">
      <c r="A39" s="28" t="s">
        <v>158</v>
      </c>
      <c r="B39" s="39">
        <v>0</v>
      </c>
      <c r="C39" s="141" t="s">
        <v>150</v>
      </c>
      <c r="D39" s="141" t="s">
        <v>10</v>
      </c>
      <c r="E39" s="141" t="s">
        <v>48</v>
      </c>
      <c r="F39" s="141" t="s">
        <v>38</v>
      </c>
      <c r="G39" s="141"/>
      <c r="H39" s="29">
        <v>2</v>
      </c>
      <c r="I39" s="145" t="s">
        <v>118</v>
      </c>
      <c r="J39" s="145" t="s">
        <v>118</v>
      </c>
      <c r="K39" s="145">
        <v>2</v>
      </c>
      <c r="L39" s="145">
        <v>0</v>
      </c>
      <c r="M39" s="145">
        <v>0</v>
      </c>
      <c r="N39" s="145" t="s">
        <v>118</v>
      </c>
      <c r="O39" s="142">
        <f t="shared" si="1"/>
        <v>1</v>
      </c>
      <c r="P39" s="143" t="s">
        <v>391</v>
      </c>
      <c r="Q39" s="13" t="s">
        <v>259</v>
      </c>
    </row>
    <row r="40" spans="1:17" ht="45" hidden="1" customHeight="1">
      <c r="A40" s="153" t="s">
        <v>234</v>
      </c>
      <c r="B40" s="39">
        <v>0</v>
      </c>
      <c r="C40" s="141" t="s">
        <v>51</v>
      </c>
      <c r="D40" s="141" t="s">
        <v>18</v>
      </c>
      <c r="E40" s="141" t="s">
        <v>44</v>
      </c>
      <c r="F40" s="141" t="s">
        <v>40</v>
      </c>
      <c r="G40" s="141"/>
      <c r="H40" s="29">
        <v>4</v>
      </c>
      <c r="I40" s="145">
        <v>4</v>
      </c>
      <c r="J40" s="145">
        <v>1</v>
      </c>
      <c r="K40" s="145">
        <v>4</v>
      </c>
      <c r="L40" s="145">
        <v>1</v>
      </c>
      <c r="M40" s="145">
        <v>3</v>
      </c>
      <c r="N40" s="145">
        <v>3</v>
      </c>
      <c r="O40" s="142">
        <f t="shared" si="1"/>
        <v>2.8571428571428572</v>
      </c>
      <c r="P40" s="143" t="s">
        <v>392</v>
      </c>
      <c r="Q40" s="13" t="s">
        <v>259</v>
      </c>
    </row>
    <row r="41" spans="1:17" ht="45" hidden="1" customHeight="1">
      <c r="A41" s="153" t="s">
        <v>111</v>
      </c>
      <c r="B41" s="39">
        <v>0</v>
      </c>
      <c r="C41" s="141" t="s">
        <v>51</v>
      </c>
      <c r="D41" s="141" t="s">
        <v>26</v>
      </c>
      <c r="E41" s="141" t="s">
        <v>45</v>
      </c>
      <c r="F41" s="141" t="s">
        <v>37</v>
      </c>
      <c r="G41" s="141"/>
      <c r="H41" s="29">
        <v>0</v>
      </c>
      <c r="I41" s="145">
        <v>0</v>
      </c>
      <c r="J41" s="145">
        <v>0</v>
      </c>
      <c r="K41" s="145">
        <v>0</v>
      </c>
      <c r="L41" s="145">
        <v>0</v>
      </c>
      <c r="M41" s="145">
        <v>0</v>
      </c>
      <c r="N41" s="145">
        <v>0</v>
      </c>
      <c r="O41" s="142">
        <f t="shared" si="1"/>
        <v>0</v>
      </c>
      <c r="P41" s="143" t="s">
        <v>422</v>
      </c>
    </row>
    <row r="42" spans="1:17" ht="45" hidden="1" customHeight="1">
      <c r="A42" s="153" t="s">
        <v>139</v>
      </c>
      <c r="B42" s="39">
        <v>0</v>
      </c>
      <c r="C42" s="141" t="s">
        <v>174</v>
      </c>
      <c r="D42" s="141" t="s">
        <v>26</v>
      </c>
      <c r="E42" s="141" t="s">
        <v>48</v>
      </c>
      <c r="F42" s="141"/>
      <c r="G42" s="141"/>
      <c r="H42" s="139">
        <v>2</v>
      </c>
      <c r="I42" s="139">
        <v>0</v>
      </c>
      <c r="J42" s="139">
        <v>0</v>
      </c>
      <c r="K42" s="139">
        <v>0</v>
      </c>
      <c r="L42" s="139">
        <v>0</v>
      </c>
      <c r="M42" s="139">
        <v>1</v>
      </c>
      <c r="N42" s="139">
        <v>0</v>
      </c>
      <c r="O42" s="142">
        <f t="shared" si="1"/>
        <v>0.42857142857142855</v>
      </c>
      <c r="P42" s="138" t="s">
        <v>423</v>
      </c>
    </row>
    <row r="43" spans="1:17" ht="45" hidden="1" customHeight="1">
      <c r="A43" s="153" t="s">
        <v>152</v>
      </c>
      <c r="B43" s="39">
        <v>5</v>
      </c>
      <c r="C43" s="141" t="s">
        <v>51</v>
      </c>
      <c r="D43" s="141" t="s">
        <v>14</v>
      </c>
      <c r="E43" s="141" t="s">
        <v>45</v>
      </c>
      <c r="F43" s="141" t="s">
        <v>42</v>
      </c>
      <c r="G43" s="141"/>
      <c r="H43" s="31">
        <v>3</v>
      </c>
      <c r="I43" s="146">
        <v>5</v>
      </c>
      <c r="J43" s="146">
        <v>5</v>
      </c>
      <c r="K43" s="146">
        <v>4</v>
      </c>
      <c r="L43" s="146">
        <v>2</v>
      </c>
      <c r="M43" s="146">
        <v>1</v>
      </c>
      <c r="N43" s="146" t="s">
        <v>118</v>
      </c>
      <c r="O43" s="142">
        <f t="shared" si="1"/>
        <v>3.3333333333333335</v>
      </c>
      <c r="P43" s="144" t="s">
        <v>424</v>
      </c>
    </row>
    <row r="44" spans="1:17" ht="45" hidden="1" customHeight="1">
      <c r="A44" s="153" t="s">
        <v>172</v>
      </c>
      <c r="B44" s="39">
        <v>3</v>
      </c>
      <c r="C44" s="141" t="s">
        <v>51</v>
      </c>
      <c r="D44" s="141"/>
      <c r="E44" s="141"/>
      <c r="F44" s="141"/>
      <c r="G44" s="141"/>
      <c r="H44" s="30">
        <v>0</v>
      </c>
      <c r="I44" s="139">
        <v>0</v>
      </c>
      <c r="J44" s="139">
        <v>0</v>
      </c>
      <c r="K44" s="139">
        <v>0</v>
      </c>
      <c r="L44" s="139">
        <v>0</v>
      </c>
      <c r="M44" s="139">
        <v>0</v>
      </c>
      <c r="N44" s="139">
        <v>0</v>
      </c>
      <c r="O44" s="142">
        <f t="shared" si="1"/>
        <v>0</v>
      </c>
      <c r="P44" s="138" t="s">
        <v>370</v>
      </c>
    </row>
    <row r="45" spans="1:17" ht="45" hidden="1" customHeight="1">
      <c r="A45" s="153" t="s">
        <v>106</v>
      </c>
      <c r="B45" s="39">
        <v>0</v>
      </c>
      <c r="C45" s="141" t="s">
        <v>51</v>
      </c>
      <c r="D45" s="141"/>
      <c r="E45" s="141"/>
      <c r="F45" s="141"/>
      <c r="G45" s="141"/>
      <c r="H45" s="30">
        <v>0</v>
      </c>
      <c r="I45" s="139" t="s">
        <v>101</v>
      </c>
      <c r="J45" s="139" t="s">
        <v>101</v>
      </c>
      <c r="K45" s="139" t="s">
        <v>104</v>
      </c>
      <c r="L45" s="139" t="s">
        <v>101</v>
      </c>
      <c r="M45" s="139" t="s">
        <v>101</v>
      </c>
      <c r="N45" s="139" t="s">
        <v>96</v>
      </c>
      <c r="O45" s="142">
        <f t="shared" si="1"/>
        <v>0</v>
      </c>
      <c r="P45" s="138" t="s">
        <v>425</v>
      </c>
    </row>
    <row r="46" spans="1:17" ht="45" hidden="1" customHeight="1">
      <c r="A46" s="153" t="s">
        <v>168</v>
      </c>
      <c r="B46" s="39">
        <v>5</v>
      </c>
      <c r="C46" s="141" t="s">
        <v>123</v>
      </c>
      <c r="D46" s="141" t="s">
        <v>10</v>
      </c>
      <c r="E46" s="141" t="s">
        <v>44</v>
      </c>
      <c r="F46" s="141" t="s">
        <v>38</v>
      </c>
      <c r="G46" s="141"/>
      <c r="H46" s="30">
        <v>3</v>
      </c>
      <c r="I46" s="139">
        <v>0</v>
      </c>
      <c r="J46" s="139" t="s">
        <v>118</v>
      </c>
      <c r="K46" s="139">
        <v>3</v>
      </c>
      <c r="L46" s="139" t="s">
        <v>118</v>
      </c>
      <c r="M46" s="139">
        <v>3</v>
      </c>
      <c r="N46" s="139" t="s">
        <v>118</v>
      </c>
      <c r="O46" s="142">
        <f t="shared" si="1"/>
        <v>2.25</v>
      </c>
      <c r="P46" s="138" t="s">
        <v>426</v>
      </c>
    </row>
    <row r="47" spans="1:17" ht="45" hidden="1" customHeight="1">
      <c r="A47" s="153" t="s">
        <v>167</v>
      </c>
      <c r="B47" s="39">
        <v>5</v>
      </c>
      <c r="C47" s="141" t="s">
        <v>123</v>
      </c>
      <c r="D47" s="141" t="s">
        <v>10</v>
      </c>
      <c r="E47" s="141" t="s">
        <v>44</v>
      </c>
      <c r="F47" s="141" t="s">
        <v>38</v>
      </c>
      <c r="G47" s="141"/>
      <c r="H47" s="30">
        <v>3</v>
      </c>
      <c r="I47" s="139">
        <v>0</v>
      </c>
      <c r="J47" s="139" t="s">
        <v>118</v>
      </c>
      <c r="K47" s="139">
        <v>3</v>
      </c>
      <c r="L47" s="139" t="s">
        <v>118</v>
      </c>
      <c r="M47" s="139">
        <v>3</v>
      </c>
      <c r="N47" s="139" t="s">
        <v>118</v>
      </c>
      <c r="O47" s="142">
        <f t="shared" si="1"/>
        <v>2.25</v>
      </c>
      <c r="P47" s="138" t="s">
        <v>302</v>
      </c>
      <c r="Q47" s="13" t="s">
        <v>268</v>
      </c>
    </row>
    <row r="48" spans="1:17" ht="45" hidden="1" customHeight="1">
      <c r="A48" s="153" t="s">
        <v>149</v>
      </c>
      <c r="B48" s="39">
        <v>0</v>
      </c>
      <c r="C48" s="141" t="s">
        <v>51</v>
      </c>
      <c r="D48" s="141" t="s">
        <v>26</v>
      </c>
      <c r="E48" s="141" t="s">
        <v>44</v>
      </c>
      <c r="F48" s="141" t="s">
        <v>37</v>
      </c>
      <c r="G48" s="141"/>
      <c r="H48" s="29">
        <v>5</v>
      </c>
      <c r="I48" s="145">
        <v>5</v>
      </c>
      <c r="J48" s="145">
        <v>5</v>
      </c>
      <c r="K48" s="145">
        <v>5</v>
      </c>
      <c r="L48" s="145">
        <v>5</v>
      </c>
      <c r="M48" s="145">
        <v>5</v>
      </c>
      <c r="N48" s="145">
        <v>5</v>
      </c>
      <c r="O48" s="142">
        <f t="shared" si="1"/>
        <v>5</v>
      </c>
      <c r="P48" s="143" t="s">
        <v>427</v>
      </c>
    </row>
    <row r="49" spans="1:16" ht="45" hidden="1" customHeight="1">
      <c r="A49" s="153" t="s">
        <v>129</v>
      </c>
      <c r="B49" s="39">
        <v>0</v>
      </c>
      <c r="C49" s="141" t="s">
        <v>123</v>
      </c>
      <c r="D49" s="141" t="s">
        <v>26</v>
      </c>
      <c r="E49" s="141" t="s">
        <v>47</v>
      </c>
      <c r="F49" s="141" t="s">
        <v>41</v>
      </c>
      <c r="G49" s="141"/>
      <c r="H49" s="30">
        <v>0</v>
      </c>
      <c r="I49" s="139">
        <v>0</v>
      </c>
      <c r="J49" s="139">
        <v>0</v>
      </c>
      <c r="K49" s="139">
        <v>0</v>
      </c>
      <c r="L49" s="139">
        <v>0</v>
      </c>
      <c r="M49" s="139">
        <v>0</v>
      </c>
      <c r="N49" s="139">
        <v>0</v>
      </c>
      <c r="O49" s="142">
        <f t="shared" si="1"/>
        <v>0</v>
      </c>
      <c r="P49" s="138" t="s">
        <v>428</v>
      </c>
    </row>
    <row r="50" spans="1:16" ht="45" hidden="1" customHeight="1">
      <c r="A50" s="153" t="s">
        <v>134</v>
      </c>
      <c r="B50" s="39">
        <v>0</v>
      </c>
      <c r="C50" s="141" t="s">
        <v>123</v>
      </c>
      <c r="D50" s="141" t="s">
        <v>18</v>
      </c>
      <c r="E50" s="141" t="s">
        <v>44</v>
      </c>
      <c r="F50" s="141" t="s">
        <v>38</v>
      </c>
      <c r="G50" s="141"/>
      <c r="H50" s="30">
        <v>0</v>
      </c>
      <c r="I50" s="139">
        <v>0</v>
      </c>
      <c r="J50" s="139">
        <v>0</v>
      </c>
      <c r="K50" s="139">
        <v>0</v>
      </c>
      <c r="L50" s="139">
        <v>0</v>
      </c>
      <c r="M50" s="139">
        <v>0</v>
      </c>
      <c r="N50" s="139">
        <v>0</v>
      </c>
      <c r="O50" s="142">
        <f t="shared" si="1"/>
        <v>0</v>
      </c>
      <c r="P50" s="138" t="s">
        <v>340</v>
      </c>
    </row>
    <row r="51" spans="1:16" ht="45" hidden="1" customHeight="1">
      <c r="A51" s="152" t="s">
        <v>281</v>
      </c>
      <c r="B51" s="39">
        <v>0</v>
      </c>
      <c r="C51" s="21" t="s">
        <v>150</v>
      </c>
      <c r="D51" s="21" t="s">
        <v>6</v>
      </c>
      <c r="E51" s="21"/>
      <c r="F51" s="21" t="s">
        <v>38</v>
      </c>
      <c r="G51" s="21"/>
      <c r="H51" s="49">
        <v>0</v>
      </c>
      <c r="I51" s="52">
        <v>0</v>
      </c>
      <c r="J51" s="52">
        <v>0</v>
      </c>
      <c r="K51" s="52">
        <v>0</v>
      </c>
      <c r="L51" s="52">
        <v>0</v>
      </c>
      <c r="M51" s="52">
        <v>0</v>
      </c>
      <c r="N51" s="52">
        <v>0</v>
      </c>
      <c r="O51" s="142">
        <f t="shared" si="1"/>
        <v>0</v>
      </c>
      <c r="P51" s="24" t="s">
        <v>341</v>
      </c>
    </row>
    <row r="52" spans="1:16" ht="45" hidden="1" customHeight="1">
      <c r="A52" s="153" t="s">
        <v>429</v>
      </c>
      <c r="B52" s="39">
        <v>0</v>
      </c>
      <c r="C52" s="141" t="s">
        <v>51</v>
      </c>
      <c r="D52" s="141" t="s">
        <v>6</v>
      </c>
      <c r="E52" s="141"/>
      <c r="F52" s="141"/>
      <c r="G52" s="141"/>
      <c r="H52" s="29">
        <v>0</v>
      </c>
      <c r="I52" s="145">
        <v>0</v>
      </c>
      <c r="J52" s="145">
        <v>0</v>
      </c>
      <c r="K52" s="145">
        <v>0</v>
      </c>
      <c r="L52" s="145">
        <v>0</v>
      </c>
      <c r="M52" s="145">
        <v>0</v>
      </c>
      <c r="N52" s="145">
        <v>0</v>
      </c>
      <c r="O52" s="142">
        <f t="shared" si="1"/>
        <v>0</v>
      </c>
      <c r="P52" s="155" t="s">
        <v>430</v>
      </c>
    </row>
    <row r="53" spans="1:16" ht="45" hidden="1" customHeight="1">
      <c r="A53" s="153" t="s">
        <v>221</v>
      </c>
      <c r="B53" s="39">
        <v>0</v>
      </c>
      <c r="C53" s="141" t="s">
        <v>267</v>
      </c>
      <c r="D53" s="141" t="s">
        <v>6</v>
      </c>
      <c r="E53" s="141"/>
      <c r="F53" s="141"/>
      <c r="G53" s="141"/>
      <c r="H53" s="29">
        <v>0</v>
      </c>
      <c r="I53" s="145">
        <v>0</v>
      </c>
      <c r="J53" s="145">
        <v>0</v>
      </c>
      <c r="K53" s="145">
        <v>0</v>
      </c>
      <c r="L53" s="145">
        <v>0</v>
      </c>
      <c r="M53" s="145">
        <v>0</v>
      </c>
      <c r="N53" s="145">
        <v>0</v>
      </c>
      <c r="O53" s="142">
        <f t="shared" si="1"/>
        <v>0</v>
      </c>
      <c r="P53" s="143" t="s">
        <v>222</v>
      </c>
    </row>
    <row r="54" spans="1:16" ht="45" hidden="1" customHeight="1">
      <c r="A54" s="153" t="s">
        <v>253</v>
      </c>
      <c r="B54" s="39">
        <v>0</v>
      </c>
      <c r="C54" s="141" t="s">
        <v>150</v>
      </c>
      <c r="D54" s="141" t="s">
        <v>10</v>
      </c>
      <c r="E54" s="141" t="s">
        <v>44</v>
      </c>
      <c r="F54" s="141" t="s">
        <v>38</v>
      </c>
      <c r="G54" s="141"/>
      <c r="H54" s="29">
        <v>0</v>
      </c>
      <c r="I54" s="145">
        <v>3</v>
      </c>
      <c r="J54" s="145">
        <v>0</v>
      </c>
      <c r="K54" s="145">
        <v>3</v>
      </c>
      <c r="L54" s="145">
        <v>0</v>
      </c>
      <c r="M54" s="145">
        <v>0</v>
      </c>
      <c r="N54" s="145" t="s">
        <v>118</v>
      </c>
      <c r="O54" s="142">
        <f t="shared" si="1"/>
        <v>1</v>
      </c>
      <c r="P54" s="143" t="s">
        <v>431</v>
      </c>
    </row>
    <row r="55" spans="1:16" ht="45" hidden="1" customHeight="1">
      <c r="A55" s="153" t="s">
        <v>130</v>
      </c>
      <c r="B55" s="39">
        <v>0</v>
      </c>
      <c r="C55" s="141" t="s">
        <v>123</v>
      </c>
      <c r="D55" s="141" t="s">
        <v>26</v>
      </c>
      <c r="E55" s="141" t="s">
        <v>44</v>
      </c>
      <c r="F55" s="141" t="s">
        <v>40</v>
      </c>
      <c r="G55" s="141"/>
      <c r="H55" s="29">
        <v>1</v>
      </c>
      <c r="I55" s="145">
        <v>1</v>
      </c>
      <c r="J55" s="145">
        <v>1</v>
      </c>
      <c r="K55" s="145">
        <v>1</v>
      </c>
      <c r="L55" s="145">
        <v>1</v>
      </c>
      <c r="M55" s="145">
        <v>0</v>
      </c>
      <c r="N55" s="145">
        <v>0</v>
      </c>
      <c r="O55" s="142">
        <f t="shared" si="1"/>
        <v>0.7142857142857143</v>
      </c>
      <c r="P55" s="143" t="s">
        <v>432</v>
      </c>
    </row>
    <row r="56" spans="1:16" ht="45" hidden="1" customHeight="1">
      <c r="A56" s="153" t="s">
        <v>433</v>
      </c>
      <c r="B56" s="39">
        <v>0</v>
      </c>
      <c r="C56" s="141" t="s">
        <v>150</v>
      </c>
      <c r="D56" s="141" t="s">
        <v>26</v>
      </c>
      <c r="E56" s="141" t="s">
        <v>48</v>
      </c>
      <c r="F56" s="141"/>
      <c r="G56" s="141"/>
      <c r="H56" s="29">
        <v>0</v>
      </c>
      <c r="I56" s="145">
        <v>0</v>
      </c>
      <c r="J56" s="145">
        <v>0</v>
      </c>
      <c r="K56" s="145">
        <v>0</v>
      </c>
      <c r="L56" s="145">
        <v>0</v>
      </c>
      <c r="M56" s="145">
        <v>0</v>
      </c>
      <c r="N56" s="145">
        <v>0</v>
      </c>
      <c r="O56" s="142">
        <f t="shared" si="1"/>
        <v>0</v>
      </c>
      <c r="P56" s="143" t="s">
        <v>397</v>
      </c>
    </row>
    <row r="57" spans="1:16" ht="45" hidden="1" customHeight="1">
      <c r="A57" s="153" t="s">
        <v>173</v>
      </c>
      <c r="B57" s="39">
        <v>0</v>
      </c>
      <c r="C57" s="141" t="s">
        <v>174</v>
      </c>
      <c r="D57" s="141" t="s">
        <v>6</v>
      </c>
      <c r="E57" s="141"/>
      <c r="F57" s="141"/>
      <c r="G57" s="141"/>
      <c r="H57" s="29" t="s">
        <v>118</v>
      </c>
      <c r="I57" s="145" t="s">
        <v>118</v>
      </c>
      <c r="J57" s="145" t="s">
        <v>118</v>
      </c>
      <c r="K57" s="145" t="s">
        <v>118</v>
      </c>
      <c r="L57" s="145" t="s">
        <v>118</v>
      </c>
      <c r="M57" s="145" t="s">
        <v>118</v>
      </c>
      <c r="N57" s="145" t="s">
        <v>118</v>
      </c>
      <c r="O57" s="142" t="e">
        <f t="shared" si="1"/>
        <v>#DIV/0!</v>
      </c>
      <c r="P57" s="143" t="s">
        <v>398</v>
      </c>
    </row>
    <row r="58" spans="1:16" ht="45" hidden="1" customHeight="1">
      <c r="A58" s="153" t="s">
        <v>176</v>
      </c>
      <c r="B58" s="39">
        <v>0</v>
      </c>
      <c r="C58" s="141" t="s">
        <v>174</v>
      </c>
      <c r="D58" s="141"/>
      <c r="E58" s="141"/>
      <c r="F58" s="141"/>
      <c r="G58" s="141"/>
      <c r="H58" s="29" t="s">
        <v>118</v>
      </c>
      <c r="I58" s="29" t="s">
        <v>118</v>
      </c>
      <c r="J58" s="29" t="s">
        <v>118</v>
      </c>
      <c r="K58" s="29" t="s">
        <v>118</v>
      </c>
      <c r="L58" s="29" t="s">
        <v>118</v>
      </c>
      <c r="M58" s="29" t="s">
        <v>118</v>
      </c>
      <c r="N58" s="29" t="s">
        <v>118</v>
      </c>
      <c r="O58" s="142" t="e">
        <f t="shared" si="1"/>
        <v>#DIV/0!</v>
      </c>
      <c r="P58" s="143" t="s">
        <v>434</v>
      </c>
    </row>
    <row r="59" spans="1:16" ht="45" hidden="1" customHeight="1">
      <c r="A59" s="153" t="s">
        <v>246</v>
      </c>
      <c r="B59" s="39">
        <v>0</v>
      </c>
      <c r="C59" s="141" t="s">
        <v>150</v>
      </c>
      <c r="D59" s="141" t="s">
        <v>6</v>
      </c>
      <c r="E59" s="141"/>
      <c r="F59" s="141"/>
      <c r="G59" s="42"/>
      <c r="H59" s="139" t="s">
        <v>118</v>
      </c>
      <c r="I59" s="139" t="s">
        <v>118</v>
      </c>
      <c r="J59" s="139" t="s">
        <v>118</v>
      </c>
      <c r="K59" s="139" t="s">
        <v>118</v>
      </c>
      <c r="L59" s="139" t="s">
        <v>118</v>
      </c>
      <c r="M59" s="139" t="s">
        <v>118</v>
      </c>
      <c r="N59" s="139" t="s">
        <v>118</v>
      </c>
      <c r="O59" s="142" t="e">
        <f t="shared" si="1"/>
        <v>#DIV/0!</v>
      </c>
      <c r="P59" s="138" t="s">
        <v>400</v>
      </c>
    </row>
    <row r="60" spans="1:16" ht="45" hidden="1" customHeight="1">
      <c r="A60" s="153" t="s">
        <v>184</v>
      </c>
      <c r="B60" s="39">
        <v>0</v>
      </c>
      <c r="C60" s="141" t="s">
        <v>174</v>
      </c>
      <c r="D60" s="141" t="s">
        <v>14</v>
      </c>
      <c r="E60" s="141"/>
      <c r="F60" s="141"/>
      <c r="G60" s="42"/>
      <c r="H60" s="139">
        <v>0</v>
      </c>
      <c r="I60" s="139">
        <v>0</v>
      </c>
      <c r="J60" s="139">
        <v>0</v>
      </c>
      <c r="K60" s="139">
        <v>0</v>
      </c>
      <c r="L60" s="139">
        <v>0</v>
      </c>
      <c r="M60" s="139">
        <v>0</v>
      </c>
      <c r="N60" s="139">
        <v>0</v>
      </c>
      <c r="O60" s="142">
        <f t="shared" si="1"/>
        <v>0</v>
      </c>
      <c r="P60" s="138" t="s">
        <v>401</v>
      </c>
    </row>
    <row r="61" spans="1:16" ht="45" hidden="1" customHeight="1">
      <c r="A61" s="28" t="s">
        <v>182</v>
      </c>
      <c r="B61" s="39">
        <v>0</v>
      </c>
      <c r="C61" s="141" t="s">
        <v>174</v>
      </c>
      <c r="D61" s="35" t="s">
        <v>14</v>
      </c>
      <c r="E61" s="35"/>
      <c r="F61" s="35"/>
      <c r="G61" s="43"/>
      <c r="H61" s="139">
        <v>0</v>
      </c>
      <c r="I61" s="139">
        <v>0</v>
      </c>
      <c r="J61" s="139">
        <v>0</v>
      </c>
      <c r="K61" s="139">
        <v>0</v>
      </c>
      <c r="L61" s="139">
        <v>0</v>
      </c>
      <c r="M61" s="139">
        <v>0</v>
      </c>
      <c r="N61" s="139">
        <v>0</v>
      </c>
      <c r="O61" s="142">
        <f t="shared" si="1"/>
        <v>0</v>
      </c>
      <c r="P61" s="138" t="s">
        <v>435</v>
      </c>
    </row>
    <row r="62" spans="1:16" ht="45" hidden="1" customHeight="1">
      <c r="A62" s="140" t="s">
        <v>122</v>
      </c>
      <c r="B62" s="39">
        <v>0</v>
      </c>
      <c r="C62" s="141" t="s">
        <v>123</v>
      </c>
      <c r="D62" s="141" t="s">
        <v>14</v>
      </c>
      <c r="E62" s="141" t="s">
        <v>44</v>
      </c>
      <c r="F62" s="141" t="s">
        <v>40</v>
      </c>
      <c r="G62" s="42"/>
      <c r="H62" s="139">
        <v>3</v>
      </c>
      <c r="I62" s="139">
        <v>0</v>
      </c>
      <c r="J62" s="139">
        <v>4</v>
      </c>
      <c r="K62" s="139">
        <v>1</v>
      </c>
      <c r="L62" s="139" t="s">
        <v>118</v>
      </c>
      <c r="M62" s="139">
        <v>2</v>
      </c>
      <c r="N62" s="139" t="s">
        <v>118</v>
      </c>
      <c r="O62" s="142">
        <f t="shared" si="1"/>
        <v>2</v>
      </c>
      <c r="P62" s="138" t="s">
        <v>308</v>
      </c>
    </row>
    <row r="63" spans="1:16" ht="45" hidden="1" customHeight="1">
      <c r="A63" s="140" t="s">
        <v>223</v>
      </c>
      <c r="B63" s="39">
        <v>0</v>
      </c>
      <c r="C63" s="141" t="s">
        <v>267</v>
      </c>
      <c r="D63" s="141" t="s">
        <v>6</v>
      </c>
      <c r="E63" s="141"/>
      <c r="F63" s="141"/>
      <c r="G63" s="42"/>
      <c r="H63" s="139">
        <v>0</v>
      </c>
      <c r="I63" s="139">
        <v>0</v>
      </c>
      <c r="J63" s="139">
        <v>0</v>
      </c>
      <c r="K63" s="139">
        <v>0</v>
      </c>
      <c r="L63" s="139">
        <v>0</v>
      </c>
      <c r="M63" s="139">
        <v>0</v>
      </c>
      <c r="N63" s="139">
        <v>0</v>
      </c>
      <c r="O63" s="142">
        <f t="shared" si="1"/>
        <v>0</v>
      </c>
      <c r="P63" s="138" t="s">
        <v>224</v>
      </c>
    </row>
    <row r="64" spans="1:16" ht="45" customHeight="1">
      <c r="A64" s="140" t="s">
        <v>403</v>
      </c>
      <c r="B64" s="39">
        <v>3</v>
      </c>
      <c r="C64" s="141" t="s">
        <v>409</v>
      </c>
      <c r="D64" s="141" t="s">
        <v>14</v>
      </c>
      <c r="E64" s="141" t="s">
        <v>44</v>
      </c>
      <c r="F64" s="141" t="s">
        <v>39</v>
      </c>
      <c r="G64" s="42" t="s">
        <v>261</v>
      </c>
      <c r="H64" s="139">
        <v>0</v>
      </c>
      <c r="I64" s="139">
        <v>0</v>
      </c>
      <c r="J64" s="139">
        <v>0</v>
      </c>
      <c r="K64" s="139">
        <v>0</v>
      </c>
      <c r="L64" s="139">
        <v>0</v>
      </c>
      <c r="M64" s="139">
        <v>0</v>
      </c>
      <c r="N64" s="139">
        <v>2</v>
      </c>
      <c r="O64" s="142">
        <f t="shared" si="1"/>
        <v>0.2857142857142857</v>
      </c>
      <c r="P64" s="138" t="s">
        <v>404</v>
      </c>
    </row>
    <row r="65" spans="1:16" ht="45" hidden="1" customHeight="1">
      <c r="A65" s="140" t="s">
        <v>138</v>
      </c>
      <c r="B65" s="39">
        <v>0</v>
      </c>
      <c r="C65" s="53" t="s">
        <v>150</v>
      </c>
      <c r="D65" s="141" t="s">
        <v>26</v>
      </c>
      <c r="E65" s="141" t="s">
        <v>48</v>
      </c>
      <c r="F65" s="141"/>
      <c r="G65" s="141"/>
      <c r="H65" s="50">
        <v>1</v>
      </c>
      <c r="I65" s="50">
        <v>0</v>
      </c>
      <c r="J65" s="50">
        <v>0</v>
      </c>
      <c r="K65" s="50">
        <v>0</v>
      </c>
      <c r="L65" s="50">
        <v>0</v>
      </c>
      <c r="M65" s="50">
        <v>1</v>
      </c>
      <c r="N65" s="50">
        <v>0</v>
      </c>
      <c r="O65" s="142">
        <f t="shared" si="1"/>
        <v>0.2857142857142857</v>
      </c>
      <c r="P65" s="148" t="s">
        <v>347</v>
      </c>
    </row>
    <row r="66" spans="1:16" ht="45" hidden="1" customHeight="1">
      <c r="A66" s="140" t="s">
        <v>217</v>
      </c>
      <c r="B66" s="39">
        <v>0</v>
      </c>
      <c r="C66" s="141" t="s">
        <v>123</v>
      </c>
      <c r="D66" s="141" t="s">
        <v>6</v>
      </c>
      <c r="E66" s="141"/>
      <c r="F66" s="141"/>
      <c r="G66" s="141"/>
      <c r="H66" s="139">
        <v>0</v>
      </c>
      <c r="I66" s="139">
        <v>0</v>
      </c>
      <c r="J66" s="139">
        <v>0</v>
      </c>
      <c r="K66" s="139">
        <v>0</v>
      </c>
      <c r="L66" s="139">
        <v>0</v>
      </c>
      <c r="M66" s="139">
        <v>0</v>
      </c>
      <c r="N66" s="139">
        <v>0</v>
      </c>
      <c r="O66" s="142">
        <f t="shared" si="1"/>
        <v>0</v>
      </c>
      <c r="P66" s="138" t="s">
        <v>405</v>
      </c>
    </row>
    <row r="67" spans="1:16" ht="45" hidden="1" customHeight="1">
      <c r="A67" s="140" t="s">
        <v>171</v>
      </c>
      <c r="B67" s="39">
        <v>0</v>
      </c>
      <c r="C67" s="141" t="s">
        <v>150</v>
      </c>
      <c r="D67" s="141" t="s">
        <v>6</v>
      </c>
      <c r="E67" s="141"/>
      <c r="F67" s="141" t="s">
        <v>41</v>
      </c>
      <c r="G67" s="141"/>
      <c r="H67" s="139">
        <v>0</v>
      </c>
      <c r="I67" s="139">
        <v>0</v>
      </c>
      <c r="J67" s="139">
        <v>0</v>
      </c>
      <c r="K67" s="139">
        <v>0</v>
      </c>
      <c r="L67" s="139">
        <v>0</v>
      </c>
      <c r="M67" s="139">
        <v>0</v>
      </c>
      <c r="N67" s="139">
        <v>0</v>
      </c>
      <c r="O67" s="142">
        <f t="shared" ref="O67:O98" si="2">AVERAGE(H67:N67)</f>
        <v>0</v>
      </c>
      <c r="P67" s="138" t="s">
        <v>436</v>
      </c>
    </row>
    <row r="68" spans="1:16" ht="45" hidden="1" customHeight="1">
      <c r="A68" s="140" t="s">
        <v>437</v>
      </c>
      <c r="B68" s="39">
        <v>0</v>
      </c>
      <c r="C68" s="21" t="s">
        <v>123</v>
      </c>
      <c r="D68" s="21" t="s">
        <v>6</v>
      </c>
      <c r="E68" s="21"/>
      <c r="F68" s="21"/>
      <c r="G68" s="21"/>
      <c r="H68" s="22">
        <v>0</v>
      </c>
      <c r="I68" s="22">
        <v>0</v>
      </c>
      <c r="J68" s="22">
        <v>0</v>
      </c>
      <c r="K68" s="22">
        <v>0</v>
      </c>
      <c r="L68" s="22">
        <v>0</v>
      </c>
      <c r="M68" s="22">
        <v>0</v>
      </c>
      <c r="N68" s="22">
        <v>0</v>
      </c>
      <c r="O68" s="142">
        <f t="shared" si="2"/>
        <v>0</v>
      </c>
      <c r="P68" s="24" t="s">
        <v>314</v>
      </c>
    </row>
    <row r="69" spans="1:16" ht="45" hidden="1" customHeight="1">
      <c r="A69" s="140" t="s">
        <v>315</v>
      </c>
      <c r="B69" s="39">
        <v>0</v>
      </c>
      <c r="C69" s="141" t="s">
        <v>51</v>
      </c>
      <c r="D69" s="21" t="s">
        <v>6</v>
      </c>
      <c r="E69" s="21"/>
      <c r="F69" s="21"/>
      <c r="G69" s="21"/>
      <c r="H69" s="22"/>
      <c r="I69" s="22"/>
      <c r="J69" s="22"/>
      <c r="K69" s="22"/>
      <c r="L69" s="22"/>
      <c r="M69" s="22"/>
      <c r="N69" s="22"/>
      <c r="O69" s="142" t="e">
        <f t="shared" si="2"/>
        <v>#DIV/0!</v>
      </c>
      <c r="P69" s="24" t="s">
        <v>438</v>
      </c>
    </row>
    <row r="70" spans="1:16" ht="45" hidden="1" customHeight="1">
      <c r="A70" s="153" t="s">
        <v>439</v>
      </c>
      <c r="B70" s="39">
        <v>5</v>
      </c>
      <c r="C70" s="141" t="s">
        <v>123</v>
      </c>
      <c r="D70" s="141" t="s">
        <v>14</v>
      </c>
      <c r="E70" s="141"/>
      <c r="F70" s="141"/>
      <c r="G70" s="141"/>
      <c r="H70" s="142">
        <f>AVERAGE(A70:G70)</f>
        <v>5</v>
      </c>
      <c r="I70" s="138" t="s">
        <v>302</v>
      </c>
      <c r="J70" s="22"/>
      <c r="K70" s="22"/>
      <c r="L70" s="22"/>
      <c r="M70" s="22"/>
      <c r="N70" s="22"/>
      <c r="O70" s="142">
        <f t="shared" si="2"/>
        <v>5</v>
      </c>
      <c r="P70" s="24" t="s">
        <v>440</v>
      </c>
    </row>
    <row r="71" spans="1:16" ht="45" hidden="1" customHeight="1">
      <c r="A71" s="140" t="s">
        <v>441</v>
      </c>
      <c r="B71" s="39">
        <v>0</v>
      </c>
      <c r="C71" s="21" t="s">
        <v>150</v>
      </c>
      <c r="D71" s="21"/>
      <c r="E71" s="21"/>
      <c r="F71" s="21"/>
      <c r="G71" s="21"/>
      <c r="H71" s="22">
        <v>0</v>
      </c>
      <c r="I71" s="22">
        <v>0</v>
      </c>
      <c r="J71" s="22">
        <v>0</v>
      </c>
      <c r="K71" s="22">
        <v>0</v>
      </c>
      <c r="L71" s="22">
        <v>0</v>
      </c>
      <c r="M71" s="22">
        <v>0</v>
      </c>
      <c r="N71" s="22">
        <v>0</v>
      </c>
      <c r="O71" s="142">
        <f t="shared" si="2"/>
        <v>0</v>
      </c>
      <c r="P71" s="24" t="s">
        <v>442</v>
      </c>
    </row>
    <row r="72" spans="1:16" ht="45" hidden="1" customHeight="1">
      <c r="A72" s="140"/>
      <c r="B72" s="39">
        <v>0</v>
      </c>
      <c r="C72" s="21"/>
      <c r="D72" s="21"/>
      <c r="E72" s="21"/>
      <c r="F72" s="21"/>
      <c r="G72" s="21"/>
      <c r="H72" s="22"/>
      <c r="I72" s="22"/>
      <c r="J72" s="22"/>
      <c r="K72" s="22"/>
      <c r="L72" s="22"/>
      <c r="M72" s="22"/>
      <c r="N72" s="22"/>
      <c r="O72" s="142" t="e">
        <f t="shared" si="2"/>
        <v>#DIV/0!</v>
      </c>
      <c r="P72" s="24"/>
    </row>
    <row r="73" spans="1:16" ht="45" hidden="1" customHeight="1">
      <c r="A73" s="140"/>
      <c r="B73" s="39">
        <v>0</v>
      </c>
      <c r="C73" s="21"/>
      <c r="D73" s="21"/>
      <c r="E73" s="21"/>
      <c r="F73" s="21"/>
      <c r="G73" s="21"/>
      <c r="H73" s="22"/>
      <c r="I73" s="22"/>
      <c r="J73" s="22"/>
      <c r="K73" s="22"/>
      <c r="L73" s="22"/>
      <c r="M73" s="22"/>
      <c r="N73" s="22"/>
      <c r="O73" s="142" t="e">
        <f t="shared" si="2"/>
        <v>#DIV/0!</v>
      </c>
      <c r="P73" s="24"/>
    </row>
    <row r="74" spans="1:16" ht="45" hidden="1" customHeight="1">
      <c r="A74" s="140"/>
      <c r="B74" s="39">
        <v>0</v>
      </c>
      <c r="C74" s="21"/>
      <c r="D74" s="21"/>
      <c r="E74" s="21"/>
      <c r="F74" s="21"/>
      <c r="G74" s="21"/>
      <c r="H74" s="22">
        <v>0</v>
      </c>
      <c r="I74" s="22">
        <v>0</v>
      </c>
      <c r="J74" s="22">
        <v>0</v>
      </c>
      <c r="K74" s="22">
        <v>0</v>
      </c>
      <c r="L74" s="22">
        <v>0</v>
      </c>
      <c r="M74" s="22">
        <v>0</v>
      </c>
      <c r="N74" s="22">
        <v>0</v>
      </c>
      <c r="O74" s="142">
        <f t="shared" si="2"/>
        <v>0</v>
      </c>
      <c r="P74" s="24"/>
    </row>
    <row r="75" spans="1:16" ht="45" hidden="1" customHeight="1">
      <c r="A75" s="140"/>
      <c r="B75" s="39">
        <v>0</v>
      </c>
      <c r="C75" s="21"/>
      <c r="D75" s="21"/>
      <c r="E75" s="21"/>
      <c r="F75" s="21"/>
      <c r="G75" s="21"/>
      <c r="H75" s="22"/>
      <c r="I75" s="22"/>
      <c r="J75" s="22"/>
      <c r="K75" s="22"/>
      <c r="L75" s="22"/>
      <c r="M75" s="22"/>
      <c r="N75" s="22"/>
      <c r="O75" s="142" t="e">
        <f t="shared" si="2"/>
        <v>#DIV/0!</v>
      </c>
      <c r="P75" s="24"/>
    </row>
    <row r="76" spans="1:16" ht="45" hidden="1" customHeight="1">
      <c r="A76" s="140"/>
      <c r="B76" s="39">
        <v>0</v>
      </c>
      <c r="C76" s="21"/>
      <c r="D76" s="21"/>
      <c r="E76" s="21"/>
      <c r="F76" s="21"/>
      <c r="G76" s="21"/>
      <c r="H76" s="22"/>
      <c r="I76" s="22"/>
      <c r="J76" s="22"/>
      <c r="K76" s="22"/>
      <c r="L76" s="22"/>
      <c r="M76" s="22"/>
      <c r="N76" s="22"/>
      <c r="O76" s="142" t="e">
        <f t="shared" si="2"/>
        <v>#DIV/0!</v>
      </c>
      <c r="P76" s="24"/>
    </row>
    <row r="77" spans="1:16" ht="45" hidden="1" customHeight="1">
      <c r="A77" s="140"/>
      <c r="B77" s="39">
        <v>0</v>
      </c>
      <c r="C77" s="21"/>
      <c r="D77" s="21"/>
      <c r="E77" s="21"/>
      <c r="F77" s="21"/>
      <c r="G77" s="21"/>
      <c r="H77" s="22">
        <v>0</v>
      </c>
      <c r="I77" s="22">
        <v>0</v>
      </c>
      <c r="J77" s="22">
        <v>0</v>
      </c>
      <c r="K77" s="22">
        <v>0</v>
      </c>
      <c r="L77" s="22">
        <v>0</v>
      </c>
      <c r="M77" s="22">
        <v>0</v>
      </c>
      <c r="N77" s="22">
        <v>0</v>
      </c>
      <c r="O77" s="142">
        <f t="shared" si="2"/>
        <v>0</v>
      </c>
      <c r="P77" s="24"/>
    </row>
    <row r="78" spans="1:16" ht="45" hidden="1" customHeight="1">
      <c r="A78" s="140"/>
      <c r="B78" s="39">
        <v>0</v>
      </c>
      <c r="C78" s="21"/>
      <c r="D78" s="21"/>
      <c r="E78" s="21"/>
      <c r="F78" s="21"/>
      <c r="G78" s="21"/>
      <c r="H78" s="22" t="s">
        <v>118</v>
      </c>
      <c r="I78" s="22"/>
      <c r="J78" s="22"/>
      <c r="K78" s="22"/>
      <c r="L78" s="22"/>
      <c r="M78" s="22"/>
      <c r="N78" s="22"/>
      <c r="O78" s="142" t="e">
        <f t="shared" si="2"/>
        <v>#DIV/0!</v>
      </c>
      <c r="P78" s="24"/>
    </row>
    <row r="79" spans="1:16" ht="45" hidden="1" customHeight="1">
      <c r="A79" s="140"/>
      <c r="B79" s="39">
        <v>0</v>
      </c>
      <c r="C79" s="21"/>
      <c r="D79" s="21"/>
      <c r="E79" s="21"/>
      <c r="F79" s="21"/>
      <c r="G79" s="21"/>
      <c r="H79" s="22"/>
      <c r="I79" s="22"/>
      <c r="J79" s="22"/>
      <c r="K79" s="22"/>
      <c r="L79" s="22"/>
      <c r="M79" s="22"/>
      <c r="N79" s="22"/>
      <c r="O79" s="142" t="e">
        <f t="shared" si="2"/>
        <v>#DIV/0!</v>
      </c>
      <c r="P79" s="24"/>
    </row>
    <row r="80" spans="1:16" ht="45" hidden="1" customHeight="1">
      <c r="A80" s="140"/>
      <c r="B80" s="39">
        <v>0</v>
      </c>
      <c r="C80" s="21"/>
      <c r="D80" s="21"/>
      <c r="E80" s="21"/>
      <c r="F80" s="21"/>
      <c r="G80" s="21"/>
      <c r="H80" s="22">
        <v>0</v>
      </c>
      <c r="I80" s="22">
        <v>0</v>
      </c>
      <c r="J80" s="22">
        <v>0</v>
      </c>
      <c r="K80" s="22">
        <v>0</v>
      </c>
      <c r="L80" s="22">
        <v>0</v>
      </c>
      <c r="M80" s="22">
        <v>0</v>
      </c>
      <c r="N80" s="22">
        <v>0</v>
      </c>
      <c r="O80" s="23">
        <f t="shared" ref="O80:O111" si="3">AVERAGE(H80:N82)</f>
        <v>0</v>
      </c>
      <c r="P80" s="24"/>
    </row>
    <row r="81" spans="1:16" ht="45" hidden="1" customHeight="1">
      <c r="A81" s="140"/>
      <c r="B81" s="39">
        <v>0</v>
      </c>
      <c r="C81" s="21"/>
      <c r="D81" s="21"/>
      <c r="E81" s="21"/>
      <c r="F81" s="21"/>
      <c r="G81" s="21"/>
      <c r="H81" s="22">
        <v>0</v>
      </c>
      <c r="I81" s="22">
        <v>0</v>
      </c>
      <c r="J81" s="22">
        <v>0</v>
      </c>
      <c r="K81" s="22">
        <v>0</v>
      </c>
      <c r="L81" s="22">
        <v>0</v>
      </c>
      <c r="M81" s="22">
        <v>0</v>
      </c>
      <c r="N81" s="22">
        <v>0</v>
      </c>
      <c r="O81" s="23">
        <f t="shared" si="3"/>
        <v>0</v>
      </c>
      <c r="P81" s="24"/>
    </row>
    <row r="82" spans="1:16" ht="45" hidden="1"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hidden="1"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ref="O112:O143" si="4">AVERAGE(H112:N114)</f>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4"/>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4"/>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4"/>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4"/>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4"/>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4"/>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4"/>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4"/>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4"/>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4"/>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4"/>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4"/>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4"/>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4"/>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4"/>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4"/>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4"/>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4"/>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4"/>
        <v>0</v>
      </c>
      <c r="P137" s="24"/>
    </row>
    <row r="138" spans="1:16" ht="45" hidden="1" customHeight="1">
      <c r="A138" s="152"/>
      <c r="B138" s="39">
        <v>0</v>
      </c>
      <c r="C138" s="25"/>
      <c r="D138" s="25"/>
      <c r="E138" s="25"/>
      <c r="F138" s="25"/>
      <c r="G138" s="25"/>
      <c r="H138" s="36">
        <v>0</v>
      </c>
      <c r="I138" s="37">
        <v>0</v>
      </c>
      <c r="J138" s="37">
        <v>0</v>
      </c>
      <c r="K138" s="37">
        <v>0</v>
      </c>
      <c r="L138" s="37">
        <v>0</v>
      </c>
      <c r="M138" s="37">
        <v>0</v>
      </c>
      <c r="N138" s="37">
        <v>0</v>
      </c>
      <c r="O138" s="38">
        <f t="shared" si="4"/>
        <v>0</v>
      </c>
      <c r="P138" s="19"/>
    </row>
    <row r="139" spans="1:16" ht="45" hidden="1" customHeight="1">
      <c r="A139" s="153"/>
      <c r="B139" s="39">
        <v>0</v>
      </c>
      <c r="C139" s="21"/>
      <c r="D139" s="21"/>
      <c r="E139" s="21"/>
      <c r="F139" s="21"/>
      <c r="G139" s="21"/>
      <c r="H139" s="32">
        <v>0</v>
      </c>
      <c r="I139" s="22">
        <v>0</v>
      </c>
      <c r="J139" s="22">
        <v>0</v>
      </c>
      <c r="K139" s="22">
        <v>0</v>
      </c>
      <c r="L139" s="22">
        <v>0</v>
      </c>
      <c r="M139" s="22">
        <v>0</v>
      </c>
      <c r="N139" s="22">
        <v>0</v>
      </c>
      <c r="O139" s="23">
        <f t="shared" si="4"/>
        <v>0</v>
      </c>
      <c r="P139" s="24"/>
    </row>
    <row r="140" spans="1:16" ht="45" hidden="1" customHeight="1">
      <c r="A140" s="153"/>
      <c r="B140" s="39">
        <v>0</v>
      </c>
      <c r="C140" s="21"/>
      <c r="D140" s="21"/>
      <c r="E140" s="21"/>
      <c r="F140" s="21"/>
      <c r="G140" s="21"/>
      <c r="H140" s="32">
        <v>0</v>
      </c>
      <c r="I140" s="22">
        <v>0</v>
      </c>
      <c r="J140" s="22">
        <v>0</v>
      </c>
      <c r="K140" s="22">
        <v>0</v>
      </c>
      <c r="L140" s="22">
        <v>0</v>
      </c>
      <c r="M140" s="22">
        <v>0</v>
      </c>
      <c r="N140" s="22">
        <v>0</v>
      </c>
      <c r="O140" s="23">
        <f t="shared" si="4"/>
        <v>0.23809523809523808</v>
      </c>
      <c r="P140" s="24"/>
    </row>
    <row r="141" spans="1:16" ht="45" hidden="1" customHeight="1">
      <c r="A141" s="153"/>
      <c r="B141" s="39">
        <v>0</v>
      </c>
      <c r="C141" s="21"/>
      <c r="D141" s="21"/>
      <c r="E141" s="21"/>
      <c r="F141" s="21"/>
      <c r="G141" s="21"/>
      <c r="H141" s="32">
        <v>0</v>
      </c>
      <c r="I141" s="22">
        <v>0</v>
      </c>
      <c r="J141" s="22">
        <v>0</v>
      </c>
      <c r="K141" s="22">
        <v>0</v>
      </c>
      <c r="L141" s="22">
        <v>0</v>
      </c>
      <c r="M141" s="22">
        <v>0</v>
      </c>
      <c r="N141" s="22">
        <v>0</v>
      </c>
      <c r="O141" s="23">
        <f t="shared" si="4"/>
        <v>0.35714285714285715</v>
      </c>
      <c r="P141" s="24"/>
    </row>
    <row r="142" spans="1:16" ht="45" hidden="1" customHeight="1">
      <c r="A142" s="153"/>
      <c r="B142" s="39">
        <v>5</v>
      </c>
      <c r="C142" s="21"/>
      <c r="D142" s="21"/>
      <c r="E142" s="21"/>
      <c r="F142" s="21"/>
      <c r="G142" s="21"/>
      <c r="H142" s="32">
        <v>0</v>
      </c>
      <c r="I142" s="22">
        <v>0</v>
      </c>
      <c r="J142" s="22">
        <v>0</v>
      </c>
      <c r="K142" s="22">
        <v>0</v>
      </c>
      <c r="L142" s="22">
        <v>0</v>
      </c>
      <c r="M142" s="22">
        <v>0</v>
      </c>
      <c r="N142" s="22">
        <v>5</v>
      </c>
      <c r="O142" s="23">
        <f t="shared" si="4"/>
        <v>0.7142857142857143</v>
      </c>
      <c r="P142" s="24"/>
    </row>
  </sheetData>
  <autoFilter ref="A2:P142" xr:uid="{6831539B-1EF2-456C-A99A-6624932F8169}">
    <filterColumn colId="2">
      <filters>
        <filter val="Ling"/>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69 H71:O882 J70:O70 H70">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8A608F6A-A7A8-49DE-AEBA-6C794769B8CA}"/>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D15CE16-C0D4-480F-B9D5-8E84AC0075BD}">
          <x14:formula1>
            <xm:f>'Guide suivi GDP '!$E$3:$E$8</xm:f>
          </x14:formula1>
          <xm:sqref>D3:D142</xm:sqref>
        </x14:dataValidation>
        <x14:dataValidation type="list" allowBlank="1" showInputMessage="1" showErrorMessage="1" xr:uid="{BA7E559B-9A60-47D9-99A0-CB136B2C34EC}">
          <x14:formula1>
            <xm:f>'Guide suivi GDP '!$E$20:$E$24</xm:f>
          </x14:formula1>
          <xm:sqref>E3:E142</xm:sqref>
        </x14:dataValidation>
        <x14:dataValidation type="list" allowBlank="1" showInputMessage="1" showErrorMessage="1" xr:uid="{52D6CB7E-F6DB-41EB-BF5C-97A809585A87}">
          <x14:formula1>
            <xm:f>'Guide suivi GDP '!$E$14:$E$19</xm:f>
          </x14:formula1>
          <xm:sqref>F3:F142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33F9-BC53-4F70-8487-498907558871}">
  <sheetPr filterMode="1">
    <tabColor rgb="FF92D050"/>
  </sheetPr>
  <dimension ref="A1:Q143"/>
  <sheetViews>
    <sheetView workbookViewId="0">
      <selection activeCell="P57" sqref="P57"/>
    </sheetView>
  </sheetViews>
  <sheetFormatPr baseColWidth="10" defaultColWidth="9.140625" defaultRowHeight="12.75" outlineLevelCol="2"/>
  <cols>
    <col min="1" max="1" width="24"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customWidth="1" outlineLevel="2" collapsed="1"/>
    <col min="9" max="9" width="12.7109375" style="26" customWidth="1" outlineLevel="2"/>
    <col min="10" max="10" width="11" style="26" customWidth="1" outlineLevel="2"/>
    <col min="11" max="11" width="8.85546875" style="26" customWidth="1" outlineLevel="2"/>
    <col min="12" max="12" width="11.7109375" style="26" customWidth="1" outlineLevel="2"/>
    <col min="13" max="13" width="12.28515625" style="26" customWidth="1" outlineLevel="2"/>
    <col min="14" max="14" width="15.7109375" style="26" customWidth="1" outlineLevel="2"/>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hidden="1"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443</v>
      </c>
    </row>
    <row r="4" spans="1:16" ht="45" hidden="1" customHeight="1">
      <c r="A4" s="28" t="s">
        <v>243</v>
      </c>
      <c r="B4" s="39">
        <v>0</v>
      </c>
      <c r="C4" s="141" t="s">
        <v>150</v>
      </c>
      <c r="D4" s="141" t="s">
        <v>26</v>
      </c>
      <c r="E4" s="141" t="s">
        <v>48</v>
      </c>
      <c r="F4" s="141"/>
      <c r="G4" s="141"/>
      <c r="H4" s="29">
        <v>2</v>
      </c>
      <c r="I4" s="145">
        <v>1</v>
      </c>
      <c r="J4" s="145">
        <v>0</v>
      </c>
      <c r="K4" s="145">
        <v>0</v>
      </c>
      <c r="L4" s="145">
        <v>0</v>
      </c>
      <c r="M4" s="145">
        <v>1</v>
      </c>
      <c r="N4" s="145">
        <v>0</v>
      </c>
      <c r="O4" s="20">
        <f t="shared" si="0"/>
        <v>0.5714285714285714</v>
      </c>
      <c r="P4" s="143" t="s">
        <v>444</v>
      </c>
    </row>
    <row r="5" spans="1:16" ht="45" hidden="1" customHeight="1">
      <c r="A5" s="153"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407</v>
      </c>
    </row>
    <row r="6" spans="1:16"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143" t="s">
        <v>319</v>
      </c>
    </row>
    <row r="7" spans="1:16" ht="45" hidden="1"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445</v>
      </c>
    </row>
    <row r="10" spans="1:16"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143" t="s">
        <v>321</v>
      </c>
    </row>
    <row r="11" spans="1:16" ht="45" hidden="1" customHeight="1">
      <c r="A11" s="153" t="s">
        <v>275</v>
      </c>
      <c r="B11" s="39">
        <v>0</v>
      </c>
      <c r="C11" s="141" t="s">
        <v>409</v>
      </c>
      <c r="D11" s="141"/>
      <c r="E11" s="141"/>
      <c r="F11" s="141"/>
      <c r="G11" s="141"/>
      <c r="H11" s="29"/>
      <c r="I11" s="145"/>
      <c r="J11" s="145"/>
      <c r="K11" s="145"/>
      <c r="L11" s="145"/>
      <c r="M11" s="145"/>
      <c r="N11" s="145"/>
      <c r="O11" s="142" t="e">
        <f t="shared" si="0"/>
        <v>#DIV/0!</v>
      </c>
      <c r="P11" s="143" t="s">
        <v>276</v>
      </c>
    </row>
    <row r="12" spans="1:16" ht="45" hidden="1" customHeight="1">
      <c r="A12" s="153" t="s">
        <v>446</v>
      </c>
      <c r="B12" s="39">
        <v>0</v>
      </c>
      <c r="C12" s="141" t="s">
        <v>409</v>
      </c>
      <c r="D12" s="141"/>
      <c r="E12" s="141"/>
      <c r="F12" s="141"/>
      <c r="G12" s="141"/>
      <c r="H12" s="29"/>
      <c r="I12" s="145"/>
      <c r="J12" s="145"/>
      <c r="K12" s="145"/>
      <c r="L12" s="145"/>
      <c r="M12" s="145"/>
      <c r="N12" s="145"/>
      <c r="O12" s="142" t="e">
        <f t="shared" si="0"/>
        <v>#DIV/0!</v>
      </c>
      <c r="P12" s="143" t="s">
        <v>447</v>
      </c>
    </row>
    <row r="13" spans="1:16"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143" t="s">
        <v>322</v>
      </c>
    </row>
    <row r="14" spans="1:16" ht="45" hidden="1" customHeight="1">
      <c r="A14" s="153" t="s">
        <v>280</v>
      </c>
      <c r="B14" s="39">
        <v>0</v>
      </c>
      <c r="C14" s="141" t="s">
        <v>409</v>
      </c>
      <c r="D14" s="21"/>
      <c r="E14" s="21"/>
      <c r="F14" s="21"/>
      <c r="G14" s="21"/>
      <c r="H14" s="29"/>
      <c r="I14" s="145"/>
      <c r="J14" s="145"/>
      <c r="K14" s="145"/>
      <c r="L14" s="145"/>
      <c r="M14" s="145"/>
      <c r="N14" s="145"/>
      <c r="O14" s="142" t="e">
        <f t="shared" si="0"/>
        <v>#DIV/0!</v>
      </c>
      <c r="P14" s="46" t="s">
        <v>323</v>
      </c>
    </row>
    <row r="15" spans="1:16"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46" t="s">
        <v>410</v>
      </c>
    </row>
    <row r="16" spans="1:16" ht="45" customHeight="1">
      <c r="A16" s="153" t="s">
        <v>279</v>
      </c>
      <c r="B16" s="39">
        <v>0</v>
      </c>
      <c r="C16" s="141" t="s">
        <v>409</v>
      </c>
      <c r="D16" s="21" t="s">
        <v>6</v>
      </c>
      <c r="E16" s="21"/>
      <c r="F16" s="21"/>
      <c r="G16" s="21"/>
      <c r="H16" s="29"/>
      <c r="I16" s="145"/>
      <c r="J16" s="145"/>
      <c r="K16" s="145"/>
      <c r="L16" s="145"/>
      <c r="M16" s="145"/>
      <c r="N16" s="145"/>
      <c r="O16" s="142" t="e">
        <f t="shared" si="0"/>
        <v>#DIV/0!</v>
      </c>
      <c r="P16" s="46" t="s">
        <v>448</v>
      </c>
    </row>
    <row r="17" spans="1:16" ht="45" customHeight="1">
      <c r="A17" s="40" t="s">
        <v>145</v>
      </c>
      <c r="B17" s="39">
        <v>0</v>
      </c>
      <c r="C17" s="141" t="s">
        <v>123</v>
      </c>
      <c r="D17" s="141" t="s">
        <v>6</v>
      </c>
      <c r="E17" s="141"/>
      <c r="F17" s="141" t="s">
        <v>37</v>
      </c>
      <c r="G17" s="141"/>
      <c r="H17" s="29">
        <v>0</v>
      </c>
      <c r="I17" s="145">
        <v>0</v>
      </c>
      <c r="J17" s="145">
        <v>0</v>
      </c>
      <c r="K17" s="145">
        <v>0</v>
      </c>
      <c r="L17" s="145">
        <v>0</v>
      </c>
      <c r="M17" s="145">
        <v>0</v>
      </c>
      <c r="N17" s="145">
        <v>0</v>
      </c>
      <c r="O17" s="142">
        <f t="shared" si="0"/>
        <v>0</v>
      </c>
      <c r="P17" s="143" t="s">
        <v>317</v>
      </c>
    </row>
    <row r="18" spans="1:16"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143" t="s">
        <v>449</v>
      </c>
    </row>
    <row r="19" spans="1:16" ht="45" hidden="1" customHeight="1">
      <c r="A19" s="153" t="s">
        <v>127</v>
      </c>
      <c r="B19" s="39">
        <v>0</v>
      </c>
      <c r="C19" s="141" t="s">
        <v>123</v>
      </c>
      <c r="D19" s="141" t="s">
        <v>26</v>
      </c>
      <c r="E19" s="141" t="s">
        <v>48</v>
      </c>
      <c r="F19" s="141"/>
      <c r="G19" s="141"/>
      <c r="H19" s="29">
        <v>1</v>
      </c>
      <c r="I19" s="145">
        <v>3</v>
      </c>
      <c r="J19" s="145">
        <v>3</v>
      </c>
      <c r="K19" s="145">
        <v>4</v>
      </c>
      <c r="L19" s="145">
        <v>3</v>
      </c>
      <c r="M19" s="145">
        <v>4</v>
      </c>
      <c r="N19" s="145">
        <v>1</v>
      </c>
      <c r="O19" s="142">
        <f t="shared" si="0"/>
        <v>2.7142857142857144</v>
      </c>
      <c r="P19" s="143" t="s">
        <v>450</v>
      </c>
    </row>
    <row r="20" spans="1:16" ht="45" customHeight="1">
      <c r="A20" s="41" t="s">
        <v>113</v>
      </c>
      <c r="B20" s="39">
        <v>0</v>
      </c>
      <c r="C20" s="141" t="s">
        <v>51</v>
      </c>
      <c r="D20" s="141" t="s">
        <v>6</v>
      </c>
      <c r="E20" s="141" t="s">
        <v>44</v>
      </c>
      <c r="F20" s="141" t="s">
        <v>39</v>
      </c>
      <c r="G20" s="141"/>
      <c r="H20" s="29">
        <v>0</v>
      </c>
      <c r="I20" s="145">
        <v>0</v>
      </c>
      <c r="J20" s="145">
        <v>0</v>
      </c>
      <c r="K20" s="145">
        <v>0</v>
      </c>
      <c r="L20" s="145">
        <v>0</v>
      </c>
      <c r="M20" s="145">
        <v>0</v>
      </c>
      <c r="N20" s="145">
        <v>0</v>
      </c>
      <c r="O20" s="142">
        <f t="shared" si="0"/>
        <v>0</v>
      </c>
      <c r="P20" s="143" t="s">
        <v>188</v>
      </c>
    </row>
    <row r="21" spans="1:16" ht="45" customHeight="1">
      <c r="A21" s="153" t="s">
        <v>213</v>
      </c>
      <c r="B21" s="39">
        <v>0</v>
      </c>
      <c r="C21" s="141" t="s">
        <v>150</v>
      </c>
      <c r="D21" s="141" t="s">
        <v>6</v>
      </c>
      <c r="E21" s="141"/>
      <c r="F21" s="141"/>
      <c r="G21" s="141"/>
      <c r="H21" s="29" t="s">
        <v>118</v>
      </c>
      <c r="I21" s="145" t="s">
        <v>118</v>
      </c>
      <c r="J21" s="145" t="s">
        <v>118</v>
      </c>
      <c r="K21" s="145" t="s">
        <v>118</v>
      </c>
      <c r="L21" s="145" t="s">
        <v>118</v>
      </c>
      <c r="M21" s="145" t="s">
        <v>118</v>
      </c>
      <c r="N21" s="145" t="s">
        <v>118</v>
      </c>
      <c r="O21" s="142" t="e">
        <f t="shared" si="0"/>
        <v>#DIV/0!</v>
      </c>
      <c r="P21" s="143" t="s">
        <v>451</v>
      </c>
    </row>
    <row r="22" spans="1:16" ht="45" hidden="1" customHeight="1">
      <c r="A22" s="153" t="s">
        <v>154</v>
      </c>
      <c r="B22" s="39">
        <v>0</v>
      </c>
      <c r="C22" s="141" t="s">
        <v>150</v>
      </c>
      <c r="D22" s="141" t="s">
        <v>26</v>
      </c>
      <c r="E22" s="141" t="s">
        <v>48</v>
      </c>
      <c r="F22" s="141"/>
      <c r="G22" s="141"/>
      <c r="H22" s="29">
        <v>0</v>
      </c>
      <c r="I22" s="145">
        <v>0</v>
      </c>
      <c r="J22" s="145">
        <v>0</v>
      </c>
      <c r="K22" s="145">
        <v>0</v>
      </c>
      <c r="L22" s="145">
        <v>0</v>
      </c>
      <c r="M22" s="145">
        <v>0</v>
      </c>
      <c r="N22" s="145">
        <v>0</v>
      </c>
      <c r="O22" s="142">
        <f t="shared" si="0"/>
        <v>0</v>
      </c>
      <c r="P22" s="143" t="s">
        <v>452</v>
      </c>
    </row>
    <row r="23" spans="1:16" ht="45" customHeight="1">
      <c r="A23" s="153" t="s">
        <v>415</v>
      </c>
      <c r="B23" s="39">
        <v>0</v>
      </c>
      <c r="C23" s="21" t="s">
        <v>51</v>
      </c>
      <c r="D23" s="21" t="s">
        <v>6</v>
      </c>
      <c r="E23" s="21"/>
      <c r="F23" s="21"/>
      <c r="G23" s="21"/>
      <c r="H23" s="48"/>
      <c r="I23" s="51"/>
      <c r="J23" s="51"/>
      <c r="K23" s="51"/>
      <c r="L23" s="51"/>
      <c r="M23" s="51"/>
      <c r="N23" s="51"/>
      <c r="O23" s="142" t="e">
        <f t="shared" si="0"/>
        <v>#DIV/0!</v>
      </c>
      <c r="P23" s="46" t="s">
        <v>416</v>
      </c>
    </row>
    <row r="24" spans="1:16" ht="45" customHeight="1">
      <c r="A24" s="153" t="s">
        <v>227</v>
      </c>
      <c r="B24" s="39">
        <v>2</v>
      </c>
      <c r="C24" s="141" t="s">
        <v>51</v>
      </c>
      <c r="D24" s="141" t="s">
        <v>6</v>
      </c>
      <c r="E24" s="141"/>
      <c r="F24" s="141"/>
      <c r="G24" s="141"/>
      <c r="H24" s="29" t="s">
        <v>118</v>
      </c>
      <c r="I24" s="145" t="s">
        <v>118</v>
      </c>
      <c r="J24" s="145" t="s">
        <v>118</v>
      </c>
      <c r="K24" s="145" t="s">
        <v>118</v>
      </c>
      <c r="L24" s="145" t="s">
        <v>118</v>
      </c>
      <c r="M24" s="145" t="s">
        <v>118</v>
      </c>
      <c r="N24" s="145" t="s">
        <v>118</v>
      </c>
      <c r="O24" s="142" t="e">
        <f t="shared" si="0"/>
        <v>#DIV/0!</v>
      </c>
      <c r="P24" s="143" t="s">
        <v>453</v>
      </c>
    </row>
    <row r="25" spans="1:16" ht="45" customHeight="1">
      <c r="A25" s="153" t="s">
        <v>180</v>
      </c>
      <c r="B25" s="39">
        <v>0</v>
      </c>
      <c r="C25" s="141" t="s">
        <v>174</v>
      </c>
      <c r="D25" s="141" t="s">
        <v>6</v>
      </c>
      <c r="E25" s="141"/>
      <c r="F25" s="141"/>
      <c r="G25" s="141"/>
      <c r="H25" s="29" t="s">
        <v>118</v>
      </c>
      <c r="I25" s="145" t="s">
        <v>118</v>
      </c>
      <c r="J25" s="145" t="s">
        <v>118</v>
      </c>
      <c r="K25" s="145" t="s">
        <v>118</v>
      </c>
      <c r="L25" s="145" t="s">
        <v>118</v>
      </c>
      <c r="M25" s="145" t="s">
        <v>118</v>
      </c>
      <c r="N25" s="145" t="s">
        <v>118</v>
      </c>
      <c r="O25" s="142" t="e">
        <f t="shared" si="0"/>
        <v>#DIV/0!</v>
      </c>
      <c r="P25" s="143" t="s">
        <v>418</v>
      </c>
    </row>
    <row r="26" spans="1:16" ht="45" customHeight="1">
      <c r="A26" s="40" t="s">
        <v>215</v>
      </c>
      <c r="B26" s="39">
        <v>0</v>
      </c>
      <c r="C26" s="141" t="s">
        <v>51</v>
      </c>
      <c r="D26" s="141" t="s">
        <v>6</v>
      </c>
      <c r="E26" s="141"/>
      <c r="F26" s="141"/>
      <c r="G26" s="141"/>
      <c r="H26" s="29">
        <v>0</v>
      </c>
      <c r="I26" s="145">
        <v>0</v>
      </c>
      <c r="J26" s="145">
        <v>0</v>
      </c>
      <c r="K26" s="145">
        <v>0</v>
      </c>
      <c r="L26" s="145">
        <v>0</v>
      </c>
      <c r="M26" s="145">
        <v>0</v>
      </c>
      <c r="N26" s="145">
        <v>0</v>
      </c>
      <c r="O26" s="142">
        <f t="shared" si="0"/>
        <v>0</v>
      </c>
      <c r="P26" s="143" t="s">
        <v>216</v>
      </c>
    </row>
    <row r="27" spans="1:16" ht="45" hidden="1" customHeight="1">
      <c r="A27" s="153" t="s">
        <v>156</v>
      </c>
      <c r="B27" s="39">
        <v>0</v>
      </c>
      <c r="C27" s="141" t="s">
        <v>150</v>
      </c>
      <c r="D27" s="141" t="s">
        <v>14</v>
      </c>
      <c r="E27" s="141" t="s">
        <v>44</v>
      </c>
      <c r="F27" s="141" t="s">
        <v>39</v>
      </c>
      <c r="G27" s="45"/>
      <c r="H27" s="29">
        <v>2</v>
      </c>
      <c r="I27" s="145">
        <v>5</v>
      </c>
      <c r="J27" s="145">
        <v>4</v>
      </c>
      <c r="K27" s="145">
        <v>5</v>
      </c>
      <c r="L27" s="145">
        <v>0</v>
      </c>
      <c r="M27" s="145">
        <v>3</v>
      </c>
      <c r="N27" s="145">
        <v>2</v>
      </c>
      <c r="O27" s="142">
        <f t="shared" si="0"/>
        <v>3</v>
      </c>
      <c r="P27" s="143" t="s">
        <v>454</v>
      </c>
    </row>
    <row r="28" spans="1:16" ht="45" hidden="1" customHeight="1">
      <c r="A28" s="153" t="s">
        <v>98</v>
      </c>
      <c r="B28" s="39">
        <v>0</v>
      </c>
      <c r="C28" s="141" t="s">
        <v>51</v>
      </c>
      <c r="D28" s="141" t="s">
        <v>26</v>
      </c>
      <c r="E28" s="141" t="s">
        <v>47</v>
      </c>
      <c r="F28" s="141" t="s">
        <v>39</v>
      </c>
      <c r="G28" s="141" t="s">
        <v>230</v>
      </c>
      <c r="H28" s="30">
        <v>2</v>
      </c>
      <c r="I28" s="139">
        <v>0</v>
      </c>
      <c r="J28" s="139">
        <v>0</v>
      </c>
      <c r="K28" s="139">
        <v>0</v>
      </c>
      <c r="L28" s="139">
        <v>0</v>
      </c>
      <c r="M28" s="139">
        <v>2</v>
      </c>
      <c r="N28" s="139">
        <v>1</v>
      </c>
      <c r="O28" s="142">
        <f t="shared" si="0"/>
        <v>0.7142857142857143</v>
      </c>
      <c r="P28" s="138" t="s">
        <v>332</v>
      </c>
    </row>
    <row r="29" spans="1:16" ht="45" customHeight="1">
      <c r="A29" s="153" t="s">
        <v>283</v>
      </c>
      <c r="B29" s="39">
        <v>0</v>
      </c>
      <c r="C29" s="21" t="s">
        <v>174</v>
      </c>
      <c r="D29" s="21" t="s">
        <v>6</v>
      </c>
      <c r="E29" s="21"/>
      <c r="F29" s="21"/>
      <c r="G29" s="21"/>
      <c r="H29" s="48"/>
      <c r="I29" s="51"/>
      <c r="J29" s="51"/>
      <c r="K29" s="51"/>
      <c r="L29" s="51"/>
      <c r="M29" s="51"/>
      <c r="N29" s="51"/>
      <c r="O29" s="142" t="e">
        <f t="shared" si="0"/>
        <v>#DIV/0!</v>
      </c>
      <c r="P29" s="46" t="s">
        <v>455</v>
      </c>
    </row>
    <row r="30" spans="1:16" ht="45" hidden="1" customHeight="1">
      <c r="A30" s="153" t="s">
        <v>103</v>
      </c>
      <c r="B30" s="39">
        <v>0</v>
      </c>
      <c r="C30" s="141" t="s">
        <v>51</v>
      </c>
      <c r="D30" s="141" t="s">
        <v>26</v>
      </c>
      <c r="E30" s="141" t="s">
        <v>48</v>
      </c>
      <c r="F30" s="141"/>
      <c r="G30" s="141"/>
      <c r="H30" s="29">
        <v>0</v>
      </c>
      <c r="I30" s="145" t="s">
        <v>104</v>
      </c>
      <c r="J30" s="145" t="s">
        <v>104</v>
      </c>
      <c r="K30" s="145" t="s">
        <v>104</v>
      </c>
      <c r="L30" s="145" t="s">
        <v>101</v>
      </c>
      <c r="M30" s="145" t="s">
        <v>101</v>
      </c>
      <c r="N30" s="145" t="s">
        <v>101</v>
      </c>
      <c r="O30" s="142">
        <f t="shared" si="0"/>
        <v>0</v>
      </c>
      <c r="P30" s="143" t="s">
        <v>456</v>
      </c>
    </row>
    <row r="31" spans="1:16" ht="45" customHeight="1">
      <c r="A31" s="153" t="s">
        <v>225</v>
      </c>
      <c r="B31" s="39">
        <v>0</v>
      </c>
      <c r="C31" s="141" t="s">
        <v>267</v>
      </c>
      <c r="D31" s="141" t="s">
        <v>6</v>
      </c>
      <c r="E31" s="141"/>
      <c r="F31" s="141"/>
      <c r="G31" s="141"/>
      <c r="H31" s="29">
        <v>0</v>
      </c>
      <c r="I31" s="145">
        <v>0</v>
      </c>
      <c r="J31" s="145">
        <v>0</v>
      </c>
      <c r="K31" s="145">
        <v>0</v>
      </c>
      <c r="L31" s="145">
        <v>0</v>
      </c>
      <c r="M31" s="145">
        <v>0</v>
      </c>
      <c r="N31" s="145">
        <v>0</v>
      </c>
      <c r="O31" s="142">
        <f t="shared" si="0"/>
        <v>0</v>
      </c>
      <c r="P31" s="143" t="s">
        <v>226</v>
      </c>
    </row>
    <row r="32" spans="1:16" ht="45" hidden="1" customHeight="1">
      <c r="A32" s="153" t="s">
        <v>132</v>
      </c>
      <c r="B32" s="39">
        <v>0</v>
      </c>
      <c r="C32" s="141" t="s">
        <v>123</v>
      </c>
      <c r="D32" s="141" t="s">
        <v>26</v>
      </c>
      <c r="E32" s="141" t="s">
        <v>48</v>
      </c>
      <c r="F32" s="141"/>
      <c r="G32" s="141"/>
      <c r="H32" s="29">
        <v>1</v>
      </c>
      <c r="I32" s="145">
        <v>2</v>
      </c>
      <c r="J32" s="145">
        <v>0</v>
      </c>
      <c r="K32" s="145">
        <v>0</v>
      </c>
      <c r="L32" s="145">
        <v>0</v>
      </c>
      <c r="M32" s="145">
        <v>0</v>
      </c>
      <c r="N32" s="145">
        <v>0</v>
      </c>
      <c r="O32" s="142">
        <f t="shared" si="0"/>
        <v>0.42857142857142855</v>
      </c>
      <c r="P32" s="143" t="s">
        <v>334</v>
      </c>
    </row>
    <row r="33" spans="1:17" ht="45" customHeight="1">
      <c r="A33" s="40" t="s">
        <v>147</v>
      </c>
      <c r="B33" s="39">
        <v>0</v>
      </c>
      <c r="C33" s="141" t="s">
        <v>123</v>
      </c>
      <c r="D33" s="141" t="s">
        <v>6</v>
      </c>
      <c r="E33" s="141"/>
      <c r="F33" s="141" t="s">
        <v>39</v>
      </c>
      <c r="G33" s="141"/>
      <c r="H33" s="29">
        <v>3</v>
      </c>
      <c r="I33" s="145">
        <v>0</v>
      </c>
      <c r="J33" s="145">
        <v>0</v>
      </c>
      <c r="K33" s="145">
        <v>0</v>
      </c>
      <c r="L33" s="145">
        <v>0</v>
      </c>
      <c r="M33" s="145">
        <v>0</v>
      </c>
      <c r="N33" s="145">
        <v>0</v>
      </c>
      <c r="O33" s="142">
        <f t="shared" si="0"/>
        <v>0.42857142857142855</v>
      </c>
      <c r="P33" s="143" t="s">
        <v>245</v>
      </c>
    </row>
    <row r="34" spans="1:17" ht="45" hidden="1" customHeight="1">
      <c r="A34" s="153" t="s">
        <v>165</v>
      </c>
      <c r="B34" s="39">
        <v>0</v>
      </c>
      <c r="C34" s="141" t="s">
        <v>150</v>
      </c>
      <c r="D34" s="141"/>
      <c r="E34" s="141"/>
      <c r="F34" s="141"/>
      <c r="G34" s="141"/>
      <c r="H34" s="29">
        <v>0</v>
      </c>
      <c r="I34" s="145">
        <v>0</v>
      </c>
      <c r="J34" s="145">
        <v>0</v>
      </c>
      <c r="K34" s="145">
        <v>0</v>
      </c>
      <c r="L34" s="145">
        <v>0</v>
      </c>
      <c r="M34" s="145">
        <v>0</v>
      </c>
      <c r="N34" s="145">
        <v>1</v>
      </c>
      <c r="O34" s="142">
        <f t="shared" si="0"/>
        <v>0.14285714285714285</v>
      </c>
      <c r="P34" s="143" t="s">
        <v>457</v>
      </c>
    </row>
    <row r="35" spans="1:17" ht="45" customHeight="1">
      <c r="A35" s="40" t="s">
        <v>110</v>
      </c>
      <c r="B35" s="39">
        <v>0</v>
      </c>
      <c r="C35" s="141" t="s">
        <v>150</v>
      </c>
      <c r="D35" s="141" t="s">
        <v>6</v>
      </c>
      <c r="E35" s="141"/>
      <c r="F35" s="141"/>
      <c r="G35" s="141"/>
      <c r="H35" s="29" t="s">
        <v>101</v>
      </c>
      <c r="I35" s="145" t="s">
        <v>101</v>
      </c>
      <c r="J35" s="145" t="s">
        <v>101</v>
      </c>
      <c r="K35" s="145" t="s">
        <v>104</v>
      </c>
      <c r="L35" s="145" t="s">
        <v>101</v>
      </c>
      <c r="M35" s="145" t="s">
        <v>101</v>
      </c>
      <c r="N35" s="145" t="s">
        <v>101</v>
      </c>
      <c r="O35" s="142" t="e">
        <f t="shared" ref="O35:O66" si="1">AVERAGE(H35:N35)</f>
        <v>#DIV/0!</v>
      </c>
      <c r="P35" s="143" t="s">
        <v>458</v>
      </c>
    </row>
    <row r="36" spans="1:17" ht="45" hidden="1" customHeight="1">
      <c r="A36" s="153" t="s">
        <v>162</v>
      </c>
      <c r="B36" s="39">
        <v>0</v>
      </c>
      <c r="C36" s="141" t="s">
        <v>150</v>
      </c>
      <c r="D36" s="141"/>
      <c r="E36" s="141"/>
      <c r="F36" s="141"/>
      <c r="G36" s="141"/>
      <c r="H36" s="29">
        <v>0</v>
      </c>
      <c r="I36" s="145">
        <v>0</v>
      </c>
      <c r="J36" s="145">
        <v>0</v>
      </c>
      <c r="K36" s="145">
        <v>0</v>
      </c>
      <c r="L36" s="145">
        <v>0</v>
      </c>
      <c r="M36" s="145">
        <v>0</v>
      </c>
      <c r="N36" s="145">
        <v>0</v>
      </c>
      <c r="O36" s="142">
        <f t="shared" si="1"/>
        <v>0</v>
      </c>
      <c r="P36" s="143" t="s">
        <v>459</v>
      </c>
    </row>
    <row r="37" spans="1:17" ht="45" hidden="1" customHeight="1">
      <c r="A37" s="153" t="s">
        <v>164</v>
      </c>
      <c r="B37" s="39">
        <v>0</v>
      </c>
      <c r="C37" s="141" t="s">
        <v>150</v>
      </c>
      <c r="D37" s="141"/>
      <c r="E37" s="141"/>
      <c r="F37" s="141"/>
      <c r="G37" s="141"/>
      <c r="H37" s="29">
        <v>0</v>
      </c>
      <c r="I37" s="145">
        <v>0</v>
      </c>
      <c r="J37" s="145">
        <v>0</v>
      </c>
      <c r="K37" s="145">
        <v>0</v>
      </c>
      <c r="L37" s="145">
        <v>0</v>
      </c>
      <c r="M37" s="145">
        <v>0</v>
      </c>
      <c r="N37" s="145">
        <v>0</v>
      </c>
      <c r="O37" s="142">
        <f t="shared" si="1"/>
        <v>0</v>
      </c>
      <c r="P37" s="143" t="s">
        <v>460</v>
      </c>
    </row>
    <row r="38" spans="1:17" ht="45" hidden="1" customHeight="1">
      <c r="A38" s="153" t="s">
        <v>136</v>
      </c>
      <c r="B38" s="39">
        <v>0</v>
      </c>
      <c r="C38" s="141" t="s">
        <v>123</v>
      </c>
      <c r="D38" s="141" t="s">
        <v>10</v>
      </c>
      <c r="E38" s="141" t="s">
        <v>44</v>
      </c>
      <c r="F38" s="141" t="s">
        <v>38</v>
      </c>
      <c r="G38" s="141"/>
      <c r="H38" s="29">
        <v>3</v>
      </c>
      <c r="I38" s="145">
        <v>0</v>
      </c>
      <c r="J38" s="145">
        <v>1</v>
      </c>
      <c r="K38" s="145">
        <v>0</v>
      </c>
      <c r="L38" s="145">
        <v>0</v>
      </c>
      <c r="M38" s="145">
        <v>1</v>
      </c>
      <c r="N38" s="145">
        <v>0</v>
      </c>
      <c r="O38" s="142">
        <f t="shared" si="1"/>
        <v>0.7142857142857143</v>
      </c>
      <c r="P38" s="143" t="s">
        <v>461</v>
      </c>
    </row>
    <row r="39" spans="1:17" ht="45" customHeight="1">
      <c r="A39" s="153" t="s">
        <v>205</v>
      </c>
      <c r="B39" s="39">
        <v>0</v>
      </c>
      <c r="C39" s="141" t="s">
        <v>174</v>
      </c>
      <c r="D39" s="141" t="s">
        <v>6</v>
      </c>
      <c r="E39" s="141"/>
      <c r="F39" s="141"/>
      <c r="G39" s="141"/>
      <c r="H39" s="29">
        <v>0</v>
      </c>
      <c r="I39" s="145">
        <v>0</v>
      </c>
      <c r="J39" s="145">
        <v>0</v>
      </c>
      <c r="K39" s="145">
        <v>0</v>
      </c>
      <c r="L39" s="145">
        <v>0</v>
      </c>
      <c r="M39" s="145">
        <v>0</v>
      </c>
      <c r="N39" s="145">
        <v>0</v>
      </c>
      <c r="O39" s="142">
        <f t="shared" si="1"/>
        <v>0</v>
      </c>
      <c r="P39" s="143" t="s">
        <v>462</v>
      </c>
    </row>
    <row r="40" spans="1:17" ht="45" hidden="1" customHeight="1">
      <c r="A40" s="28" t="s">
        <v>158</v>
      </c>
      <c r="B40" s="39">
        <v>0</v>
      </c>
      <c r="C40" s="141" t="s">
        <v>150</v>
      </c>
      <c r="D40" s="141" t="s">
        <v>10</v>
      </c>
      <c r="E40" s="141" t="s">
        <v>48</v>
      </c>
      <c r="F40" s="141" t="s">
        <v>38</v>
      </c>
      <c r="G40" s="141"/>
      <c r="H40" s="29">
        <v>2</v>
      </c>
      <c r="I40" s="145" t="s">
        <v>118</v>
      </c>
      <c r="J40" s="145" t="s">
        <v>118</v>
      </c>
      <c r="K40" s="145">
        <v>2</v>
      </c>
      <c r="L40" s="145">
        <v>0</v>
      </c>
      <c r="M40" s="145">
        <v>0</v>
      </c>
      <c r="N40" s="145" t="s">
        <v>118</v>
      </c>
      <c r="O40" s="142">
        <f t="shared" si="1"/>
        <v>1</v>
      </c>
      <c r="P40" s="143" t="s">
        <v>463</v>
      </c>
      <c r="Q40" s="13" t="s">
        <v>259</v>
      </c>
    </row>
    <row r="41" spans="1:17" ht="45" hidden="1" customHeight="1">
      <c r="A41" s="153" t="s">
        <v>234</v>
      </c>
      <c r="B41" s="39">
        <v>0</v>
      </c>
      <c r="C41" s="141" t="s">
        <v>51</v>
      </c>
      <c r="D41" s="141" t="s">
        <v>18</v>
      </c>
      <c r="E41" s="141" t="s">
        <v>44</v>
      </c>
      <c r="F41" s="141" t="s">
        <v>40</v>
      </c>
      <c r="G41" s="141"/>
      <c r="H41" s="29">
        <v>4</v>
      </c>
      <c r="I41" s="145">
        <v>4</v>
      </c>
      <c r="J41" s="145">
        <v>1</v>
      </c>
      <c r="K41" s="145">
        <v>4</v>
      </c>
      <c r="L41" s="145">
        <v>1</v>
      </c>
      <c r="M41" s="145">
        <v>3</v>
      </c>
      <c r="N41" s="145">
        <v>3</v>
      </c>
      <c r="O41" s="142">
        <f t="shared" si="1"/>
        <v>2.8571428571428572</v>
      </c>
      <c r="P41" s="143" t="s">
        <v>392</v>
      </c>
      <c r="Q41" s="13" t="s">
        <v>259</v>
      </c>
    </row>
    <row r="42" spans="1:17" ht="45" hidden="1" customHeight="1">
      <c r="A42" s="153" t="s">
        <v>111</v>
      </c>
      <c r="B42" s="39">
        <v>0</v>
      </c>
      <c r="C42" s="141" t="s">
        <v>51</v>
      </c>
      <c r="D42" s="141" t="s">
        <v>26</v>
      </c>
      <c r="E42" s="141" t="s">
        <v>45</v>
      </c>
      <c r="F42" s="141" t="s">
        <v>37</v>
      </c>
      <c r="G42" s="141"/>
      <c r="H42" s="29">
        <v>0</v>
      </c>
      <c r="I42" s="145">
        <v>0</v>
      </c>
      <c r="J42" s="145">
        <v>0</v>
      </c>
      <c r="K42" s="145">
        <v>0</v>
      </c>
      <c r="L42" s="145">
        <v>0</v>
      </c>
      <c r="M42" s="145">
        <v>0</v>
      </c>
      <c r="N42" s="145">
        <v>0</v>
      </c>
      <c r="O42" s="142">
        <f t="shared" si="1"/>
        <v>0</v>
      </c>
      <c r="P42" s="143" t="s">
        <v>464</v>
      </c>
    </row>
    <row r="43" spans="1:17" ht="45" hidden="1" customHeight="1">
      <c r="A43" s="153" t="s">
        <v>139</v>
      </c>
      <c r="B43" s="39">
        <v>0</v>
      </c>
      <c r="C43" s="141" t="s">
        <v>150</v>
      </c>
      <c r="D43" s="141" t="s">
        <v>26</v>
      </c>
      <c r="E43" s="141" t="s">
        <v>48</v>
      </c>
      <c r="F43" s="141"/>
      <c r="G43" s="141"/>
      <c r="H43" s="139">
        <v>2</v>
      </c>
      <c r="I43" s="139">
        <v>0</v>
      </c>
      <c r="J43" s="139">
        <v>0</v>
      </c>
      <c r="K43" s="139">
        <v>0</v>
      </c>
      <c r="L43" s="139">
        <v>0</v>
      </c>
      <c r="M43" s="139">
        <v>1</v>
      </c>
      <c r="N43" s="139">
        <v>0</v>
      </c>
      <c r="O43" s="142">
        <f t="shared" si="1"/>
        <v>0.42857142857142855</v>
      </c>
      <c r="P43" s="138" t="s">
        <v>465</v>
      </c>
    </row>
    <row r="44" spans="1:17" ht="45" hidden="1" customHeight="1">
      <c r="A44" s="153" t="s">
        <v>152</v>
      </c>
      <c r="B44" s="39">
        <v>5</v>
      </c>
      <c r="C44" s="141" t="s">
        <v>51</v>
      </c>
      <c r="D44" s="141" t="s">
        <v>14</v>
      </c>
      <c r="E44" s="141" t="s">
        <v>45</v>
      </c>
      <c r="F44" s="141" t="s">
        <v>42</v>
      </c>
      <c r="G44" s="141"/>
      <c r="H44" s="31">
        <v>3</v>
      </c>
      <c r="I44" s="146">
        <v>5</v>
      </c>
      <c r="J44" s="146">
        <v>5</v>
      </c>
      <c r="K44" s="146">
        <v>4</v>
      </c>
      <c r="L44" s="146">
        <v>2</v>
      </c>
      <c r="M44" s="146">
        <v>1</v>
      </c>
      <c r="N44" s="146" t="s">
        <v>118</v>
      </c>
      <c r="O44" s="142">
        <f t="shared" si="1"/>
        <v>3.3333333333333335</v>
      </c>
      <c r="P44" s="144" t="s">
        <v>424</v>
      </c>
    </row>
    <row r="45" spans="1:17" ht="45" hidden="1" customHeight="1">
      <c r="A45" s="153" t="s">
        <v>172</v>
      </c>
      <c r="B45" s="39">
        <v>3</v>
      </c>
      <c r="C45" s="141" t="s">
        <v>51</v>
      </c>
      <c r="D45" s="141"/>
      <c r="E45" s="141"/>
      <c r="F45" s="141"/>
      <c r="G45" s="141"/>
      <c r="H45" s="30">
        <v>0</v>
      </c>
      <c r="I45" s="139">
        <v>0</v>
      </c>
      <c r="J45" s="139">
        <v>0</v>
      </c>
      <c r="K45" s="139">
        <v>0</v>
      </c>
      <c r="L45" s="139">
        <v>0</v>
      </c>
      <c r="M45" s="139">
        <v>0</v>
      </c>
      <c r="N45" s="139">
        <v>0</v>
      </c>
      <c r="O45" s="142">
        <f t="shared" si="1"/>
        <v>0</v>
      </c>
      <c r="P45" s="138" t="s">
        <v>370</v>
      </c>
    </row>
    <row r="46" spans="1:17" ht="45" hidden="1" customHeight="1">
      <c r="A46" s="153" t="s">
        <v>106</v>
      </c>
      <c r="B46" s="39">
        <v>0</v>
      </c>
      <c r="C46" s="141" t="s">
        <v>51</v>
      </c>
      <c r="D46" s="141"/>
      <c r="E46" s="141"/>
      <c r="F46" s="141"/>
      <c r="G46" s="141"/>
      <c r="H46" s="30">
        <v>0</v>
      </c>
      <c r="I46" s="139" t="s">
        <v>101</v>
      </c>
      <c r="J46" s="139" t="s">
        <v>101</v>
      </c>
      <c r="K46" s="139" t="s">
        <v>104</v>
      </c>
      <c r="L46" s="139" t="s">
        <v>101</v>
      </c>
      <c r="M46" s="139" t="s">
        <v>101</v>
      </c>
      <c r="N46" s="139" t="s">
        <v>96</v>
      </c>
      <c r="O46" s="142">
        <f t="shared" si="1"/>
        <v>0</v>
      </c>
      <c r="P46" s="138" t="s">
        <v>466</v>
      </c>
    </row>
    <row r="47" spans="1:17" ht="45" hidden="1" customHeight="1">
      <c r="A47" s="153" t="s">
        <v>168</v>
      </c>
      <c r="B47" s="39">
        <v>5</v>
      </c>
      <c r="C47" s="141" t="s">
        <v>123</v>
      </c>
      <c r="D47" s="141" t="s">
        <v>10</v>
      </c>
      <c r="E47" s="141" t="s">
        <v>44</v>
      </c>
      <c r="F47" s="141" t="s">
        <v>38</v>
      </c>
      <c r="G47" s="141"/>
      <c r="H47" s="30">
        <v>3</v>
      </c>
      <c r="I47" s="139">
        <v>0</v>
      </c>
      <c r="J47" s="139" t="s">
        <v>118</v>
      </c>
      <c r="K47" s="139">
        <v>3</v>
      </c>
      <c r="L47" s="139" t="s">
        <v>118</v>
      </c>
      <c r="M47" s="139">
        <v>3</v>
      </c>
      <c r="N47" s="139" t="s">
        <v>118</v>
      </c>
      <c r="O47" s="142">
        <f t="shared" si="1"/>
        <v>2.25</v>
      </c>
      <c r="P47" s="138" t="s">
        <v>426</v>
      </c>
    </row>
    <row r="48" spans="1:17" ht="45" hidden="1" customHeight="1">
      <c r="A48" s="153" t="s">
        <v>167</v>
      </c>
      <c r="B48" s="39">
        <v>5</v>
      </c>
      <c r="C48" s="141" t="s">
        <v>123</v>
      </c>
      <c r="D48" s="141" t="s">
        <v>10</v>
      </c>
      <c r="E48" s="141" t="s">
        <v>44</v>
      </c>
      <c r="F48" s="141" t="s">
        <v>38</v>
      </c>
      <c r="G48" s="141"/>
      <c r="H48" s="30">
        <v>3</v>
      </c>
      <c r="I48" s="139">
        <v>0</v>
      </c>
      <c r="J48" s="139" t="s">
        <v>118</v>
      </c>
      <c r="K48" s="139">
        <v>3</v>
      </c>
      <c r="L48" s="139" t="s">
        <v>118</v>
      </c>
      <c r="M48" s="139">
        <v>3</v>
      </c>
      <c r="N48" s="139" t="s">
        <v>118</v>
      </c>
      <c r="O48" s="142">
        <f t="shared" si="1"/>
        <v>2.25</v>
      </c>
      <c r="P48" s="138" t="s">
        <v>302</v>
      </c>
      <c r="Q48" s="13" t="s">
        <v>268</v>
      </c>
    </row>
    <row r="49" spans="1:16" ht="45" hidden="1" customHeight="1">
      <c r="A49" s="153" t="s">
        <v>149</v>
      </c>
      <c r="B49" s="39">
        <v>0</v>
      </c>
      <c r="C49" s="141" t="s">
        <v>51</v>
      </c>
      <c r="D49" s="141" t="s">
        <v>26</v>
      </c>
      <c r="E49" s="141" t="s">
        <v>44</v>
      </c>
      <c r="F49" s="141" t="s">
        <v>37</v>
      </c>
      <c r="G49" s="141"/>
      <c r="H49" s="29">
        <v>5</v>
      </c>
      <c r="I49" s="145">
        <v>5</v>
      </c>
      <c r="J49" s="145">
        <v>5</v>
      </c>
      <c r="K49" s="145">
        <v>5</v>
      </c>
      <c r="L49" s="145">
        <v>5</v>
      </c>
      <c r="M49" s="145">
        <v>5</v>
      </c>
      <c r="N49" s="145">
        <v>5</v>
      </c>
      <c r="O49" s="142">
        <f t="shared" si="1"/>
        <v>5</v>
      </c>
      <c r="P49" s="143" t="s">
        <v>427</v>
      </c>
    </row>
    <row r="50" spans="1:16" ht="45" hidden="1" customHeight="1">
      <c r="A50" s="153" t="s">
        <v>129</v>
      </c>
      <c r="B50" s="39">
        <v>0</v>
      </c>
      <c r="C50" s="141" t="s">
        <v>123</v>
      </c>
      <c r="D50" s="141" t="s">
        <v>26</v>
      </c>
      <c r="E50" s="141" t="s">
        <v>47</v>
      </c>
      <c r="F50" s="141" t="s">
        <v>41</v>
      </c>
      <c r="G50" s="141"/>
      <c r="H50" s="30">
        <v>0</v>
      </c>
      <c r="I50" s="139">
        <v>0</v>
      </c>
      <c r="J50" s="139">
        <v>0</v>
      </c>
      <c r="K50" s="139">
        <v>0</v>
      </c>
      <c r="L50" s="139">
        <v>0</v>
      </c>
      <c r="M50" s="139">
        <v>0</v>
      </c>
      <c r="N50" s="139">
        <v>0</v>
      </c>
      <c r="O50" s="142">
        <f t="shared" si="1"/>
        <v>0</v>
      </c>
      <c r="P50" s="138" t="s">
        <v>428</v>
      </c>
    </row>
    <row r="51" spans="1:16" ht="45" hidden="1" customHeight="1">
      <c r="A51" s="153" t="s">
        <v>134</v>
      </c>
      <c r="B51" s="39">
        <v>0</v>
      </c>
      <c r="C51" s="141" t="s">
        <v>123</v>
      </c>
      <c r="D51" s="141" t="s">
        <v>18</v>
      </c>
      <c r="E51" s="141" t="s">
        <v>44</v>
      </c>
      <c r="F51" s="141" t="s">
        <v>38</v>
      </c>
      <c r="G51" s="141"/>
      <c r="H51" s="30">
        <v>0</v>
      </c>
      <c r="I51" s="139">
        <v>0</v>
      </c>
      <c r="J51" s="139">
        <v>0</v>
      </c>
      <c r="K51" s="139">
        <v>0</v>
      </c>
      <c r="L51" s="139">
        <v>0</v>
      </c>
      <c r="M51" s="139">
        <v>0</v>
      </c>
      <c r="N51" s="139">
        <v>0</v>
      </c>
      <c r="O51" s="142">
        <f t="shared" si="1"/>
        <v>0</v>
      </c>
      <c r="P51" s="138" t="s">
        <v>340</v>
      </c>
    </row>
    <row r="52" spans="1:16" ht="45" customHeight="1">
      <c r="A52" s="152" t="s">
        <v>281</v>
      </c>
      <c r="B52" s="39">
        <v>0</v>
      </c>
      <c r="C52" s="21" t="s">
        <v>150</v>
      </c>
      <c r="D52" s="21" t="s">
        <v>6</v>
      </c>
      <c r="E52" s="21"/>
      <c r="F52" s="21" t="s">
        <v>38</v>
      </c>
      <c r="G52" s="21"/>
      <c r="H52" s="49">
        <v>0</v>
      </c>
      <c r="I52" s="52">
        <v>0</v>
      </c>
      <c r="J52" s="52">
        <v>0</v>
      </c>
      <c r="K52" s="52">
        <v>0</v>
      </c>
      <c r="L52" s="52">
        <v>0</v>
      </c>
      <c r="M52" s="52">
        <v>0</v>
      </c>
      <c r="N52" s="52">
        <v>0</v>
      </c>
      <c r="O52" s="142">
        <f t="shared" si="1"/>
        <v>0</v>
      </c>
      <c r="P52" s="24" t="s">
        <v>341</v>
      </c>
    </row>
    <row r="53" spans="1:16" ht="45" customHeight="1">
      <c r="A53" s="153" t="s">
        <v>429</v>
      </c>
      <c r="B53" s="39">
        <v>0</v>
      </c>
      <c r="C53" s="141" t="s">
        <v>51</v>
      </c>
      <c r="D53" s="141" t="s">
        <v>6</v>
      </c>
      <c r="E53" s="141"/>
      <c r="F53" s="141"/>
      <c r="G53" s="141"/>
      <c r="H53" s="29">
        <v>0</v>
      </c>
      <c r="I53" s="145">
        <v>0</v>
      </c>
      <c r="J53" s="145">
        <v>0</v>
      </c>
      <c r="K53" s="145">
        <v>0</v>
      </c>
      <c r="L53" s="145">
        <v>0</v>
      </c>
      <c r="M53" s="145">
        <v>0</v>
      </c>
      <c r="N53" s="145">
        <v>0</v>
      </c>
      <c r="O53" s="142">
        <f t="shared" si="1"/>
        <v>0</v>
      </c>
      <c r="P53" s="155" t="s">
        <v>467</v>
      </c>
    </row>
    <row r="54" spans="1:16" ht="45" customHeight="1">
      <c r="A54" s="153" t="s">
        <v>221</v>
      </c>
      <c r="B54" s="39">
        <v>0</v>
      </c>
      <c r="C54" s="141" t="s">
        <v>267</v>
      </c>
      <c r="D54" s="141" t="s">
        <v>6</v>
      </c>
      <c r="E54" s="141"/>
      <c r="F54" s="141"/>
      <c r="G54" s="141"/>
      <c r="H54" s="29">
        <v>0</v>
      </c>
      <c r="I54" s="145">
        <v>0</v>
      </c>
      <c r="J54" s="145">
        <v>0</v>
      </c>
      <c r="K54" s="145">
        <v>0</v>
      </c>
      <c r="L54" s="145">
        <v>0</v>
      </c>
      <c r="M54" s="145">
        <v>0</v>
      </c>
      <c r="N54" s="145">
        <v>0</v>
      </c>
      <c r="O54" s="142">
        <f t="shared" si="1"/>
        <v>0</v>
      </c>
      <c r="P54" s="143" t="s">
        <v>222</v>
      </c>
    </row>
    <row r="55" spans="1:16" ht="45" hidden="1" customHeight="1">
      <c r="A55" s="153" t="s">
        <v>468</v>
      </c>
      <c r="B55" s="39">
        <v>0</v>
      </c>
      <c r="C55" s="141" t="s">
        <v>150</v>
      </c>
      <c r="D55" s="141" t="s">
        <v>10</v>
      </c>
      <c r="E55" s="141" t="s">
        <v>44</v>
      </c>
      <c r="F55" s="141" t="s">
        <v>38</v>
      </c>
      <c r="G55" s="141"/>
      <c r="H55" s="29">
        <v>0</v>
      </c>
      <c r="I55" s="145">
        <v>3</v>
      </c>
      <c r="J55" s="145">
        <v>0</v>
      </c>
      <c r="K55" s="145">
        <v>3</v>
      </c>
      <c r="L55" s="145">
        <v>0</v>
      </c>
      <c r="M55" s="145">
        <v>0</v>
      </c>
      <c r="N55" s="145" t="s">
        <v>118</v>
      </c>
      <c r="O55" s="142">
        <f t="shared" si="1"/>
        <v>1</v>
      </c>
      <c r="P55" s="143" t="s">
        <v>469</v>
      </c>
    </row>
    <row r="56" spans="1:16" ht="45" hidden="1" customHeight="1">
      <c r="A56" s="153" t="s">
        <v>130</v>
      </c>
      <c r="B56" s="39">
        <v>0</v>
      </c>
      <c r="C56" s="141" t="s">
        <v>123</v>
      </c>
      <c r="D56" s="141" t="s">
        <v>26</v>
      </c>
      <c r="E56" s="141" t="s">
        <v>44</v>
      </c>
      <c r="F56" s="141" t="s">
        <v>40</v>
      </c>
      <c r="G56" s="141"/>
      <c r="H56" s="29">
        <v>1</v>
      </c>
      <c r="I56" s="145">
        <v>1</v>
      </c>
      <c r="J56" s="145">
        <v>1</v>
      </c>
      <c r="K56" s="145">
        <v>1</v>
      </c>
      <c r="L56" s="145">
        <v>1</v>
      </c>
      <c r="M56" s="145">
        <v>0</v>
      </c>
      <c r="N56" s="145">
        <v>0</v>
      </c>
      <c r="O56" s="142">
        <f t="shared" si="1"/>
        <v>0.7142857142857143</v>
      </c>
      <c r="P56" s="143" t="s">
        <v>432</v>
      </c>
    </row>
    <row r="57" spans="1:16" ht="45" hidden="1" customHeight="1">
      <c r="A57" s="153" t="s">
        <v>433</v>
      </c>
      <c r="B57" s="39">
        <v>0</v>
      </c>
      <c r="C57" s="141" t="s">
        <v>150</v>
      </c>
      <c r="D57" s="141" t="s">
        <v>26</v>
      </c>
      <c r="E57" s="141" t="s">
        <v>48</v>
      </c>
      <c r="F57" s="141"/>
      <c r="G57" s="141"/>
      <c r="H57" s="29">
        <v>0</v>
      </c>
      <c r="I57" s="145">
        <v>0</v>
      </c>
      <c r="J57" s="145">
        <v>0</v>
      </c>
      <c r="K57" s="145">
        <v>0</v>
      </c>
      <c r="L57" s="145">
        <v>0</v>
      </c>
      <c r="M57" s="145">
        <v>0</v>
      </c>
      <c r="N57" s="145">
        <v>0</v>
      </c>
      <c r="O57" s="142">
        <f t="shared" si="1"/>
        <v>0</v>
      </c>
      <c r="P57" s="143" t="s">
        <v>470</v>
      </c>
    </row>
    <row r="58" spans="1:16" ht="45" customHeight="1">
      <c r="A58" s="153" t="s">
        <v>173</v>
      </c>
      <c r="B58" s="39">
        <v>0</v>
      </c>
      <c r="C58" s="141" t="s">
        <v>174</v>
      </c>
      <c r="D58" s="141" t="s">
        <v>6</v>
      </c>
      <c r="E58" s="141"/>
      <c r="F58" s="141"/>
      <c r="G58" s="141"/>
      <c r="H58" s="29" t="s">
        <v>118</v>
      </c>
      <c r="I58" s="145" t="s">
        <v>118</v>
      </c>
      <c r="J58" s="145" t="s">
        <v>118</v>
      </c>
      <c r="K58" s="145" t="s">
        <v>118</v>
      </c>
      <c r="L58" s="145" t="s">
        <v>118</v>
      </c>
      <c r="M58" s="145" t="s">
        <v>118</v>
      </c>
      <c r="N58" s="145" t="s">
        <v>118</v>
      </c>
      <c r="O58" s="142" t="e">
        <f t="shared" si="1"/>
        <v>#DIV/0!</v>
      </c>
      <c r="P58" s="143" t="s">
        <v>471</v>
      </c>
    </row>
    <row r="59" spans="1:16" ht="45" hidden="1" customHeight="1">
      <c r="A59" s="153" t="s">
        <v>176</v>
      </c>
      <c r="B59" s="39">
        <v>0</v>
      </c>
      <c r="C59" s="141" t="s">
        <v>174</v>
      </c>
      <c r="D59" s="141"/>
      <c r="E59" s="141"/>
      <c r="F59" s="141"/>
      <c r="G59" s="141"/>
      <c r="H59" s="29" t="s">
        <v>118</v>
      </c>
      <c r="I59" s="29" t="s">
        <v>118</v>
      </c>
      <c r="J59" s="29" t="s">
        <v>118</v>
      </c>
      <c r="K59" s="29" t="s">
        <v>118</v>
      </c>
      <c r="L59" s="29" t="s">
        <v>118</v>
      </c>
      <c r="M59" s="29" t="s">
        <v>118</v>
      </c>
      <c r="N59" s="29" t="s">
        <v>118</v>
      </c>
      <c r="O59" s="142" t="e">
        <f t="shared" si="1"/>
        <v>#DIV/0!</v>
      </c>
      <c r="P59" s="143" t="s">
        <v>434</v>
      </c>
    </row>
    <row r="60" spans="1:16" ht="45" customHeight="1">
      <c r="A60" s="153" t="s">
        <v>246</v>
      </c>
      <c r="B60" s="39">
        <v>0</v>
      </c>
      <c r="C60" s="141" t="s">
        <v>150</v>
      </c>
      <c r="D60" s="141" t="s">
        <v>6</v>
      </c>
      <c r="E60" s="141"/>
      <c r="F60" s="141"/>
      <c r="G60" s="42"/>
      <c r="H60" s="139" t="s">
        <v>118</v>
      </c>
      <c r="I60" s="139" t="s">
        <v>118</v>
      </c>
      <c r="J60" s="139" t="s">
        <v>118</v>
      </c>
      <c r="K60" s="139" t="s">
        <v>118</v>
      </c>
      <c r="L60" s="139" t="s">
        <v>118</v>
      </c>
      <c r="M60" s="139" t="s">
        <v>118</v>
      </c>
      <c r="N60" s="139" t="s">
        <v>118</v>
      </c>
      <c r="O60" s="142" t="e">
        <f t="shared" si="1"/>
        <v>#DIV/0!</v>
      </c>
      <c r="P60" s="138" t="s">
        <v>472</v>
      </c>
    </row>
    <row r="61" spans="1:16" ht="45" hidden="1" customHeight="1">
      <c r="A61" s="153" t="s">
        <v>184</v>
      </c>
      <c r="B61" s="39">
        <v>0</v>
      </c>
      <c r="C61" s="141" t="s">
        <v>174</v>
      </c>
      <c r="D61" s="141" t="s">
        <v>14</v>
      </c>
      <c r="E61" s="141"/>
      <c r="F61" s="141"/>
      <c r="G61" s="42"/>
      <c r="H61" s="139">
        <v>0</v>
      </c>
      <c r="I61" s="139">
        <v>0</v>
      </c>
      <c r="J61" s="139">
        <v>0</v>
      </c>
      <c r="K61" s="139">
        <v>0</v>
      </c>
      <c r="L61" s="139">
        <v>0</v>
      </c>
      <c r="M61" s="139">
        <v>0</v>
      </c>
      <c r="N61" s="139">
        <v>0</v>
      </c>
      <c r="O61" s="142">
        <f t="shared" si="1"/>
        <v>0</v>
      </c>
      <c r="P61" s="138" t="s">
        <v>473</v>
      </c>
    </row>
    <row r="62" spans="1:16" ht="45" hidden="1" customHeight="1">
      <c r="A62" s="28" t="s">
        <v>182</v>
      </c>
      <c r="B62" s="39">
        <v>0</v>
      </c>
      <c r="C62" s="141" t="s">
        <v>174</v>
      </c>
      <c r="D62" s="35" t="s">
        <v>14</v>
      </c>
      <c r="E62" s="35"/>
      <c r="F62" s="35"/>
      <c r="G62" s="43"/>
      <c r="H62" s="139">
        <v>0</v>
      </c>
      <c r="I62" s="139">
        <v>0</v>
      </c>
      <c r="J62" s="139">
        <v>0</v>
      </c>
      <c r="K62" s="139">
        <v>0</v>
      </c>
      <c r="L62" s="139">
        <v>0</v>
      </c>
      <c r="M62" s="139">
        <v>0</v>
      </c>
      <c r="N62" s="139">
        <v>0</v>
      </c>
      <c r="O62" s="142">
        <f t="shared" si="1"/>
        <v>0</v>
      </c>
      <c r="P62" s="138" t="s">
        <v>474</v>
      </c>
    </row>
    <row r="63" spans="1:16" ht="45" hidden="1" customHeight="1">
      <c r="A63" s="140" t="s">
        <v>122</v>
      </c>
      <c r="B63" s="39">
        <v>0</v>
      </c>
      <c r="C63" s="141" t="s">
        <v>123</v>
      </c>
      <c r="D63" s="141" t="s">
        <v>14</v>
      </c>
      <c r="E63" s="141" t="s">
        <v>44</v>
      </c>
      <c r="F63" s="141" t="s">
        <v>40</v>
      </c>
      <c r="G63" s="42"/>
      <c r="H63" s="139">
        <v>3</v>
      </c>
      <c r="I63" s="139">
        <v>0</v>
      </c>
      <c r="J63" s="139">
        <v>4</v>
      </c>
      <c r="K63" s="139">
        <v>1</v>
      </c>
      <c r="L63" s="139" t="s">
        <v>118</v>
      </c>
      <c r="M63" s="139">
        <v>2</v>
      </c>
      <c r="N63" s="139" t="s">
        <v>118</v>
      </c>
      <c r="O63" s="142">
        <f t="shared" si="1"/>
        <v>2</v>
      </c>
      <c r="P63" s="138" t="s">
        <v>308</v>
      </c>
    </row>
    <row r="64" spans="1:16" ht="45" customHeight="1">
      <c r="A64" s="140" t="s">
        <v>223</v>
      </c>
      <c r="B64" s="39">
        <v>0</v>
      </c>
      <c r="C64" s="141" t="s">
        <v>267</v>
      </c>
      <c r="D64" s="141" t="s">
        <v>6</v>
      </c>
      <c r="E64" s="141"/>
      <c r="F64" s="141"/>
      <c r="G64" s="42"/>
      <c r="H64" s="139">
        <v>0</v>
      </c>
      <c r="I64" s="139">
        <v>0</v>
      </c>
      <c r="J64" s="139">
        <v>0</v>
      </c>
      <c r="K64" s="139">
        <v>0</v>
      </c>
      <c r="L64" s="139">
        <v>0</v>
      </c>
      <c r="M64" s="139">
        <v>0</v>
      </c>
      <c r="N64" s="139">
        <v>0</v>
      </c>
      <c r="O64" s="142">
        <f t="shared" si="1"/>
        <v>0</v>
      </c>
      <c r="P64" s="138" t="s">
        <v>475</v>
      </c>
    </row>
    <row r="65" spans="1:16" ht="45" hidden="1" customHeight="1">
      <c r="A65" s="140" t="s">
        <v>403</v>
      </c>
      <c r="B65" s="39">
        <v>3</v>
      </c>
      <c r="C65" s="141" t="s">
        <v>409</v>
      </c>
      <c r="D65" s="141" t="s">
        <v>14</v>
      </c>
      <c r="E65" s="141" t="s">
        <v>44</v>
      </c>
      <c r="F65" s="141" t="s">
        <v>39</v>
      </c>
      <c r="G65" s="42" t="s">
        <v>261</v>
      </c>
      <c r="H65" s="139">
        <v>0</v>
      </c>
      <c r="I65" s="139">
        <v>0</v>
      </c>
      <c r="J65" s="139">
        <v>0</v>
      </c>
      <c r="K65" s="139">
        <v>0</v>
      </c>
      <c r="L65" s="139">
        <v>0</v>
      </c>
      <c r="M65" s="139">
        <v>0</v>
      </c>
      <c r="N65" s="139">
        <v>2</v>
      </c>
      <c r="O65" s="142">
        <f t="shared" si="1"/>
        <v>0.2857142857142857</v>
      </c>
      <c r="P65" s="138" t="s">
        <v>476</v>
      </c>
    </row>
    <row r="66" spans="1:16" ht="45" hidden="1" customHeight="1">
      <c r="A66" s="140" t="s">
        <v>138</v>
      </c>
      <c r="B66" s="39">
        <v>0</v>
      </c>
      <c r="C66" s="53" t="s">
        <v>150</v>
      </c>
      <c r="D66" s="141" t="s">
        <v>26</v>
      </c>
      <c r="E66" s="141" t="s">
        <v>48</v>
      </c>
      <c r="F66" s="141"/>
      <c r="G66" s="141"/>
      <c r="H66" s="50">
        <v>1</v>
      </c>
      <c r="I66" s="50">
        <v>0</v>
      </c>
      <c r="J66" s="50">
        <v>0</v>
      </c>
      <c r="K66" s="50">
        <v>0</v>
      </c>
      <c r="L66" s="50">
        <v>0</v>
      </c>
      <c r="M66" s="50">
        <v>1</v>
      </c>
      <c r="N66" s="50">
        <v>0</v>
      </c>
      <c r="O66" s="142">
        <f t="shared" si="1"/>
        <v>0.2857142857142857</v>
      </c>
      <c r="P66" s="148" t="s">
        <v>347</v>
      </c>
    </row>
    <row r="67" spans="1:16" ht="45" customHeight="1">
      <c r="A67" s="140" t="s">
        <v>217</v>
      </c>
      <c r="B67" s="39">
        <v>0</v>
      </c>
      <c r="C67" s="141" t="s">
        <v>123</v>
      </c>
      <c r="D67" s="141" t="s">
        <v>6</v>
      </c>
      <c r="E67" s="141"/>
      <c r="F67" s="141"/>
      <c r="G67" s="141"/>
      <c r="H67" s="139">
        <v>0</v>
      </c>
      <c r="I67" s="139">
        <v>0</v>
      </c>
      <c r="J67" s="139">
        <v>0</v>
      </c>
      <c r="K67" s="139">
        <v>0</v>
      </c>
      <c r="L67" s="139">
        <v>0</v>
      </c>
      <c r="M67" s="139">
        <v>0</v>
      </c>
      <c r="N67" s="139">
        <v>0</v>
      </c>
      <c r="O67" s="142">
        <f t="shared" ref="O67:O98" si="2">AVERAGE(H67:N67)</f>
        <v>0</v>
      </c>
      <c r="P67" s="138" t="s">
        <v>477</v>
      </c>
    </row>
    <row r="68" spans="1:16" ht="45" customHeight="1">
      <c r="A68" s="140" t="s">
        <v>171</v>
      </c>
      <c r="B68" s="39">
        <v>0</v>
      </c>
      <c r="C68" s="141" t="s">
        <v>150</v>
      </c>
      <c r="D68" s="141" t="s">
        <v>6</v>
      </c>
      <c r="E68" s="141"/>
      <c r="F68" s="141" t="s">
        <v>41</v>
      </c>
      <c r="G68" s="141"/>
      <c r="H68" s="139">
        <v>0</v>
      </c>
      <c r="I68" s="139">
        <v>0</v>
      </c>
      <c r="J68" s="139">
        <v>0</v>
      </c>
      <c r="K68" s="139">
        <v>0</v>
      </c>
      <c r="L68" s="139">
        <v>0</v>
      </c>
      <c r="M68" s="139">
        <v>0</v>
      </c>
      <c r="N68" s="139">
        <v>0</v>
      </c>
      <c r="O68" s="142">
        <f t="shared" si="2"/>
        <v>0</v>
      </c>
      <c r="P68" s="138" t="s">
        <v>478</v>
      </c>
    </row>
    <row r="69" spans="1:16" ht="45" customHeight="1">
      <c r="A69" s="140" t="s">
        <v>437</v>
      </c>
      <c r="B69" s="39">
        <v>0</v>
      </c>
      <c r="C69" s="21" t="s">
        <v>123</v>
      </c>
      <c r="D69" s="21" t="s">
        <v>6</v>
      </c>
      <c r="E69" s="21"/>
      <c r="F69" s="21"/>
      <c r="G69" s="21"/>
      <c r="H69" s="22">
        <v>0</v>
      </c>
      <c r="I69" s="22">
        <v>0</v>
      </c>
      <c r="J69" s="22">
        <v>0</v>
      </c>
      <c r="K69" s="22">
        <v>0</v>
      </c>
      <c r="L69" s="22">
        <v>0</v>
      </c>
      <c r="M69" s="22">
        <v>0</v>
      </c>
      <c r="N69" s="22">
        <v>0</v>
      </c>
      <c r="O69" s="142">
        <f t="shared" si="2"/>
        <v>0</v>
      </c>
      <c r="P69" s="24" t="s">
        <v>314</v>
      </c>
    </row>
    <row r="70" spans="1:16" ht="45" customHeight="1">
      <c r="A70" s="140" t="s">
        <v>315</v>
      </c>
      <c r="B70" s="39">
        <v>0</v>
      </c>
      <c r="C70" s="141" t="s">
        <v>51</v>
      </c>
      <c r="D70" s="21" t="s">
        <v>6</v>
      </c>
      <c r="E70" s="21"/>
      <c r="F70" s="21"/>
      <c r="G70" s="21"/>
      <c r="H70" s="22"/>
      <c r="I70" s="22"/>
      <c r="J70" s="22"/>
      <c r="K70" s="22"/>
      <c r="L70" s="22"/>
      <c r="M70" s="22"/>
      <c r="N70" s="22"/>
      <c r="O70" s="142" t="e">
        <f t="shared" si="2"/>
        <v>#DIV/0!</v>
      </c>
      <c r="P70" s="24" t="s">
        <v>438</v>
      </c>
    </row>
    <row r="71" spans="1:16" ht="45" hidden="1" customHeight="1">
      <c r="A71" s="153" t="s">
        <v>439</v>
      </c>
      <c r="B71" s="39">
        <v>5</v>
      </c>
      <c r="C71" s="141" t="s">
        <v>123</v>
      </c>
      <c r="D71" s="141" t="s">
        <v>14</v>
      </c>
      <c r="E71" s="141"/>
      <c r="F71" s="141"/>
      <c r="G71" s="141"/>
      <c r="H71" s="142">
        <f>AVERAGE(A71:G71)</f>
        <v>5</v>
      </c>
      <c r="I71" s="138" t="s">
        <v>302</v>
      </c>
      <c r="J71" s="22"/>
      <c r="K71" s="22"/>
      <c r="L71" s="22"/>
      <c r="M71" s="22"/>
      <c r="N71" s="22"/>
      <c r="O71" s="142">
        <f t="shared" si="2"/>
        <v>5</v>
      </c>
      <c r="P71" s="24" t="s">
        <v>479</v>
      </c>
    </row>
    <row r="72" spans="1:16" ht="45" hidden="1" customHeight="1">
      <c r="A72" s="140" t="s">
        <v>441</v>
      </c>
      <c r="B72" s="39">
        <v>0</v>
      </c>
      <c r="C72" s="21" t="s">
        <v>150</v>
      </c>
      <c r="D72" s="21"/>
      <c r="E72" s="21"/>
      <c r="F72" s="21"/>
      <c r="G72" s="21"/>
      <c r="H72" s="22">
        <v>0</v>
      </c>
      <c r="I72" s="22">
        <v>0</v>
      </c>
      <c r="J72" s="22">
        <v>0</v>
      </c>
      <c r="K72" s="22">
        <v>0</v>
      </c>
      <c r="L72" s="22">
        <v>0</v>
      </c>
      <c r="M72" s="22">
        <v>0</v>
      </c>
      <c r="N72" s="22">
        <v>0</v>
      </c>
      <c r="O72" s="142">
        <f t="shared" si="2"/>
        <v>0</v>
      </c>
      <c r="P72" s="24" t="s">
        <v>442</v>
      </c>
    </row>
    <row r="73" spans="1:16" ht="45" hidden="1" customHeight="1">
      <c r="A73" s="140"/>
      <c r="B73" s="39">
        <v>0</v>
      </c>
      <c r="C73" s="21"/>
      <c r="D73" s="21"/>
      <c r="E73" s="21"/>
      <c r="F73" s="21"/>
      <c r="G73" s="21"/>
      <c r="H73" s="22"/>
      <c r="I73" s="22"/>
      <c r="J73" s="22"/>
      <c r="K73" s="22"/>
      <c r="L73" s="22"/>
      <c r="M73" s="22"/>
      <c r="N73" s="22"/>
      <c r="O73" s="142" t="e">
        <f t="shared" si="2"/>
        <v>#DIV/0!</v>
      </c>
      <c r="P73" s="24"/>
    </row>
    <row r="74" spans="1:16" ht="45" hidden="1" customHeight="1">
      <c r="A74" s="140"/>
      <c r="B74" s="39">
        <v>0</v>
      </c>
      <c r="C74" s="21"/>
      <c r="D74" s="21"/>
      <c r="E74" s="21"/>
      <c r="F74" s="21"/>
      <c r="G74" s="21"/>
      <c r="H74" s="22"/>
      <c r="I74" s="22"/>
      <c r="J74" s="22"/>
      <c r="K74" s="22"/>
      <c r="L74" s="22"/>
      <c r="M74" s="22"/>
      <c r="N74" s="22"/>
      <c r="O74" s="142" t="e">
        <f t="shared" si="2"/>
        <v>#DIV/0!</v>
      </c>
      <c r="P74" s="24"/>
    </row>
    <row r="75" spans="1:16" ht="45" hidden="1" customHeight="1">
      <c r="A75" s="140"/>
      <c r="B75" s="39">
        <v>0</v>
      </c>
      <c r="C75" s="21"/>
      <c r="D75" s="21"/>
      <c r="E75" s="21"/>
      <c r="F75" s="21"/>
      <c r="G75" s="21"/>
      <c r="H75" s="22">
        <v>0</v>
      </c>
      <c r="I75" s="22">
        <v>0</v>
      </c>
      <c r="J75" s="22">
        <v>0</v>
      </c>
      <c r="K75" s="22">
        <v>0</v>
      </c>
      <c r="L75" s="22">
        <v>0</v>
      </c>
      <c r="M75" s="22">
        <v>0</v>
      </c>
      <c r="N75" s="22">
        <v>0</v>
      </c>
      <c r="O75" s="142">
        <f t="shared" si="2"/>
        <v>0</v>
      </c>
      <c r="P75" s="24"/>
    </row>
    <row r="76" spans="1:16" ht="45" hidden="1" customHeight="1">
      <c r="A76" s="140"/>
      <c r="B76" s="39">
        <v>0</v>
      </c>
      <c r="C76" s="21"/>
      <c r="D76" s="21"/>
      <c r="E76" s="21"/>
      <c r="F76" s="21"/>
      <c r="G76" s="21"/>
      <c r="H76" s="22"/>
      <c r="I76" s="22"/>
      <c r="J76" s="22"/>
      <c r="K76" s="22"/>
      <c r="L76" s="22"/>
      <c r="M76" s="22"/>
      <c r="N76" s="22"/>
      <c r="O76" s="142" t="e">
        <f t="shared" si="2"/>
        <v>#DIV/0!</v>
      </c>
      <c r="P76" s="24"/>
    </row>
    <row r="77" spans="1:16" ht="45" hidden="1" customHeight="1">
      <c r="A77" s="140"/>
      <c r="B77" s="39">
        <v>0</v>
      </c>
      <c r="C77" s="21"/>
      <c r="D77" s="21"/>
      <c r="E77" s="21"/>
      <c r="F77" s="21"/>
      <c r="G77" s="21"/>
      <c r="H77" s="22"/>
      <c r="I77" s="22"/>
      <c r="J77" s="22"/>
      <c r="K77" s="22"/>
      <c r="L77" s="22"/>
      <c r="M77" s="22"/>
      <c r="N77" s="22"/>
      <c r="O77" s="142" t="e">
        <f t="shared" si="2"/>
        <v>#DIV/0!</v>
      </c>
      <c r="P77" s="24"/>
    </row>
    <row r="78" spans="1:16" ht="45" hidden="1" customHeight="1">
      <c r="A78" s="140"/>
      <c r="B78" s="39">
        <v>0</v>
      </c>
      <c r="C78" s="21"/>
      <c r="D78" s="21"/>
      <c r="E78" s="21"/>
      <c r="F78" s="21"/>
      <c r="G78" s="21"/>
      <c r="H78" s="22">
        <v>0</v>
      </c>
      <c r="I78" s="22">
        <v>0</v>
      </c>
      <c r="J78" s="22">
        <v>0</v>
      </c>
      <c r="K78" s="22">
        <v>0</v>
      </c>
      <c r="L78" s="22">
        <v>0</v>
      </c>
      <c r="M78" s="22">
        <v>0</v>
      </c>
      <c r="N78" s="22">
        <v>0</v>
      </c>
      <c r="O78" s="142">
        <f t="shared" si="2"/>
        <v>0</v>
      </c>
      <c r="P78" s="24"/>
    </row>
    <row r="79" spans="1:16" ht="45" hidden="1" customHeight="1">
      <c r="A79" s="140"/>
      <c r="B79" s="39">
        <v>0</v>
      </c>
      <c r="C79" s="21"/>
      <c r="D79" s="21"/>
      <c r="E79" s="21"/>
      <c r="F79" s="21"/>
      <c r="G79" s="21"/>
      <c r="H79" s="22" t="s">
        <v>118</v>
      </c>
      <c r="I79" s="22"/>
      <c r="J79" s="22"/>
      <c r="K79" s="22"/>
      <c r="L79" s="22"/>
      <c r="M79" s="22"/>
      <c r="N79" s="22"/>
      <c r="O79" s="142" t="e">
        <f t="shared" si="2"/>
        <v>#DIV/0!</v>
      </c>
      <c r="P79" s="24"/>
    </row>
    <row r="80" spans="1:16" ht="45" hidden="1" customHeight="1">
      <c r="A80" s="140"/>
      <c r="B80" s="39">
        <v>0</v>
      </c>
      <c r="C80" s="21"/>
      <c r="D80" s="21"/>
      <c r="E80" s="21"/>
      <c r="F80" s="21"/>
      <c r="G80" s="21"/>
      <c r="H80" s="22"/>
      <c r="I80" s="22"/>
      <c r="J80" s="22"/>
      <c r="K80" s="22"/>
      <c r="L80" s="22"/>
      <c r="M80" s="22"/>
      <c r="N80" s="22"/>
      <c r="O80" s="142" t="e">
        <f t="shared" si="2"/>
        <v>#DIV/0!</v>
      </c>
      <c r="P80" s="24"/>
    </row>
    <row r="81" spans="1:16" ht="45" hidden="1" customHeight="1">
      <c r="A81" s="140"/>
      <c r="B81" s="39">
        <v>0</v>
      </c>
      <c r="C81" s="21"/>
      <c r="D81" s="21"/>
      <c r="E81" s="21"/>
      <c r="F81" s="21"/>
      <c r="G81" s="21"/>
      <c r="H81" s="22">
        <v>0</v>
      </c>
      <c r="I81" s="22">
        <v>0</v>
      </c>
      <c r="J81" s="22">
        <v>0</v>
      </c>
      <c r="K81" s="22">
        <v>0</v>
      </c>
      <c r="L81" s="22">
        <v>0</v>
      </c>
      <c r="M81" s="22">
        <v>0</v>
      </c>
      <c r="N81" s="22">
        <v>0</v>
      </c>
      <c r="O81" s="23">
        <f t="shared" ref="O81:O112" si="3">AVERAGE(H81:N83)</f>
        <v>0</v>
      </c>
      <c r="P81" s="24"/>
    </row>
    <row r="82" spans="1:16" ht="45" hidden="1" customHeight="1">
      <c r="A82" s="140"/>
      <c r="B82" s="39">
        <v>0</v>
      </c>
      <c r="C82" s="21"/>
      <c r="D82" s="21"/>
      <c r="E82" s="21"/>
      <c r="F82" s="21"/>
      <c r="G82" s="21"/>
      <c r="H82" s="22">
        <v>0</v>
      </c>
      <c r="I82" s="22">
        <v>0</v>
      </c>
      <c r="J82" s="22">
        <v>0</v>
      </c>
      <c r="K82" s="22">
        <v>0</v>
      </c>
      <c r="L82" s="22">
        <v>0</v>
      </c>
      <c r="M82" s="22">
        <v>0</v>
      </c>
      <c r="N82" s="22">
        <v>0</v>
      </c>
      <c r="O82" s="23">
        <f t="shared" si="3"/>
        <v>0</v>
      </c>
      <c r="P82" s="24"/>
    </row>
    <row r="83" spans="1:16" ht="45" hidden="1" customHeight="1">
      <c r="A83" s="140"/>
      <c r="B83" s="39">
        <v>0</v>
      </c>
      <c r="C83" s="21"/>
      <c r="D83" s="21"/>
      <c r="E83" s="21"/>
      <c r="F83" s="21"/>
      <c r="G83" s="21"/>
      <c r="H83" s="22">
        <v>0</v>
      </c>
      <c r="I83" s="22">
        <v>0</v>
      </c>
      <c r="J83" s="22">
        <v>0</v>
      </c>
      <c r="K83" s="22">
        <v>0</v>
      </c>
      <c r="L83" s="22">
        <v>0</v>
      </c>
      <c r="M83" s="22">
        <v>0</v>
      </c>
      <c r="N83" s="22">
        <v>0</v>
      </c>
      <c r="O83" s="23">
        <f t="shared" si="3"/>
        <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si="3"/>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3"/>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3"/>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3"/>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3"/>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3"/>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3"/>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3"/>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3"/>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3"/>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3"/>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3"/>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3"/>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3"/>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3"/>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3"/>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3"/>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3"/>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3"/>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3"/>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3"/>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3"/>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3"/>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3"/>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3"/>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3"/>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3"/>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3"/>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si="3"/>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ref="O113:O144" si="4">AVERAGE(H113:N115)</f>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4"/>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4"/>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4"/>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4"/>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4"/>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4"/>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4"/>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4"/>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4"/>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4"/>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4"/>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4"/>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4"/>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4"/>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4"/>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4"/>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4"/>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4"/>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4"/>
        <v>0</v>
      </c>
      <c r="P137" s="24"/>
    </row>
    <row r="138" spans="1:16" ht="45" hidden="1" customHeight="1">
      <c r="A138" s="140"/>
      <c r="B138" s="39">
        <v>0</v>
      </c>
      <c r="C138" s="21"/>
      <c r="D138" s="21"/>
      <c r="E138" s="21"/>
      <c r="F138" s="21"/>
      <c r="G138" s="21"/>
      <c r="H138" s="22">
        <v>0</v>
      </c>
      <c r="I138" s="22">
        <v>0</v>
      </c>
      <c r="J138" s="22">
        <v>0</v>
      </c>
      <c r="K138" s="22">
        <v>0</v>
      </c>
      <c r="L138" s="22">
        <v>0</v>
      </c>
      <c r="M138" s="22">
        <v>0</v>
      </c>
      <c r="N138" s="22">
        <v>0</v>
      </c>
      <c r="O138" s="23">
        <f t="shared" si="4"/>
        <v>0</v>
      </c>
      <c r="P138" s="24"/>
    </row>
    <row r="139" spans="1:16" ht="45" hidden="1" customHeight="1">
      <c r="A139" s="152"/>
      <c r="B139" s="39">
        <v>0</v>
      </c>
      <c r="C139" s="25"/>
      <c r="D139" s="25"/>
      <c r="E139" s="25"/>
      <c r="F139" s="25"/>
      <c r="G139" s="25"/>
      <c r="H139" s="36">
        <v>0</v>
      </c>
      <c r="I139" s="37">
        <v>0</v>
      </c>
      <c r="J139" s="37">
        <v>0</v>
      </c>
      <c r="K139" s="37">
        <v>0</v>
      </c>
      <c r="L139" s="37">
        <v>0</v>
      </c>
      <c r="M139" s="37">
        <v>0</v>
      </c>
      <c r="N139" s="37">
        <v>0</v>
      </c>
      <c r="O139" s="38">
        <f t="shared" si="4"/>
        <v>0</v>
      </c>
      <c r="P139" s="19"/>
    </row>
    <row r="140" spans="1:16" ht="45" hidden="1" customHeight="1">
      <c r="A140" s="153"/>
      <c r="B140" s="39">
        <v>0</v>
      </c>
      <c r="C140" s="21"/>
      <c r="D140" s="21"/>
      <c r="E140" s="21"/>
      <c r="F140" s="21"/>
      <c r="G140" s="21"/>
      <c r="H140" s="32">
        <v>0</v>
      </c>
      <c r="I140" s="22">
        <v>0</v>
      </c>
      <c r="J140" s="22">
        <v>0</v>
      </c>
      <c r="K140" s="22">
        <v>0</v>
      </c>
      <c r="L140" s="22">
        <v>0</v>
      </c>
      <c r="M140" s="22">
        <v>0</v>
      </c>
      <c r="N140" s="22">
        <v>0</v>
      </c>
      <c r="O140" s="23">
        <f t="shared" si="4"/>
        <v>0</v>
      </c>
      <c r="P140" s="24"/>
    </row>
    <row r="141" spans="1:16" ht="45" hidden="1" customHeight="1">
      <c r="A141" s="153"/>
      <c r="B141" s="39">
        <v>0</v>
      </c>
      <c r="C141" s="21"/>
      <c r="D141" s="21"/>
      <c r="E141" s="21"/>
      <c r="F141" s="21"/>
      <c r="G141" s="21"/>
      <c r="H141" s="32">
        <v>0</v>
      </c>
      <c r="I141" s="22">
        <v>0</v>
      </c>
      <c r="J141" s="22">
        <v>0</v>
      </c>
      <c r="K141" s="22">
        <v>0</v>
      </c>
      <c r="L141" s="22">
        <v>0</v>
      </c>
      <c r="M141" s="22">
        <v>0</v>
      </c>
      <c r="N141" s="22">
        <v>0</v>
      </c>
      <c r="O141" s="23">
        <f t="shared" si="4"/>
        <v>0.23809523809523808</v>
      </c>
      <c r="P141" s="24"/>
    </row>
    <row r="142" spans="1:16" ht="45" hidden="1" customHeight="1">
      <c r="A142" s="153"/>
      <c r="B142" s="39">
        <v>0</v>
      </c>
      <c r="C142" s="21"/>
      <c r="D142" s="21"/>
      <c r="E142" s="21"/>
      <c r="F142" s="21"/>
      <c r="G142" s="21"/>
      <c r="H142" s="32">
        <v>0</v>
      </c>
      <c r="I142" s="22">
        <v>0</v>
      </c>
      <c r="J142" s="22">
        <v>0</v>
      </c>
      <c r="K142" s="22">
        <v>0</v>
      </c>
      <c r="L142" s="22">
        <v>0</v>
      </c>
      <c r="M142" s="22">
        <v>0</v>
      </c>
      <c r="N142" s="22">
        <v>0</v>
      </c>
      <c r="O142" s="23">
        <f t="shared" si="4"/>
        <v>0.35714285714285715</v>
      </c>
      <c r="P142" s="24"/>
    </row>
    <row r="143" spans="1:16" ht="45" hidden="1" customHeight="1">
      <c r="A143" s="153"/>
      <c r="B143" s="39">
        <v>5</v>
      </c>
      <c r="C143" s="21"/>
      <c r="D143" s="21"/>
      <c r="E143" s="21"/>
      <c r="F143" s="21"/>
      <c r="G143" s="21"/>
      <c r="H143" s="32">
        <v>0</v>
      </c>
      <c r="I143" s="22">
        <v>0</v>
      </c>
      <c r="J143" s="22">
        <v>0</v>
      </c>
      <c r="K143" s="22">
        <v>0</v>
      </c>
      <c r="L143" s="22">
        <v>0</v>
      </c>
      <c r="M143" s="22">
        <v>0</v>
      </c>
      <c r="N143" s="22">
        <v>5</v>
      </c>
      <c r="O143" s="23">
        <f t="shared" si="4"/>
        <v>0.7142857142857143</v>
      </c>
      <c r="P143" s="24"/>
    </row>
  </sheetData>
  <autoFilter ref="A2:P143" xr:uid="{6831539B-1EF2-456C-A99A-6624932F8169}">
    <filterColumn colId="3">
      <filters>
        <filter val="AVANT VENTES"/>
      </filters>
    </filterColumn>
    <sortState xmlns:xlrd2="http://schemas.microsoft.com/office/spreadsheetml/2017/richdata2" ref="A3:P143">
      <sortCondition ref="C2:C143"/>
    </sortState>
  </autoFilter>
  <mergeCells count="2">
    <mergeCell ref="J1:K1"/>
    <mergeCell ref="L1:N1"/>
  </mergeCells>
  <conditionalFormatting sqref="B3:B143">
    <cfRule type="iconSet" priority="1">
      <iconSet iconSet="5Rating">
        <cfvo type="percent" val="0"/>
        <cfvo type="percent" val="20"/>
        <cfvo type="percent" val="40"/>
        <cfvo type="percent" val="60"/>
        <cfvo type="percent" val="80"/>
      </iconSet>
    </cfRule>
  </conditionalFormatting>
  <conditionalFormatting sqref="H72:O883 J71:O71 H71 H3:O70">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3" xr:uid="{B69C0111-696E-4AAD-8C0B-32589AF210D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8CE85F8-91DB-4163-AC95-D32827FBE8E3}">
          <x14:formula1>
            <xm:f>'Guide suivi GDP '!$E$14:$E$19</xm:f>
          </x14:formula1>
          <xm:sqref>F3:F143</xm:sqref>
        </x14:dataValidation>
        <x14:dataValidation type="list" allowBlank="1" showInputMessage="1" showErrorMessage="1" xr:uid="{3644DEF3-A570-4D4B-9483-BB0F30A3327E}">
          <x14:formula1>
            <xm:f>'Guide suivi GDP '!$E$20:$E$24</xm:f>
          </x14:formula1>
          <xm:sqref>E3:E143</xm:sqref>
        </x14:dataValidation>
        <x14:dataValidation type="list" allowBlank="1" showInputMessage="1" showErrorMessage="1" xr:uid="{90341209-71AD-47CB-BDF7-24DC9492F183}">
          <x14:formula1>
            <xm:f>'Guide suivi GDP '!$E$3:$E$8</xm:f>
          </x14:formula1>
          <xm:sqref>D3:D143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81C3-9178-4956-A355-B3C3D130F701}">
  <sheetPr>
    <tabColor rgb="FF92D050"/>
  </sheetPr>
  <dimension ref="A1:Q144"/>
  <sheetViews>
    <sheetView workbookViewId="0">
      <selection activeCell="C63" sqref="C63"/>
    </sheetView>
  </sheetViews>
  <sheetFormatPr baseColWidth="10" defaultColWidth="9.140625" defaultRowHeight="12.75" outlineLevelCol="2"/>
  <cols>
    <col min="1" max="1" width="20.42578125" style="26" customWidth="1"/>
    <col min="2" max="2" width="9.85546875" style="26" customWidth="1"/>
    <col min="3" max="3" width="12.28515625" style="5" customWidth="1"/>
    <col min="4" max="4" width="11.7109375" style="5" hidden="1" customWidth="1" outlineLevel="1"/>
    <col min="5" max="5" width="15.7109375" style="5" hidden="1" customWidth="1" outlineLevel="1"/>
    <col min="6" max="6" width="12.5703125" style="27" hidden="1" customWidth="1" outlineLevel="1"/>
    <col min="7" max="7" width="14.28515625" style="27" hidden="1" customWidth="1" outlineLevel="1"/>
    <col min="8" max="8" width="14.5703125" style="26" hidden="1" customWidth="1" outlineLevel="2" collapsed="1"/>
    <col min="9" max="9" width="12.7109375" style="26" hidden="1" customWidth="1" outlineLevel="2"/>
    <col min="10" max="10" width="11" style="26" hidden="1" customWidth="1" outlineLevel="2"/>
    <col min="11" max="11" width="8.85546875" style="26" hidden="1" customWidth="1" outlineLevel="2"/>
    <col min="12" max="12" width="11.7109375" style="26" hidden="1" customWidth="1" outlineLevel="2"/>
    <col min="13" max="13" width="12.28515625" style="26" hidden="1" customWidth="1" outlineLevel="2"/>
    <col min="14" max="14" width="15.7109375" style="26" hidden="1" customWidth="1" outlineLevel="2"/>
    <col min="15" max="15" width="10.5703125" style="13" bestFit="1" customWidth="1" collapsed="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480</v>
      </c>
    </row>
    <row r="4" spans="1:16" ht="45"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407</v>
      </c>
    </row>
    <row r="6" spans="1:16" ht="45"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143" t="s">
        <v>481</v>
      </c>
    </row>
    <row r="7" spans="1:16"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482</v>
      </c>
    </row>
    <row r="10" spans="1:16" ht="45"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143" t="s">
        <v>483</v>
      </c>
    </row>
    <row r="11" spans="1:16" ht="45" customHeight="1">
      <c r="A11" s="153" t="s">
        <v>275</v>
      </c>
      <c r="B11" s="39">
        <v>0</v>
      </c>
      <c r="C11" s="141" t="s">
        <v>409</v>
      </c>
      <c r="D11" s="141"/>
      <c r="E11" s="141"/>
      <c r="F11" s="141"/>
      <c r="G11" s="141"/>
      <c r="H11" s="29"/>
      <c r="I11" s="145"/>
      <c r="J11" s="145"/>
      <c r="K11" s="145"/>
      <c r="L11" s="145"/>
      <c r="M11" s="145"/>
      <c r="N11" s="145"/>
      <c r="O11" s="142" t="e">
        <f t="shared" si="0"/>
        <v>#DIV/0!</v>
      </c>
      <c r="P11" s="143" t="s">
        <v>484</v>
      </c>
    </row>
    <row r="12" spans="1:16" ht="45" customHeight="1">
      <c r="A12" s="153" t="s">
        <v>446</v>
      </c>
      <c r="B12" s="39">
        <v>0</v>
      </c>
      <c r="C12" s="141" t="s">
        <v>409</v>
      </c>
      <c r="D12" s="141"/>
      <c r="E12" s="141"/>
      <c r="F12" s="141"/>
      <c r="G12" s="141"/>
      <c r="H12" s="29"/>
      <c r="I12" s="145"/>
      <c r="J12" s="145"/>
      <c r="K12" s="145"/>
      <c r="L12" s="145"/>
      <c r="M12" s="145"/>
      <c r="N12" s="145"/>
      <c r="O12" s="142" t="e">
        <f t="shared" si="0"/>
        <v>#DIV/0!</v>
      </c>
      <c r="P12" s="143" t="s">
        <v>485</v>
      </c>
    </row>
    <row r="13" spans="1:16" ht="45"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143" t="s">
        <v>322</v>
      </c>
    </row>
    <row r="14" spans="1:16" ht="45" customHeight="1">
      <c r="A14" s="153" t="s">
        <v>280</v>
      </c>
      <c r="B14" s="39">
        <v>0</v>
      </c>
      <c r="C14" s="141" t="s">
        <v>409</v>
      </c>
      <c r="D14" s="21"/>
      <c r="E14" s="21"/>
      <c r="F14" s="21"/>
      <c r="G14" s="21"/>
      <c r="H14" s="29"/>
      <c r="I14" s="145"/>
      <c r="J14" s="145"/>
      <c r="K14" s="145"/>
      <c r="L14" s="145"/>
      <c r="M14" s="145"/>
      <c r="N14" s="145"/>
      <c r="O14" s="142" t="e">
        <f t="shared" si="0"/>
        <v>#DIV/0!</v>
      </c>
      <c r="P14" s="46" t="s">
        <v>323</v>
      </c>
    </row>
    <row r="15" spans="1:16" ht="45"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46" t="s">
        <v>486</v>
      </c>
    </row>
    <row r="16" spans="1:16" ht="45" customHeight="1">
      <c r="A16" s="153" t="s">
        <v>279</v>
      </c>
      <c r="B16" s="39">
        <v>0</v>
      </c>
      <c r="C16" s="141" t="s">
        <v>409</v>
      </c>
      <c r="D16" s="21" t="s">
        <v>6</v>
      </c>
      <c r="E16" s="21"/>
      <c r="F16" s="21"/>
      <c r="G16" s="21"/>
      <c r="H16" s="29"/>
      <c r="I16" s="145"/>
      <c r="J16" s="145"/>
      <c r="K16" s="145"/>
      <c r="L16" s="145"/>
      <c r="M16" s="145"/>
      <c r="N16" s="145"/>
      <c r="O16" s="142" t="e">
        <f t="shared" si="0"/>
        <v>#DIV/0!</v>
      </c>
      <c r="P16" s="46" t="s">
        <v>448</v>
      </c>
    </row>
    <row r="17" spans="1:16" ht="45"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143" t="s">
        <v>487</v>
      </c>
    </row>
    <row r="18" spans="1:16" ht="45"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143" t="s">
        <v>488</v>
      </c>
    </row>
    <row r="19" spans="1:16" ht="45" customHeight="1">
      <c r="A19" s="153" t="s">
        <v>429</v>
      </c>
      <c r="B19" s="39">
        <v>0</v>
      </c>
      <c r="C19" s="141" t="s">
        <v>51</v>
      </c>
      <c r="D19" s="141" t="s">
        <v>6</v>
      </c>
      <c r="E19" s="141"/>
      <c r="F19" s="141"/>
      <c r="G19" s="141"/>
      <c r="H19" s="29">
        <v>0</v>
      </c>
      <c r="I19" s="145">
        <v>0</v>
      </c>
      <c r="J19" s="145">
        <v>0</v>
      </c>
      <c r="K19" s="145">
        <v>0</v>
      </c>
      <c r="L19" s="145">
        <v>0</v>
      </c>
      <c r="M19" s="145">
        <v>0</v>
      </c>
      <c r="N19" s="145">
        <v>0</v>
      </c>
      <c r="O19" s="142">
        <f t="shared" si="0"/>
        <v>0</v>
      </c>
      <c r="P19" s="155" t="s">
        <v>467</v>
      </c>
    </row>
    <row r="20" spans="1:16" ht="45" customHeight="1">
      <c r="A20" s="153"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143" t="s">
        <v>489</v>
      </c>
    </row>
    <row r="21" spans="1:16" ht="45"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143" t="s">
        <v>490</v>
      </c>
    </row>
    <row r="22" spans="1:16" ht="45"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t="s">
        <v>188</v>
      </c>
    </row>
    <row r="23" spans="1:16" ht="45"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143" t="s">
        <v>451</v>
      </c>
    </row>
    <row r="24" spans="1:16" ht="45"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143" t="s">
        <v>491</v>
      </c>
    </row>
    <row r="25" spans="1:16" ht="45" customHeight="1">
      <c r="A25" s="153" t="s">
        <v>415</v>
      </c>
      <c r="B25" s="39">
        <v>0</v>
      </c>
      <c r="C25" s="21" t="s">
        <v>51</v>
      </c>
      <c r="D25" s="21" t="s">
        <v>6</v>
      </c>
      <c r="E25" s="21"/>
      <c r="F25" s="21"/>
      <c r="G25" s="21"/>
      <c r="H25" s="48"/>
      <c r="I25" s="51"/>
      <c r="J25" s="51"/>
      <c r="K25" s="51"/>
      <c r="L25" s="51"/>
      <c r="M25" s="51"/>
      <c r="N25" s="51"/>
      <c r="O25" s="142" t="e">
        <f t="shared" si="0"/>
        <v>#DIV/0!</v>
      </c>
      <c r="P25" s="46" t="s">
        <v>492</v>
      </c>
    </row>
    <row r="26" spans="1:16" ht="45" customHeight="1">
      <c r="A26" s="153"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t="s">
        <v>453</v>
      </c>
    </row>
    <row r="27" spans="1:16" ht="45"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143" t="s">
        <v>493</v>
      </c>
    </row>
    <row r="28" spans="1:16" ht="45"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38" t="s">
        <v>494</v>
      </c>
    </row>
    <row r="29" spans="1:16" ht="45"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143" t="s">
        <v>495</v>
      </c>
    </row>
    <row r="30" spans="1:16"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t="s">
        <v>332</v>
      </c>
    </row>
    <row r="31" spans="1:16" ht="45" customHeight="1">
      <c r="A31" s="153" t="s">
        <v>283</v>
      </c>
      <c r="B31" s="39">
        <v>0</v>
      </c>
      <c r="C31" s="21" t="s">
        <v>174</v>
      </c>
      <c r="D31" s="21" t="s">
        <v>6</v>
      </c>
      <c r="E31" s="21"/>
      <c r="F31" s="21"/>
      <c r="G31" s="21"/>
      <c r="H31" s="48"/>
      <c r="I31" s="51"/>
      <c r="J31" s="51"/>
      <c r="K31" s="51"/>
      <c r="L31" s="51"/>
      <c r="M31" s="51"/>
      <c r="N31" s="51"/>
      <c r="O31" s="142" t="e">
        <f t="shared" si="0"/>
        <v>#DIV/0!</v>
      </c>
      <c r="P31" s="46" t="s">
        <v>455</v>
      </c>
    </row>
    <row r="32" spans="1:16"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t="s">
        <v>496</v>
      </c>
    </row>
    <row r="33" spans="1:17" ht="45"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46" t="s">
        <v>497</v>
      </c>
    </row>
    <row r="34" spans="1:17" ht="45"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143" t="s">
        <v>226</v>
      </c>
    </row>
    <row r="35" spans="1:17" ht="45"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143" t="s">
        <v>334</v>
      </c>
    </row>
    <row r="36" spans="1:17" ht="45"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143" t="s">
        <v>245</v>
      </c>
    </row>
    <row r="37" spans="1:17" ht="45"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143" t="s">
        <v>498</v>
      </c>
    </row>
    <row r="38" spans="1:17" ht="45"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143" t="s">
        <v>499</v>
      </c>
    </row>
    <row r="39" spans="1:17" ht="45"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143" t="s">
        <v>500</v>
      </c>
    </row>
    <row r="40" spans="1:17" ht="45"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143" t="s">
        <v>107</v>
      </c>
      <c r="Q40" s="13" t="s">
        <v>259</v>
      </c>
    </row>
    <row r="41" spans="1:17" ht="45"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143" t="s">
        <v>501</v>
      </c>
      <c r="Q41" s="13" t="s">
        <v>259</v>
      </c>
    </row>
    <row r="42" spans="1:17" ht="45"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143" t="s">
        <v>462</v>
      </c>
    </row>
    <row r="43" spans="1:17" ht="45"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138" t="s">
        <v>502</v>
      </c>
    </row>
    <row r="44" spans="1:17"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4" t="s">
        <v>503</v>
      </c>
    </row>
    <row r="45" spans="1:17"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38" t="s">
        <v>504</v>
      </c>
    </row>
    <row r="46" spans="1:17" ht="45"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138" t="s">
        <v>505</v>
      </c>
    </row>
    <row r="47" spans="1:17"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38" t="s">
        <v>506</v>
      </c>
    </row>
    <row r="48" spans="1:17"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38" t="s">
        <v>370</v>
      </c>
      <c r="Q48" s="13" t="s">
        <v>268</v>
      </c>
    </row>
    <row r="49" spans="1:16"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t="s">
        <v>466</v>
      </c>
    </row>
    <row r="50" spans="1:16" ht="45"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138" t="s">
        <v>507</v>
      </c>
    </row>
    <row r="51" spans="1:16" ht="45"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138" t="s">
        <v>508</v>
      </c>
    </row>
    <row r="52" spans="1:16" ht="45"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24" t="s">
        <v>509</v>
      </c>
    </row>
    <row r="53" spans="1:16" ht="45" customHeight="1">
      <c r="A53" s="153" t="s">
        <v>315</v>
      </c>
      <c r="B53" s="39">
        <v>0</v>
      </c>
      <c r="C53" s="141" t="s">
        <v>51</v>
      </c>
      <c r="D53" s="21" t="s">
        <v>6</v>
      </c>
      <c r="E53" s="21"/>
      <c r="F53" s="21"/>
      <c r="G53" s="21"/>
      <c r="H53" s="48"/>
      <c r="I53" s="51"/>
      <c r="J53" s="51"/>
      <c r="K53" s="51"/>
      <c r="L53" s="51"/>
      <c r="M53" s="51"/>
      <c r="N53" s="51"/>
      <c r="O53" s="142" t="e">
        <f t="shared" si="1"/>
        <v>#DIV/0!</v>
      </c>
      <c r="P53" s="46" t="s">
        <v>438</v>
      </c>
    </row>
    <row r="54" spans="1:16" ht="45" customHeight="1">
      <c r="A54" s="153" t="s">
        <v>149</v>
      </c>
      <c r="B54" s="39">
        <v>0</v>
      </c>
      <c r="C54" s="141" t="s">
        <v>51</v>
      </c>
      <c r="D54" s="141" t="s">
        <v>26</v>
      </c>
      <c r="E54" s="141" t="s">
        <v>44</v>
      </c>
      <c r="F54" s="141" t="s">
        <v>37</v>
      </c>
      <c r="G54" s="141"/>
      <c r="H54" s="29">
        <v>5</v>
      </c>
      <c r="I54" s="145">
        <v>5</v>
      </c>
      <c r="J54" s="145">
        <v>5</v>
      </c>
      <c r="K54" s="145">
        <v>5</v>
      </c>
      <c r="L54" s="145">
        <v>5</v>
      </c>
      <c r="M54" s="145">
        <v>5</v>
      </c>
      <c r="N54" s="145">
        <v>5</v>
      </c>
      <c r="O54" s="142">
        <f t="shared" si="1"/>
        <v>5</v>
      </c>
      <c r="P54" s="143" t="s">
        <v>510</v>
      </c>
    </row>
    <row r="55" spans="1:16" ht="45" customHeight="1">
      <c r="A55" s="153" t="s">
        <v>129</v>
      </c>
      <c r="B55" s="39">
        <v>0</v>
      </c>
      <c r="C55" s="141" t="s">
        <v>123</v>
      </c>
      <c r="D55" s="141" t="s">
        <v>26</v>
      </c>
      <c r="E55" s="141" t="s">
        <v>47</v>
      </c>
      <c r="F55" s="141" t="s">
        <v>41</v>
      </c>
      <c r="G55" s="141"/>
      <c r="H55" s="29">
        <v>0</v>
      </c>
      <c r="I55" s="145">
        <v>0</v>
      </c>
      <c r="J55" s="145">
        <v>0</v>
      </c>
      <c r="K55" s="145">
        <v>0</v>
      </c>
      <c r="L55" s="145">
        <v>0</v>
      </c>
      <c r="M55" s="145">
        <v>0</v>
      </c>
      <c r="N55" s="145">
        <v>0</v>
      </c>
      <c r="O55" s="142">
        <f t="shared" si="1"/>
        <v>0</v>
      </c>
      <c r="P55" s="143" t="s">
        <v>511</v>
      </c>
    </row>
    <row r="56" spans="1:16" ht="45" customHeight="1">
      <c r="A56" s="40" t="s">
        <v>134</v>
      </c>
      <c r="B56" s="39">
        <v>0</v>
      </c>
      <c r="C56" s="141" t="s">
        <v>123</v>
      </c>
      <c r="D56" s="141" t="s">
        <v>18</v>
      </c>
      <c r="E56" s="141" t="s">
        <v>44</v>
      </c>
      <c r="F56" s="141" t="s">
        <v>38</v>
      </c>
      <c r="G56" s="141"/>
      <c r="H56" s="29">
        <v>0</v>
      </c>
      <c r="I56" s="145">
        <v>0</v>
      </c>
      <c r="J56" s="145">
        <v>0</v>
      </c>
      <c r="K56" s="145">
        <v>0</v>
      </c>
      <c r="L56" s="145">
        <v>0</v>
      </c>
      <c r="M56" s="145">
        <v>0</v>
      </c>
      <c r="N56" s="145">
        <v>0</v>
      </c>
      <c r="O56" s="142">
        <f t="shared" si="1"/>
        <v>0</v>
      </c>
      <c r="P56" s="143" t="s">
        <v>512</v>
      </c>
    </row>
    <row r="57" spans="1:16" ht="45" customHeight="1">
      <c r="A57" s="153" t="s">
        <v>281</v>
      </c>
      <c r="B57" s="39">
        <v>0</v>
      </c>
      <c r="C57" s="21" t="s">
        <v>150</v>
      </c>
      <c r="D57" s="21" t="s">
        <v>6</v>
      </c>
      <c r="E57" s="21"/>
      <c r="F57" s="21" t="s">
        <v>38</v>
      </c>
      <c r="G57" s="21"/>
      <c r="H57" s="48">
        <v>0</v>
      </c>
      <c r="I57" s="51">
        <v>0</v>
      </c>
      <c r="J57" s="51">
        <v>0</v>
      </c>
      <c r="K57" s="51">
        <v>0</v>
      </c>
      <c r="L57" s="51">
        <v>0</v>
      </c>
      <c r="M57" s="51">
        <v>0</v>
      </c>
      <c r="N57" s="51">
        <v>0</v>
      </c>
      <c r="O57" s="142">
        <f t="shared" si="1"/>
        <v>0</v>
      </c>
      <c r="P57" s="46" t="s">
        <v>513</v>
      </c>
    </row>
    <row r="58" spans="1:16" ht="45" customHeight="1">
      <c r="A58" s="153" t="s">
        <v>221</v>
      </c>
      <c r="B58" s="39">
        <v>0</v>
      </c>
      <c r="C58" s="141" t="s">
        <v>267</v>
      </c>
      <c r="D58" s="141" t="s">
        <v>6</v>
      </c>
      <c r="E58" s="141"/>
      <c r="F58" s="141"/>
      <c r="G58" s="141"/>
      <c r="H58" s="29">
        <v>0</v>
      </c>
      <c r="I58" s="145">
        <v>0</v>
      </c>
      <c r="J58" s="145">
        <v>0</v>
      </c>
      <c r="K58" s="145">
        <v>0</v>
      </c>
      <c r="L58" s="145">
        <v>0</v>
      </c>
      <c r="M58" s="145">
        <v>0</v>
      </c>
      <c r="N58" s="145">
        <v>0</v>
      </c>
      <c r="O58" s="142">
        <f t="shared" si="1"/>
        <v>0</v>
      </c>
      <c r="P58" s="143" t="s">
        <v>222</v>
      </c>
    </row>
    <row r="59" spans="1:16" ht="45" customHeight="1">
      <c r="A59" s="153" t="s">
        <v>468</v>
      </c>
      <c r="B59" s="39">
        <v>0</v>
      </c>
      <c r="C59" s="141" t="s">
        <v>150</v>
      </c>
      <c r="D59" s="141" t="s">
        <v>10</v>
      </c>
      <c r="E59" s="141" t="s">
        <v>44</v>
      </c>
      <c r="F59" s="141" t="s">
        <v>38</v>
      </c>
      <c r="G59" s="141"/>
      <c r="H59" s="29">
        <v>0</v>
      </c>
      <c r="I59" s="29">
        <v>3</v>
      </c>
      <c r="J59" s="29">
        <v>0</v>
      </c>
      <c r="K59" s="29">
        <v>3</v>
      </c>
      <c r="L59" s="29">
        <v>0</v>
      </c>
      <c r="M59" s="29">
        <v>0</v>
      </c>
      <c r="N59" s="29" t="s">
        <v>118</v>
      </c>
      <c r="O59" s="142">
        <f t="shared" si="1"/>
        <v>1</v>
      </c>
      <c r="P59" s="143" t="s">
        <v>514</v>
      </c>
    </row>
    <row r="60" spans="1:16" ht="45" customHeight="1">
      <c r="A60" s="40" t="s">
        <v>130</v>
      </c>
      <c r="B60" s="39">
        <v>0</v>
      </c>
      <c r="C60" s="141" t="s">
        <v>123</v>
      </c>
      <c r="D60" s="141" t="s">
        <v>26</v>
      </c>
      <c r="E60" s="141" t="s">
        <v>44</v>
      </c>
      <c r="F60" s="141" t="s">
        <v>40</v>
      </c>
      <c r="G60" s="42"/>
      <c r="H60" s="139">
        <v>1</v>
      </c>
      <c r="I60" s="139">
        <v>1</v>
      </c>
      <c r="J60" s="139">
        <v>1</v>
      </c>
      <c r="K60" s="139">
        <v>1</v>
      </c>
      <c r="L60" s="139">
        <v>1</v>
      </c>
      <c r="M60" s="139">
        <v>0</v>
      </c>
      <c r="N60" s="139">
        <v>0</v>
      </c>
      <c r="O60" s="142">
        <f t="shared" si="1"/>
        <v>0.7142857142857143</v>
      </c>
      <c r="P60" s="138" t="s">
        <v>432</v>
      </c>
    </row>
    <row r="61" spans="1:16" ht="45" customHeight="1">
      <c r="A61" s="153" t="s">
        <v>173</v>
      </c>
      <c r="B61" s="39">
        <v>0</v>
      </c>
      <c r="C61" s="141" t="s">
        <v>174</v>
      </c>
      <c r="D61" s="141" t="s">
        <v>6</v>
      </c>
      <c r="E61" s="141"/>
      <c r="F61" s="141"/>
      <c r="G61" s="42"/>
      <c r="H61" s="139" t="s">
        <v>118</v>
      </c>
      <c r="I61" s="139" t="s">
        <v>118</v>
      </c>
      <c r="J61" s="139" t="s">
        <v>118</v>
      </c>
      <c r="K61" s="139" t="s">
        <v>118</v>
      </c>
      <c r="L61" s="139" t="s">
        <v>118</v>
      </c>
      <c r="M61" s="139" t="s">
        <v>118</v>
      </c>
      <c r="N61" s="139" t="s">
        <v>118</v>
      </c>
      <c r="O61" s="142" t="e">
        <f t="shared" si="1"/>
        <v>#DIV/0!</v>
      </c>
      <c r="P61" s="138" t="s">
        <v>471</v>
      </c>
    </row>
    <row r="62" spans="1:16" ht="45" customHeight="1">
      <c r="A62" s="28" t="s">
        <v>433</v>
      </c>
      <c r="B62" s="39">
        <v>0</v>
      </c>
      <c r="C62" s="141" t="s">
        <v>150</v>
      </c>
      <c r="D62" s="35" t="s">
        <v>26</v>
      </c>
      <c r="E62" s="35" t="s">
        <v>48</v>
      </c>
      <c r="F62" s="35"/>
      <c r="G62" s="43"/>
      <c r="H62" s="139">
        <v>0</v>
      </c>
      <c r="I62" s="139">
        <v>0</v>
      </c>
      <c r="J62" s="139">
        <v>0</v>
      </c>
      <c r="K62" s="139">
        <v>0</v>
      </c>
      <c r="L62" s="139">
        <v>0</v>
      </c>
      <c r="M62" s="139">
        <v>0</v>
      </c>
      <c r="N62" s="139">
        <v>0</v>
      </c>
      <c r="O62" s="142">
        <f t="shared" si="1"/>
        <v>0</v>
      </c>
      <c r="P62" s="138" t="s">
        <v>515</v>
      </c>
    </row>
    <row r="63" spans="1:16" ht="45" customHeight="1">
      <c r="A63" s="140" t="s">
        <v>176</v>
      </c>
      <c r="B63" s="39">
        <v>0</v>
      </c>
      <c r="C63" s="141" t="s">
        <v>174</v>
      </c>
      <c r="D63" s="141"/>
      <c r="E63" s="141"/>
      <c r="F63" s="141"/>
      <c r="G63" s="42"/>
      <c r="H63" s="139" t="s">
        <v>118</v>
      </c>
      <c r="I63" s="139" t="s">
        <v>118</v>
      </c>
      <c r="J63" s="139" t="s">
        <v>118</v>
      </c>
      <c r="K63" s="139" t="s">
        <v>118</v>
      </c>
      <c r="L63" s="139" t="s">
        <v>118</v>
      </c>
      <c r="M63" s="139" t="s">
        <v>118</v>
      </c>
      <c r="N63" s="139" t="s">
        <v>118</v>
      </c>
      <c r="O63" s="142" t="e">
        <f t="shared" si="1"/>
        <v>#DIV/0!</v>
      </c>
      <c r="P63" s="138" t="s">
        <v>516</v>
      </c>
    </row>
    <row r="64" spans="1:16" ht="45" customHeight="1">
      <c r="A64" s="140" t="s">
        <v>246</v>
      </c>
      <c r="B64" s="39">
        <v>0</v>
      </c>
      <c r="C64" s="141" t="s">
        <v>150</v>
      </c>
      <c r="D64" s="141" t="s">
        <v>6</v>
      </c>
      <c r="E64" s="141"/>
      <c r="F64" s="141"/>
      <c r="G64" s="42"/>
      <c r="H64" s="139" t="s">
        <v>118</v>
      </c>
      <c r="I64" s="139" t="s">
        <v>118</v>
      </c>
      <c r="J64" s="139" t="s">
        <v>118</v>
      </c>
      <c r="K64" s="139" t="s">
        <v>118</v>
      </c>
      <c r="L64" s="139" t="s">
        <v>118</v>
      </c>
      <c r="M64" s="139" t="s">
        <v>118</v>
      </c>
      <c r="N64" s="139" t="s">
        <v>118</v>
      </c>
      <c r="O64" s="142" t="e">
        <f t="shared" si="1"/>
        <v>#DIV/0!</v>
      </c>
      <c r="P64" s="138" t="s">
        <v>517</v>
      </c>
    </row>
    <row r="65" spans="1:16" ht="45" customHeight="1">
      <c r="A65" s="140" t="s">
        <v>184</v>
      </c>
      <c r="B65" s="39">
        <v>0</v>
      </c>
      <c r="C65" s="141" t="s">
        <v>174</v>
      </c>
      <c r="D65" s="141" t="s">
        <v>14</v>
      </c>
      <c r="E65" s="141"/>
      <c r="F65" s="141"/>
      <c r="G65" s="42"/>
      <c r="H65" s="139">
        <v>0</v>
      </c>
      <c r="I65" s="139">
        <v>0</v>
      </c>
      <c r="J65" s="139">
        <v>0</v>
      </c>
      <c r="K65" s="139">
        <v>0</v>
      </c>
      <c r="L65" s="139">
        <v>0</v>
      </c>
      <c r="M65" s="139">
        <v>0</v>
      </c>
      <c r="N65" s="139">
        <v>0</v>
      </c>
      <c r="O65" s="142">
        <f t="shared" si="1"/>
        <v>0</v>
      </c>
      <c r="P65" s="138" t="s">
        <v>518</v>
      </c>
    </row>
    <row r="66" spans="1:16" ht="45" customHeight="1">
      <c r="A66" s="140" t="s">
        <v>182</v>
      </c>
      <c r="B66" s="39">
        <v>0</v>
      </c>
      <c r="C66" s="141" t="s">
        <v>174</v>
      </c>
      <c r="D66" s="141" t="s">
        <v>14</v>
      </c>
      <c r="E66" s="141"/>
      <c r="F66" s="141"/>
      <c r="G66" s="42"/>
      <c r="H66" s="50">
        <v>0</v>
      </c>
      <c r="I66" s="50">
        <v>0</v>
      </c>
      <c r="J66" s="50">
        <v>0</v>
      </c>
      <c r="K66" s="50">
        <v>0</v>
      </c>
      <c r="L66" s="50">
        <v>0</v>
      </c>
      <c r="M66" s="50">
        <v>0</v>
      </c>
      <c r="N66" s="50">
        <v>0</v>
      </c>
      <c r="O66" s="142">
        <f t="shared" si="1"/>
        <v>0</v>
      </c>
      <c r="P66" s="148" t="s">
        <v>519</v>
      </c>
    </row>
    <row r="67" spans="1:16" ht="45" customHeight="1">
      <c r="A67" s="55" t="s">
        <v>122</v>
      </c>
      <c r="B67" s="39">
        <v>0</v>
      </c>
      <c r="C67" s="141" t="s">
        <v>123</v>
      </c>
      <c r="D67" s="141" t="s">
        <v>14</v>
      </c>
      <c r="E67" s="141" t="s">
        <v>44</v>
      </c>
      <c r="F67" s="141" t="s">
        <v>40</v>
      </c>
      <c r="G67" s="141"/>
      <c r="H67" s="50">
        <v>3</v>
      </c>
      <c r="I67" s="50">
        <v>0</v>
      </c>
      <c r="J67" s="50">
        <v>4</v>
      </c>
      <c r="K67" s="50">
        <v>1</v>
      </c>
      <c r="L67" s="50" t="s">
        <v>118</v>
      </c>
      <c r="M67" s="50">
        <v>2</v>
      </c>
      <c r="N67" s="50" t="s">
        <v>118</v>
      </c>
      <c r="O67" s="142">
        <f t="shared" ref="O67:O98" si="2">AVERAGE(H67:N67)</f>
        <v>2</v>
      </c>
      <c r="P67" s="148" t="s">
        <v>308</v>
      </c>
    </row>
    <row r="68" spans="1:16" ht="45" customHeight="1">
      <c r="A68" s="140" t="s">
        <v>223</v>
      </c>
      <c r="B68" s="39">
        <v>0</v>
      </c>
      <c r="C68" s="141" t="s">
        <v>267</v>
      </c>
      <c r="D68" s="141" t="s">
        <v>6</v>
      </c>
      <c r="E68" s="141"/>
      <c r="F68" s="141"/>
      <c r="G68" s="141"/>
      <c r="H68" s="139">
        <v>0</v>
      </c>
      <c r="I68" s="139">
        <v>0</v>
      </c>
      <c r="J68" s="139">
        <v>0</v>
      </c>
      <c r="K68" s="139">
        <v>0</v>
      </c>
      <c r="L68" s="139">
        <v>0</v>
      </c>
      <c r="M68" s="139">
        <v>0</v>
      </c>
      <c r="N68" s="139">
        <v>0</v>
      </c>
      <c r="O68" s="142">
        <f t="shared" si="2"/>
        <v>0</v>
      </c>
      <c r="P68" s="138" t="s">
        <v>475</v>
      </c>
    </row>
    <row r="69" spans="1:16" ht="45" customHeight="1">
      <c r="A69" s="140" t="s">
        <v>437</v>
      </c>
      <c r="B69" s="39">
        <v>0</v>
      </c>
      <c r="C69" s="21" t="s">
        <v>123</v>
      </c>
      <c r="D69" s="21" t="s">
        <v>6</v>
      </c>
      <c r="E69" s="21"/>
      <c r="F69" s="21"/>
      <c r="G69" s="21"/>
      <c r="H69" s="22">
        <v>0</v>
      </c>
      <c r="I69" s="22">
        <v>0</v>
      </c>
      <c r="J69" s="22">
        <v>0</v>
      </c>
      <c r="K69" s="22">
        <v>0</v>
      </c>
      <c r="L69" s="22">
        <v>0</v>
      </c>
      <c r="M69" s="22">
        <v>0</v>
      </c>
      <c r="N69" s="22">
        <v>0</v>
      </c>
      <c r="O69" s="142">
        <f t="shared" si="2"/>
        <v>0</v>
      </c>
      <c r="P69" s="24" t="s">
        <v>314</v>
      </c>
    </row>
    <row r="70" spans="1:16" ht="45" customHeight="1">
      <c r="A70" s="140" t="s">
        <v>138</v>
      </c>
      <c r="B70" s="39">
        <v>0</v>
      </c>
      <c r="C70" s="53" t="s">
        <v>150</v>
      </c>
      <c r="D70" s="141" t="s">
        <v>26</v>
      </c>
      <c r="E70" s="141" t="s">
        <v>48</v>
      </c>
      <c r="F70" s="141"/>
      <c r="G70" s="141"/>
      <c r="H70" s="139">
        <v>1</v>
      </c>
      <c r="I70" s="139">
        <v>0</v>
      </c>
      <c r="J70" s="139">
        <v>0</v>
      </c>
      <c r="K70" s="139">
        <v>0</v>
      </c>
      <c r="L70" s="139">
        <v>0</v>
      </c>
      <c r="M70" s="139">
        <v>1</v>
      </c>
      <c r="N70" s="139">
        <v>0</v>
      </c>
      <c r="O70" s="142">
        <f t="shared" si="2"/>
        <v>0.2857142857142857</v>
      </c>
      <c r="P70" s="138" t="s">
        <v>347</v>
      </c>
    </row>
    <row r="71" spans="1:16" ht="45" customHeight="1">
      <c r="A71" s="140" t="s">
        <v>217</v>
      </c>
      <c r="B71" s="39">
        <v>0</v>
      </c>
      <c r="C71" s="141" t="s">
        <v>123</v>
      </c>
      <c r="D71" s="141" t="s">
        <v>6</v>
      </c>
      <c r="E71" s="141"/>
      <c r="F71" s="141"/>
      <c r="G71" s="141"/>
      <c r="H71" s="139">
        <v>0</v>
      </c>
      <c r="I71" s="139">
        <v>0</v>
      </c>
      <c r="J71" s="139">
        <v>0</v>
      </c>
      <c r="K71" s="139">
        <v>0</v>
      </c>
      <c r="L71" s="139">
        <v>0</v>
      </c>
      <c r="M71" s="139">
        <v>0</v>
      </c>
      <c r="N71" s="139">
        <v>0</v>
      </c>
      <c r="O71" s="142">
        <f t="shared" si="2"/>
        <v>0</v>
      </c>
      <c r="P71" s="138" t="s">
        <v>477</v>
      </c>
    </row>
    <row r="72" spans="1:16" ht="45" customHeight="1">
      <c r="A72" s="41" t="s">
        <v>171</v>
      </c>
      <c r="B72" s="39">
        <v>0</v>
      </c>
      <c r="C72" s="141" t="s">
        <v>150</v>
      </c>
      <c r="D72" s="141" t="s">
        <v>6</v>
      </c>
      <c r="E72" s="141"/>
      <c r="F72" s="141" t="s">
        <v>41</v>
      </c>
      <c r="G72" s="141"/>
      <c r="H72" s="54">
        <v>0</v>
      </c>
      <c r="I72" s="139">
        <v>0</v>
      </c>
      <c r="J72" s="139">
        <v>0</v>
      </c>
      <c r="K72" s="139">
        <v>0</v>
      </c>
      <c r="L72" s="139">
        <v>0</v>
      </c>
      <c r="M72" s="139">
        <v>0</v>
      </c>
      <c r="N72" s="139">
        <v>0</v>
      </c>
      <c r="O72" s="142">
        <f t="shared" si="2"/>
        <v>0</v>
      </c>
      <c r="P72" s="138" t="s">
        <v>520</v>
      </c>
    </row>
    <row r="73" spans="1:16" ht="45" customHeight="1">
      <c r="A73" s="140" t="s">
        <v>521</v>
      </c>
      <c r="B73" s="39">
        <v>0</v>
      </c>
      <c r="C73" s="141" t="s">
        <v>150</v>
      </c>
      <c r="D73" s="141"/>
      <c r="E73" s="141"/>
      <c r="F73" s="141"/>
      <c r="G73" s="141"/>
      <c r="H73" s="139"/>
      <c r="I73" s="139"/>
      <c r="J73" s="139"/>
      <c r="K73" s="139"/>
      <c r="L73" s="139"/>
      <c r="M73" s="139"/>
      <c r="N73" s="139"/>
      <c r="O73" s="142"/>
      <c r="P73" s="138" t="s">
        <v>522</v>
      </c>
    </row>
    <row r="74" spans="1:16" ht="45" customHeight="1">
      <c r="A74" s="140"/>
      <c r="B74" s="39">
        <v>0</v>
      </c>
      <c r="C74" s="21"/>
      <c r="D74" s="21"/>
      <c r="E74" s="21"/>
      <c r="F74" s="21"/>
      <c r="G74" s="21"/>
      <c r="H74" s="22"/>
      <c r="I74" s="22"/>
      <c r="J74" s="22"/>
      <c r="K74" s="22"/>
      <c r="L74" s="22"/>
      <c r="M74" s="22"/>
      <c r="N74" s="22"/>
      <c r="O74" s="142" t="e">
        <f t="shared" ref="O74:O81" si="3">AVERAGE(H74:N74)</f>
        <v>#DIV/0!</v>
      </c>
      <c r="P74" s="24"/>
    </row>
    <row r="75" spans="1:16" ht="45" customHeight="1">
      <c r="A75" s="140"/>
      <c r="B75" s="39">
        <v>0</v>
      </c>
      <c r="C75" s="21"/>
      <c r="D75" s="21"/>
      <c r="E75" s="21"/>
      <c r="F75" s="21"/>
      <c r="G75" s="21"/>
      <c r="H75" s="22"/>
      <c r="I75" s="22"/>
      <c r="J75" s="22"/>
      <c r="K75" s="22"/>
      <c r="L75" s="22"/>
      <c r="M75" s="22"/>
      <c r="N75" s="22"/>
      <c r="O75" s="142" t="e">
        <f t="shared" si="3"/>
        <v>#DIV/0!</v>
      </c>
      <c r="P75" s="24"/>
    </row>
    <row r="76" spans="1:16" ht="45" customHeight="1">
      <c r="A76" s="140"/>
      <c r="B76" s="39">
        <v>0</v>
      </c>
      <c r="C76" s="21"/>
      <c r="D76" s="21"/>
      <c r="E76" s="21"/>
      <c r="F76" s="21"/>
      <c r="G76" s="21"/>
      <c r="H76" s="22">
        <v>0</v>
      </c>
      <c r="I76" s="22">
        <v>0</v>
      </c>
      <c r="J76" s="22">
        <v>0</v>
      </c>
      <c r="K76" s="22">
        <v>0</v>
      </c>
      <c r="L76" s="22">
        <v>0</v>
      </c>
      <c r="M76" s="22">
        <v>0</v>
      </c>
      <c r="N76" s="22">
        <v>0</v>
      </c>
      <c r="O76" s="142">
        <f t="shared" si="3"/>
        <v>0</v>
      </c>
      <c r="P76" s="24"/>
    </row>
    <row r="77" spans="1:16" ht="45" customHeight="1">
      <c r="A77" s="140"/>
      <c r="B77" s="39">
        <v>0</v>
      </c>
      <c r="C77" s="21"/>
      <c r="D77" s="21"/>
      <c r="E77" s="21"/>
      <c r="F77" s="21"/>
      <c r="G77" s="21"/>
      <c r="H77" s="22"/>
      <c r="I77" s="22"/>
      <c r="J77" s="22"/>
      <c r="K77" s="22"/>
      <c r="L77" s="22"/>
      <c r="M77" s="22"/>
      <c r="N77" s="22"/>
      <c r="O77" s="142" t="e">
        <f t="shared" si="3"/>
        <v>#DIV/0!</v>
      </c>
      <c r="P77" s="24"/>
    </row>
    <row r="78" spans="1:16" ht="45" customHeight="1">
      <c r="A78" s="140"/>
      <c r="B78" s="39">
        <v>0</v>
      </c>
      <c r="C78" s="21"/>
      <c r="D78" s="21"/>
      <c r="E78" s="21"/>
      <c r="F78" s="21"/>
      <c r="G78" s="21"/>
      <c r="H78" s="22"/>
      <c r="I78" s="22"/>
      <c r="J78" s="22"/>
      <c r="K78" s="22"/>
      <c r="L78" s="22"/>
      <c r="M78" s="22"/>
      <c r="N78" s="22"/>
      <c r="O78" s="142" t="e">
        <f t="shared" si="3"/>
        <v>#DIV/0!</v>
      </c>
      <c r="P78" s="24"/>
    </row>
    <row r="79" spans="1:16" ht="45" customHeight="1">
      <c r="A79" s="140"/>
      <c r="B79" s="39">
        <v>0</v>
      </c>
      <c r="C79" s="21"/>
      <c r="D79" s="21"/>
      <c r="E79" s="21"/>
      <c r="F79" s="21"/>
      <c r="G79" s="21"/>
      <c r="H79" s="22">
        <v>0</v>
      </c>
      <c r="I79" s="22">
        <v>0</v>
      </c>
      <c r="J79" s="22">
        <v>0</v>
      </c>
      <c r="K79" s="22">
        <v>0</v>
      </c>
      <c r="L79" s="22">
        <v>0</v>
      </c>
      <c r="M79" s="22">
        <v>0</v>
      </c>
      <c r="N79" s="22">
        <v>0</v>
      </c>
      <c r="O79" s="142">
        <f t="shared" si="3"/>
        <v>0</v>
      </c>
      <c r="P79" s="24"/>
    </row>
    <row r="80" spans="1:16" ht="45" customHeight="1">
      <c r="A80" s="140"/>
      <c r="B80" s="39">
        <v>0</v>
      </c>
      <c r="C80" s="21"/>
      <c r="D80" s="21"/>
      <c r="E80" s="21"/>
      <c r="F80" s="21"/>
      <c r="G80" s="21"/>
      <c r="H80" s="22" t="s">
        <v>118</v>
      </c>
      <c r="I80" s="22"/>
      <c r="J80" s="22"/>
      <c r="K80" s="22"/>
      <c r="L80" s="22"/>
      <c r="M80" s="22"/>
      <c r="N80" s="22"/>
      <c r="O80" s="142" t="e">
        <f t="shared" si="3"/>
        <v>#DIV/0!</v>
      </c>
      <c r="P80" s="24"/>
    </row>
    <row r="81" spans="1:16" ht="45" customHeight="1">
      <c r="A81" s="140"/>
      <c r="B81" s="39">
        <v>0</v>
      </c>
      <c r="C81" s="21"/>
      <c r="D81" s="21"/>
      <c r="E81" s="21"/>
      <c r="F81" s="21"/>
      <c r="G81" s="21"/>
      <c r="H81" s="22"/>
      <c r="I81" s="22"/>
      <c r="J81" s="22"/>
      <c r="K81" s="22"/>
      <c r="L81" s="22"/>
      <c r="M81" s="22"/>
      <c r="N81" s="22"/>
      <c r="O81" s="142" t="e">
        <f t="shared" si="3"/>
        <v>#DIV/0!</v>
      </c>
      <c r="P81" s="24"/>
    </row>
    <row r="82" spans="1:16" ht="45" customHeight="1">
      <c r="A82" s="140"/>
      <c r="B82" s="39">
        <v>0</v>
      </c>
      <c r="C82" s="21"/>
      <c r="D82" s="21"/>
      <c r="E82" s="21"/>
      <c r="F82" s="21"/>
      <c r="G82" s="21"/>
      <c r="H82" s="22">
        <v>0</v>
      </c>
      <c r="I82" s="22">
        <v>0</v>
      </c>
      <c r="J82" s="22">
        <v>0</v>
      </c>
      <c r="K82" s="22">
        <v>0</v>
      </c>
      <c r="L82" s="22">
        <v>0</v>
      </c>
      <c r="M82" s="22">
        <v>0</v>
      </c>
      <c r="N82" s="22">
        <v>0</v>
      </c>
      <c r="O82" s="23">
        <f t="shared" ref="O82:O113" si="4">AVERAGE(H82:N84)</f>
        <v>0</v>
      </c>
      <c r="P82" s="24"/>
    </row>
    <row r="83" spans="1:16" ht="45" customHeight="1">
      <c r="A83" s="140"/>
      <c r="B83" s="39">
        <v>0</v>
      </c>
      <c r="C83" s="21"/>
      <c r="D83" s="21"/>
      <c r="E83" s="21"/>
      <c r="F83" s="21"/>
      <c r="G83" s="21"/>
      <c r="H83" s="22">
        <v>0</v>
      </c>
      <c r="I83" s="22">
        <v>0</v>
      </c>
      <c r="J83" s="22">
        <v>0</v>
      </c>
      <c r="K83" s="22">
        <v>0</v>
      </c>
      <c r="L83" s="22">
        <v>0</v>
      </c>
      <c r="M83" s="22">
        <v>0</v>
      </c>
      <c r="N83" s="22">
        <v>0</v>
      </c>
      <c r="O83" s="23">
        <f t="shared" si="4"/>
        <v>0</v>
      </c>
      <c r="P83" s="24"/>
    </row>
    <row r="84" spans="1:16" ht="45" customHeight="1">
      <c r="A84" s="140"/>
      <c r="B84" s="39">
        <v>0</v>
      </c>
      <c r="C84" s="21"/>
      <c r="D84" s="21"/>
      <c r="E84" s="21"/>
      <c r="F84" s="21"/>
      <c r="G84" s="21"/>
      <c r="H84" s="22">
        <v>0</v>
      </c>
      <c r="I84" s="22">
        <v>0</v>
      </c>
      <c r="J84" s="22">
        <v>0</v>
      </c>
      <c r="K84" s="22">
        <v>0</v>
      </c>
      <c r="L84" s="22">
        <v>0</v>
      </c>
      <c r="M84" s="22">
        <v>0</v>
      </c>
      <c r="N84" s="22">
        <v>0</v>
      </c>
      <c r="O84" s="23">
        <f t="shared" si="4"/>
        <v>0</v>
      </c>
      <c r="P84" s="24"/>
    </row>
    <row r="85" spans="1:16" ht="45" customHeight="1">
      <c r="A85" s="140"/>
      <c r="B85" s="39">
        <v>0</v>
      </c>
      <c r="C85" s="21"/>
      <c r="D85" s="21"/>
      <c r="E85" s="21"/>
      <c r="F85" s="21"/>
      <c r="G85" s="21"/>
      <c r="H85" s="22">
        <v>0</v>
      </c>
      <c r="I85" s="22">
        <v>0</v>
      </c>
      <c r="J85" s="22">
        <v>0</v>
      </c>
      <c r="K85" s="22">
        <v>0</v>
      </c>
      <c r="L85" s="22">
        <v>0</v>
      </c>
      <c r="M85" s="22">
        <v>0</v>
      </c>
      <c r="N85" s="22">
        <v>0</v>
      </c>
      <c r="O85" s="23">
        <f t="shared" si="4"/>
        <v>0</v>
      </c>
      <c r="P85" s="24"/>
    </row>
    <row r="86" spans="1:16" ht="45" customHeight="1">
      <c r="A86" s="140"/>
      <c r="B86" s="39">
        <v>0</v>
      </c>
      <c r="C86" s="21"/>
      <c r="D86" s="21"/>
      <c r="E86" s="21"/>
      <c r="F86" s="21"/>
      <c r="G86" s="21"/>
      <c r="H86" s="22">
        <v>0</v>
      </c>
      <c r="I86" s="22">
        <v>0</v>
      </c>
      <c r="J86" s="22">
        <v>0</v>
      </c>
      <c r="K86" s="22">
        <v>0</v>
      </c>
      <c r="L86" s="22">
        <v>0</v>
      </c>
      <c r="M86" s="22">
        <v>0</v>
      </c>
      <c r="N86" s="22">
        <v>0</v>
      </c>
      <c r="O86" s="23">
        <f t="shared" si="4"/>
        <v>0</v>
      </c>
      <c r="P86" s="24"/>
    </row>
    <row r="87" spans="1:16" ht="45" customHeight="1">
      <c r="A87" s="140"/>
      <c r="B87" s="39">
        <v>0</v>
      </c>
      <c r="C87" s="21"/>
      <c r="D87" s="21"/>
      <c r="E87" s="21"/>
      <c r="F87" s="21"/>
      <c r="G87" s="21"/>
      <c r="H87" s="22">
        <v>0</v>
      </c>
      <c r="I87" s="22">
        <v>0</v>
      </c>
      <c r="J87" s="22">
        <v>0</v>
      </c>
      <c r="K87" s="22">
        <v>0</v>
      </c>
      <c r="L87" s="22">
        <v>0</v>
      </c>
      <c r="M87" s="22">
        <v>0</v>
      </c>
      <c r="N87" s="22">
        <v>0</v>
      </c>
      <c r="O87" s="23">
        <f t="shared" si="4"/>
        <v>0</v>
      </c>
      <c r="P87" s="24"/>
    </row>
    <row r="88" spans="1:16" ht="45" customHeight="1">
      <c r="A88" s="140"/>
      <c r="B88" s="39">
        <v>0</v>
      </c>
      <c r="C88" s="21"/>
      <c r="D88" s="21"/>
      <c r="E88" s="21"/>
      <c r="F88" s="21"/>
      <c r="G88" s="21"/>
      <c r="H88" s="22">
        <v>0</v>
      </c>
      <c r="I88" s="22">
        <v>0</v>
      </c>
      <c r="J88" s="22">
        <v>0</v>
      </c>
      <c r="K88" s="22">
        <v>0</v>
      </c>
      <c r="L88" s="22">
        <v>0</v>
      </c>
      <c r="M88" s="22">
        <v>0</v>
      </c>
      <c r="N88" s="22">
        <v>0</v>
      </c>
      <c r="O88" s="23">
        <f t="shared" si="4"/>
        <v>0</v>
      </c>
      <c r="P88" s="24"/>
    </row>
    <row r="89" spans="1:16" ht="45" customHeight="1">
      <c r="A89" s="140"/>
      <c r="B89" s="39">
        <v>0</v>
      </c>
      <c r="C89" s="21"/>
      <c r="D89" s="21"/>
      <c r="E89" s="21"/>
      <c r="F89" s="21"/>
      <c r="G89" s="21"/>
      <c r="H89" s="22">
        <v>0</v>
      </c>
      <c r="I89" s="22">
        <v>0</v>
      </c>
      <c r="J89" s="22">
        <v>0</v>
      </c>
      <c r="K89" s="22">
        <v>0</v>
      </c>
      <c r="L89" s="22">
        <v>0</v>
      </c>
      <c r="M89" s="22">
        <v>0</v>
      </c>
      <c r="N89" s="22">
        <v>0</v>
      </c>
      <c r="O89" s="23">
        <f t="shared" si="4"/>
        <v>0</v>
      </c>
      <c r="P89" s="24"/>
    </row>
    <row r="90" spans="1:16" ht="45" customHeight="1">
      <c r="A90" s="140"/>
      <c r="B90" s="39">
        <v>0</v>
      </c>
      <c r="C90" s="21"/>
      <c r="D90" s="21"/>
      <c r="E90" s="21"/>
      <c r="F90" s="21"/>
      <c r="G90" s="21"/>
      <c r="H90" s="22">
        <v>0</v>
      </c>
      <c r="I90" s="22">
        <v>0</v>
      </c>
      <c r="J90" s="22">
        <v>0</v>
      </c>
      <c r="K90" s="22">
        <v>0</v>
      </c>
      <c r="L90" s="22">
        <v>0</v>
      </c>
      <c r="M90" s="22">
        <v>0</v>
      </c>
      <c r="N90" s="22">
        <v>0</v>
      </c>
      <c r="O90" s="23">
        <f t="shared" si="4"/>
        <v>0</v>
      </c>
      <c r="P90" s="24"/>
    </row>
    <row r="91" spans="1:16" ht="45" customHeight="1">
      <c r="A91" s="140"/>
      <c r="B91" s="39">
        <v>0</v>
      </c>
      <c r="C91" s="21"/>
      <c r="D91" s="21"/>
      <c r="E91" s="21"/>
      <c r="F91" s="21"/>
      <c r="G91" s="21"/>
      <c r="H91" s="22">
        <v>0</v>
      </c>
      <c r="I91" s="22">
        <v>0</v>
      </c>
      <c r="J91" s="22">
        <v>0</v>
      </c>
      <c r="K91" s="22">
        <v>0</v>
      </c>
      <c r="L91" s="22">
        <v>0</v>
      </c>
      <c r="M91" s="22">
        <v>0</v>
      </c>
      <c r="N91" s="22">
        <v>0</v>
      </c>
      <c r="O91" s="23">
        <f t="shared" si="4"/>
        <v>0</v>
      </c>
      <c r="P91" s="24"/>
    </row>
    <row r="92" spans="1:16" ht="45" customHeight="1">
      <c r="A92" s="140"/>
      <c r="B92" s="39">
        <v>0</v>
      </c>
      <c r="C92" s="21"/>
      <c r="D92" s="21"/>
      <c r="E92" s="21"/>
      <c r="F92" s="21"/>
      <c r="G92" s="21"/>
      <c r="H92" s="22">
        <v>0</v>
      </c>
      <c r="I92" s="22">
        <v>0</v>
      </c>
      <c r="J92" s="22">
        <v>0</v>
      </c>
      <c r="K92" s="22">
        <v>0</v>
      </c>
      <c r="L92" s="22">
        <v>0</v>
      </c>
      <c r="M92" s="22">
        <v>0</v>
      </c>
      <c r="N92" s="22">
        <v>0</v>
      </c>
      <c r="O92" s="23">
        <f t="shared" si="4"/>
        <v>0</v>
      </c>
      <c r="P92" s="24"/>
    </row>
    <row r="93" spans="1:16" ht="45" customHeight="1">
      <c r="A93" s="140"/>
      <c r="B93" s="39">
        <v>0</v>
      </c>
      <c r="C93" s="21"/>
      <c r="D93" s="21"/>
      <c r="E93" s="21"/>
      <c r="F93" s="21"/>
      <c r="G93" s="21"/>
      <c r="H93" s="22">
        <v>0</v>
      </c>
      <c r="I93" s="22">
        <v>0</v>
      </c>
      <c r="J93" s="22">
        <v>0</v>
      </c>
      <c r="K93" s="22">
        <v>0</v>
      </c>
      <c r="L93" s="22">
        <v>0</v>
      </c>
      <c r="M93" s="22">
        <v>0</v>
      </c>
      <c r="N93" s="22">
        <v>0</v>
      </c>
      <c r="O93" s="23">
        <f t="shared" si="4"/>
        <v>0</v>
      </c>
      <c r="P93" s="24"/>
    </row>
    <row r="94" spans="1:16" ht="45" customHeight="1">
      <c r="A94" s="140"/>
      <c r="B94" s="39">
        <v>0</v>
      </c>
      <c r="C94" s="21"/>
      <c r="D94" s="21"/>
      <c r="E94" s="21"/>
      <c r="F94" s="21"/>
      <c r="G94" s="21"/>
      <c r="H94" s="22">
        <v>0</v>
      </c>
      <c r="I94" s="22">
        <v>0</v>
      </c>
      <c r="J94" s="22">
        <v>0</v>
      </c>
      <c r="K94" s="22">
        <v>0</v>
      </c>
      <c r="L94" s="22">
        <v>0</v>
      </c>
      <c r="M94" s="22">
        <v>0</v>
      </c>
      <c r="N94" s="22">
        <v>0</v>
      </c>
      <c r="O94" s="23">
        <f t="shared" si="4"/>
        <v>0</v>
      </c>
      <c r="P94" s="24"/>
    </row>
    <row r="95" spans="1:16" ht="45" customHeight="1">
      <c r="A95" s="140"/>
      <c r="B95" s="39">
        <v>0</v>
      </c>
      <c r="C95" s="21"/>
      <c r="D95" s="21"/>
      <c r="E95" s="21"/>
      <c r="F95" s="21"/>
      <c r="G95" s="21"/>
      <c r="H95" s="22">
        <v>0</v>
      </c>
      <c r="I95" s="22">
        <v>0</v>
      </c>
      <c r="J95" s="22">
        <v>0</v>
      </c>
      <c r="K95" s="22">
        <v>0</v>
      </c>
      <c r="L95" s="22">
        <v>0</v>
      </c>
      <c r="M95" s="22">
        <v>0</v>
      </c>
      <c r="N95" s="22">
        <v>0</v>
      </c>
      <c r="O95" s="23">
        <f t="shared" si="4"/>
        <v>0</v>
      </c>
      <c r="P95" s="24"/>
    </row>
    <row r="96" spans="1:16" ht="45" customHeight="1">
      <c r="A96" s="140"/>
      <c r="B96" s="39">
        <v>0</v>
      </c>
      <c r="C96" s="21"/>
      <c r="D96" s="21"/>
      <c r="E96" s="21"/>
      <c r="F96" s="21"/>
      <c r="G96" s="21"/>
      <c r="H96" s="22">
        <v>0</v>
      </c>
      <c r="I96" s="22">
        <v>0</v>
      </c>
      <c r="J96" s="22">
        <v>0</v>
      </c>
      <c r="K96" s="22">
        <v>0</v>
      </c>
      <c r="L96" s="22">
        <v>0</v>
      </c>
      <c r="M96" s="22">
        <v>0</v>
      </c>
      <c r="N96" s="22">
        <v>0</v>
      </c>
      <c r="O96" s="23">
        <f t="shared" si="4"/>
        <v>0</v>
      </c>
      <c r="P96" s="24"/>
    </row>
    <row r="97" spans="1:16" ht="45" customHeight="1">
      <c r="A97" s="140"/>
      <c r="B97" s="39">
        <v>0</v>
      </c>
      <c r="C97" s="21"/>
      <c r="D97" s="21"/>
      <c r="E97" s="21"/>
      <c r="F97" s="21"/>
      <c r="G97" s="21"/>
      <c r="H97" s="22">
        <v>0</v>
      </c>
      <c r="I97" s="22">
        <v>0</v>
      </c>
      <c r="J97" s="22">
        <v>0</v>
      </c>
      <c r="K97" s="22">
        <v>0</v>
      </c>
      <c r="L97" s="22">
        <v>0</v>
      </c>
      <c r="M97" s="22">
        <v>0</v>
      </c>
      <c r="N97" s="22">
        <v>0</v>
      </c>
      <c r="O97" s="23">
        <f t="shared" si="4"/>
        <v>0</v>
      </c>
      <c r="P97" s="24"/>
    </row>
    <row r="98" spans="1:16" ht="45" customHeight="1">
      <c r="A98" s="140"/>
      <c r="B98" s="39">
        <v>0</v>
      </c>
      <c r="C98" s="21"/>
      <c r="D98" s="21"/>
      <c r="E98" s="21"/>
      <c r="F98" s="21"/>
      <c r="G98" s="21"/>
      <c r="H98" s="22">
        <v>0</v>
      </c>
      <c r="I98" s="22">
        <v>0</v>
      </c>
      <c r="J98" s="22">
        <v>0</v>
      </c>
      <c r="K98" s="22">
        <v>0</v>
      </c>
      <c r="L98" s="22">
        <v>0</v>
      </c>
      <c r="M98" s="22">
        <v>0</v>
      </c>
      <c r="N98" s="22">
        <v>0</v>
      </c>
      <c r="O98" s="23">
        <f t="shared" si="4"/>
        <v>0</v>
      </c>
      <c r="P98" s="24"/>
    </row>
    <row r="99" spans="1:16" ht="45" customHeight="1">
      <c r="A99" s="140"/>
      <c r="B99" s="39">
        <v>0</v>
      </c>
      <c r="C99" s="21"/>
      <c r="D99" s="21"/>
      <c r="E99" s="21"/>
      <c r="F99" s="21"/>
      <c r="G99" s="21"/>
      <c r="H99" s="22">
        <v>0</v>
      </c>
      <c r="I99" s="22">
        <v>0</v>
      </c>
      <c r="J99" s="22">
        <v>0</v>
      </c>
      <c r="K99" s="22">
        <v>0</v>
      </c>
      <c r="L99" s="22">
        <v>0</v>
      </c>
      <c r="M99" s="22">
        <v>0</v>
      </c>
      <c r="N99" s="22">
        <v>0</v>
      </c>
      <c r="O99" s="23">
        <f t="shared" si="4"/>
        <v>0</v>
      </c>
      <c r="P99" s="24"/>
    </row>
    <row r="100" spans="1:16" ht="45" customHeight="1">
      <c r="A100" s="140"/>
      <c r="B100" s="39">
        <v>0</v>
      </c>
      <c r="C100" s="21"/>
      <c r="D100" s="21"/>
      <c r="E100" s="21"/>
      <c r="F100" s="21"/>
      <c r="G100" s="21"/>
      <c r="H100" s="22">
        <v>0</v>
      </c>
      <c r="I100" s="22">
        <v>0</v>
      </c>
      <c r="J100" s="22">
        <v>0</v>
      </c>
      <c r="K100" s="22">
        <v>0</v>
      </c>
      <c r="L100" s="22">
        <v>0</v>
      </c>
      <c r="M100" s="22">
        <v>0</v>
      </c>
      <c r="N100" s="22">
        <v>0</v>
      </c>
      <c r="O100" s="23">
        <f t="shared" si="4"/>
        <v>0</v>
      </c>
      <c r="P100" s="24"/>
    </row>
    <row r="101" spans="1:16" ht="45" customHeight="1">
      <c r="A101" s="140"/>
      <c r="B101" s="39">
        <v>0</v>
      </c>
      <c r="C101" s="21"/>
      <c r="D101" s="21"/>
      <c r="E101" s="21"/>
      <c r="F101" s="21"/>
      <c r="G101" s="21"/>
      <c r="H101" s="22">
        <v>0</v>
      </c>
      <c r="I101" s="22">
        <v>0</v>
      </c>
      <c r="J101" s="22">
        <v>0</v>
      </c>
      <c r="K101" s="22">
        <v>0</v>
      </c>
      <c r="L101" s="22">
        <v>0</v>
      </c>
      <c r="M101" s="22">
        <v>0</v>
      </c>
      <c r="N101" s="22">
        <v>0</v>
      </c>
      <c r="O101" s="23">
        <f t="shared" si="4"/>
        <v>0</v>
      </c>
      <c r="P101" s="24"/>
    </row>
    <row r="102" spans="1:16" ht="45" customHeight="1">
      <c r="A102" s="140"/>
      <c r="B102" s="39">
        <v>0</v>
      </c>
      <c r="C102" s="21"/>
      <c r="D102" s="21"/>
      <c r="E102" s="21"/>
      <c r="F102" s="21"/>
      <c r="G102" s="21"/>
      <c r="H102" s="22">
        <v>0</v>
      </c>
      <c r="I102" s="22">
        <v>0</v>
      </c>
      <c r="J102" s="22">
        <v>0</v>
      </c>
      <c r="K102" s="22">
        <v>0</v>
      </c>
      <c r="L102" s="22">
        <v>0</v>
      </c>
      <c r="M102" s="22">
        <v>0</v>
      </c>
      <c r="N102" s="22">
        <v>0</v>
      </c>
      <c r="O102" s="23">
        <f t="shared" si="4"/>
        <v>0</v>
      </c>
      <c r="P102" s="24"/>
    </row>
    <row r="103" spans="1:16" ht="45" customHeight="1">
      <c r="A103" s="140"/>
      <c r="B103" s="39">
        <v>0</v>
      </c>
      <c r="C103" s="21"/>
      <c r="D103" s="21"/>
      <c r="E103" s="21"/>
      <c r="F103" s="21"/>
      <c r="G103" s="21"/>
      <c r="H103" s="22">
        <v>0</v>
      </c>
      <c r="I103" s="22">
        <v>0</v>
      </c>
      <c r="J103" s="22">
        <v>0</v>
      </c>
      <c r="K103" s="22">
        <v>0</v>
      </c>
      <c r="L103" s="22">
        <v>0</v>
      </c>
      <c r="M103" s="22">
        <v>0</v>
      </c>
      <c r="N103" s="22">
        <v>0</v>
      </c>
      <c r="O103" s="23">
        <f t="shared" si="4"/>
        <v>0</v>
      </c>
      <c r="P103" s="24"/>
    </row>
    <row r="104" spans="1:16" ht="45" customHeight="1">
      <c r="A104" s="140"/>
      <c r="B104" s="39">
        <v>0</v>
      </c>
      <c r="C104" s="21"/>
      <c r="D104" s="21"/>
      <c r="E104" s="21"/>
      <c r="F104" s="21"/>
      <c r="G104" s="21"/>
      <c r="H104" s="22">
        <v>0</v>
      </c>
      <c r="I104" s="22">
        <v>0</v>
      </c>
      <c r="J104" s="22">
        <v>0</v>
      </c>
      <c r="K104" s="22">
        <v>0</v>
      </c>
      <c r="L104" s="22">
        <v>0</v>
      </c>
      <c r="M104" s="22">
        <v>0</v>
      </c>
      <c r="N104" s="22">
        <v>0</v>
      </c>
      <c r="O104" s="23">
        <f t="shared" si="4"/>
        <v>0</v>
      </c>
      <c r="P104" s="24"/>
    </row>
    <row r="105" spans="1:16" ht="45" customHeight="1">
      <c r="A105" s="140"/>
      <c r="B105" s="39">
        <v>0</v>
      </c>
      <c r="C105" s="21"/>
      <c r="D105" s="21"/>
      <c r="E105" s="21"/>
      <c r="F105" s="21"/>
      <c r="G105" s="21"/>
      <c r="H105" s="22">
        <v>0</v>
      </c>
      <c r="I105" s="22">
        <v>0</v>
      </c>
      <c r="J105" s="22">
        <v>0</v>
      </c>
      <c r="K105" s="22">
        <v>0</v>
      </c>
      <c r="L105" s="22">
        <v>0</v>
      </c>
      <c r="M105" s="22">
        <v>0</v>
      </c>
      <c r="N105" s="22">
        <v>0</v>
      </c>
      <c r="O105" s="23">
        <f t="shared" si="4"/>
        <v>0</v>
      </c>
      <c r="P105" s="24"/>
    </row>
    <row r="106" spans="1:16" ht="45" customHeight="1">
      <c r="A106" s="140"/>
      <c r="B106" s="39">
        <v>0</v>
      </c>
      <c r="C106" s="21"/>
      <c r="D106" s="21"/>
      <c r="E106" s="21"/>
      <c r="F106" s="21"/>
      <c r="G106" s="21"/>
      <c r="H106" s="22">
        <v>0</v>
      </c>
      <c r="I106" s="22">
        <v>0</v>
      </c>
      <c r="J106" s="22">
        <v>0</v>
      </c>
      <c r="K106" s="22">
        <v>0</v>
      </c>
      <c r="L106" s="22">
        <v>0</v>
      </c>
      <c r="M106" s="22">
        <v>0</v>
      </c>
      <c r="N106" s="22">
        <v>0</v>
      </c>
      <c r="O106" s="23">
        <f t="shared" si="4"/>
        <v>0</v>
      </c>
      <c r="P106" s="24"/>
    </row>
    <row r="107" spans="1:16" ht="45" customHeight="1">
      <c r="A107" s="140"/>
      <c r="B107" s="39">
        <v>0</v>
      </c>
      <c r="C107" s="21"/>
      <c r="D107" s="21"/>
      <c r="E107" s="21"/>
      <c r="F107" s="21"/>
      <c r="G107" s="21"/>
      <c r="H107" s="22">
        <v>0</v>
      </c>
      <c r="I107" s="22">
        <v>0</v>
      </c>
      <c r="J107" s="22">
        <v>0</v>
      </c>
      <c r="K107" s="22">
        <v>0</v>
      </c>
      <c r="L107" s="22">
        <v>0</v>
      </c>
      <c r="M107" s="22">
        <v>0</v>
      </c>
      <c r="N107" s="22">
        <v>0</v>
      </c>
      <c r="O107" s="23">
        <f t="shared" si="4"/>
        <v>0</v>
      </c>
      <c r="P107" s="24"/>
    </row>
    <row r="108" spans="1:16" ht="45" customHeight="1">
      <c r="A108" s="140"/>
      <c r="B108" s="39">
        <v>0</v>
      </c>
      <c r="C108" s="21"/>
      <c r="D108" s="21"/>
      <c r="E108" s="21"/>
      <c r="F108" s="21"/>
      <c r="G108" s="21"/>
      <c r="H108" s="22">
        <v>0</v>
      </c>
      <c r="I108" s="22">
        <v>0</v>
      </c>
      <c r="J108" s="22">
        <v>0</v>
      </c>
      <c r="K108" s="22">
        <v>0</v>
      </c>
      <c r="L108" s="22">
        <v>0</v>
      </c>
      <c r="M108" s="22">
        <v>0</v>
      </c>
      <c r="N108" s="22">
        <v>0</v>
      </c>
      <c r="O108" s="23">
        <f t="shared" si="4"/>
        <v>0</v>
      </c>
      <c r="P108" s="24"/>
    </row>
    <row r="109" spans="1:16" ht="45" customHeight="1">
      <c r="A109" s="140"/>
      <c r="B109" s="39">
        <v>0</v>
      </c>
      <c r="C109" s="21"/>
      <c r="D109" s="21"/>
      <c r="E109" s="21"/>
      <c r="F109" s="21"/>
      <c r="G109" s="21"/>
      <c r="H109" s="22">
        <v>0</v>
      </c>
      <c r="I109" s="22">
        <v>0</v>
      </c>
      <c r="J109" s="22">
        <v>0</v>
      </c>
      <c r="K109" s="22">
        <v>0</v>
      </c>
      <c r="L109" s="22">
        <v>0</v>
      </c>
      <c r="M109" s="22">
        <v>0</v>
      </c>
      <c r="N109" s="22">
        <v>0</v>
      </c>
      <c r="O109" s="23">
        <f t="shared" si="4"/>
        <v>0</v>
      </c>
      <c r="P109" s="24"/>
    </row>
    <row r="110" spans="1:16" ht="45" customHeight="1">
      <c r="A110" s="140"/>
      <c r="B110" s="39">
        <v>0</v>
      </c>
      <c r="C110" s="21"/>
      <c r="D110" s="21"/>
      <c r="E110" s="21"/>
      <c r="F110" s="21"/>
      <c r="G110" s="21"/>
      <c r="H110" s="22">
        <v>0</v>
      </c>
      <c r="I110" s="22">
        <v>0</v>
      </c>
      <c r="J110" s="22">
        <v>0</v>
      </c>
      <c r="K110" s="22">
        <v>0</v>
      </c>
      <c r="L110" s="22">
        <v>0</v>
      </c>
      <c r="M110" s="22">
        <v>0</v>
      </c>
      <c r="N110" s="22">
        <v>0</v>
      </c>
      <c r="O110" s="23">
        <f t="shared" si="4"/>
        <v>0</v>
      </c>
      <c r="P110" s="24"/>
    </row>
    <row r="111" spans="1:16" ht="45" customHeight="1">
      <c r="A111" s="140"/>
      <c r="B111" s="39">
        <v>0</v>
      </c>
      <c r="C111" s="21"/>
      <c r="D111" s="21"/>
      <c r="E111" s="21"/>
      <c r="F111" s="21"/>
      <c r="G111" s="21"/>
      <c r="H111" s="22">
        <v>0</v>
      </c>
      <c r="I111" s="22">
        <v>0</v>
      </c>
      <c r="J111" s="22">
        <v>0</v>
      </c>
      <c r="K111" s="22">
        <v>0</v>
      </c>
      <c r="L111" s="22">
        <v>0</v>
      </c>
      <c r="M111" s="22">
        <v>0</v>
      </c>
      <c r="N111" s="22">
        <v>0</v>
      </c>
      <c r="O111" s="23">
        <f t="shared" si="4"/>
        <v>0</v>
      </c>
      <c r="P111" s="24"/>
    </row>
    <row r="112" spans="1:16" ht="45" customHeight="1">
      <c r="A112" s="140"/>
      <c r="B112" s="39">
        <v>0</v>
      </c>
      <c r="C112" s="21"/>
      <c r="D112" s="21"/>
      <c r="E112" s="21"/>
      <c r="F112" s="21"/>
      <c r="G112" s="21"/>
      <c r="H112" s="22">
        <v>0</v>
      </c>
      <c r="I112" s="22">
        <v>0</v>
      </c>
      <c r="J112" s="22">
        <v>0</v>
      </c>
      <c r="K112" s="22">
        <v>0</v>
      </c>
      <c r="L112" s="22">
        <v>0</v>
      </c>
      <c r="M112" s="22">
        <v>0</v>
      </c>
      <c r="N112" s="22">
        <v>0</v>
      </c>
      <c r="O112" s="23">
        <f t="shared" si="4"/>
        <v>0</v>
      </c>
      <c r="P112" s="24"/>
    </row>
    <row r="113" spans="1:16" ht="45"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customHeight="1">
      <c r="A114" s="140"/>
      <c r="B114" s="39">
        <v>0</v>
      </c>
      <c r="C114" s="21"/>
      <c r="D114" s="21"/>
      <c r="E114" s="21"/>
      <c r="F114" s="21"/>
      <c r="G114" s="21"/>
      <c r="H114" s="22">
        <v>0</v>
      </c>
      <c r="I114" s="22">
        <v>0</v>
      </c>
      <c r="J114" s="22">
        <v>0</v>
      </c>
      <c r="K114" s="22">
        <v>0</v>
      </c>
      <c r="L114" s="22">
        <v>0</v>
      </c>
      <c r="M114" s="22">
        <v>0</v>
      </c>
      <c r="N114" s="22">
        <v>0</v>
      </c>
      <c r="O114" s="23">
        <f t="shared" ref="O114:O145" si="5">AVERAGE(H114:N116)</f>
        <v>0</v>
      </c>
      <c r="P114" s="24"/>
    </row>
    <row r="115" spans="1:16" ht="45" customHeight="1">
      <c r="A115" s="140"/>
      <c r="B115" s="39">
        <v>0</v>
      </c>
      <c r="C115" s="21"/>
      <c r="D115" s="21"/>
      <c r="E115" s="21"/>
      <c r="F115" s="21"/>
      <c r="G115" s="21"/>
      <c r="H115" s="22">
        <v>0</v>
      </c>
      <c r="I115" s="22">
        <v>0</v>
      </c>
      <c r="J115" s="22">
        <v>0</v>
      </c>
      <c r="K115" s="22">
        <v>0</v>
      </c>
      <c r="L115" s="22">
        <v>0</v>
      </c>
      <c r="M115" s="22">
        <v>0</v>
      </c>
      <c r="N115" s="22">
        <v>0</v>
      </c>
      <c r="O115" s="23">
        <f t="shared" si="5"/>
        <v>0</v>
      </c>
      <c r="P115" s="24"/>
    </row>
    <row r="116" spans="1:16" ht="45" customHeight="1">
      <c r="A116" s="140"/>
      <c r="B116" s="39">
        <v>0</v>
      </c>
      <c r="C116" s="21"/>
      <c r="D116" s="21"/>
      <c r="E116" s="21"/>
      <c r="F116" s="21"/>
      <c r="G116" s="21"/>
      <c r="H116" s="22">
        <v>0</v>
      </c>
      <c r="I116" s="22">
        <v>0</v>
      </c>
      <c r="J116" s="22">
        <v>0</v>
      </c>
      <c r="K116" s="22">
        <v>0</v>
      </c>
      <c r="L116" s="22">
        <v>0</v>
      </c>
      <c r="M116" s="22">
        <v>0</v>
      </c>
      <c r="N116" s="22">
        <v>0</v>
      </c>
      <c r="O116" s="23">
        <f t="shared" si="5"/>
        <v>0</v>
      </c>
      <c r="P116" s="24"/>
    </row>
    <row r="117" spans="1:16" ht="45" customHeight="1">
      <c r="A117" s="140"/>
      <c r="B117" s="39">
        <v>0</v>
      </c>
      <c r="C117" s="21"/>
      <c r="D117" s="21"/>
      <c r="E117" s="21"/>
      <c r="F117" s="21"/>
      <c r="G117" s="21"/>
      <c r="H117" s="22">
        <v>0</v>
      </c>
      <c r="I117" s="22">
        <v>0</v>
      </c>
      <c r="J117" s="22">
        <v>0</v>
      </c>
      <c r="K117" s="22">
        <v>0</v>
      </c>
      <c r="L117" s="22">
        <v>0</v>
      </c>
      <c r="M117" s="22">
        <v>0</v>
      </c>
      <c r="N117" s="22">
        <v>0</v>
      </c>
      <c r="O117" s="23">
        <f t="shared" si="5"/>
        <v>0</v>
      </c>
      <c r="P117" s="24"/>
    </row>
    <row r="118" spans="1:16" ht="45" customHeight="1">
      <c r="A118" s="140"/>
      <c r="B118" s="39">
        <v>0</v>
      </c>
      <c r="C118" s="21"/>
      <c r="D118" s="21"/>
      <c r="E118" s="21"/>
      <c r="F118" s="21"/>
      <c r="G118" s="21"/>
      <c r="H118" s="22">
        <v>0</v>
      </c>
      <c r="I118" s="22">
        <v>0</v>
      </c>
      <c r="J118" s="22">
        <v>0</v>
      </c>
      <c r="K118" s="22">
        <v>0</v>
      </c>
      <c r="L118" s="22">
        <v>0</v>
      </c>
      <c r="M118" s="22">
        <v>0</v>
      </c>
      <c r="N118" s="22">
        <v>0</v>
      </c>
      <c r="O118" s="23">
        <f t="shared" si="5"/>
        <v>0</v>
      </c>
      <c r="P118" s="24"/>
    </row>
    <row r="119" spans="1:16" ht="45" customHeight="1">
      <c r="A119" s="140"/>
      <c r="B119" s="39">
        <v>0</v>
      </c>
      <c r="C119" s="21"/>
      <c r="D119" s="21"/>
      <c r="E119" s="21"/>
      <c r="F119" s="21"/>
      <c r="G119" s="21"/>
      <c r="H119" s="22">
        <v>0</v>
      </c>
      <c r="I119" s="22">
        <v>0</v>
      </c>
      <c r="J119" s="22">
        <v>0</v>
      </c>
      <c r="K119" s="22">
        <v>0</v>
      </c>
      <c r="L119" s="22">
        <v>0</v>
      </c>
      <c r="M119" s="22">
        <v>0</v>
      </c>
      <c r="N119" s="22">
        <v>0</v>
      </c>
      <c r="O119" s="23">
        <f t="shared" si="5"/>
        <v>0</v>
      </c>
      <c r="P119" s="24"/>
    </row>
    <row r="120" spans="1:16" ht="45" customHeight="1">
      <c r="A120" s="140"/>
      <c r="B120" s="39">
        <v>0</v>
      </c>
      <c r="C120" s="21"/>
      <c r="D120" s="21"/>
      <c r="E120" s="21"/>
      <c r="F120" s="21"/>
      <c r="G120" s="21"/>
      <c r="H120" s="22">
        <v>0</v>
      </c>
      <c r="I120" s="22">
        <v>0</v>
      </c>
      <c r="J120" s="22">
        <v>0</v>
      </c>
      <c r="K120" s="22">
        <v>0</v>
      </c>
      <c r="L120" s="22">
        <v>0</v>
      </c>
      <c r="M120" s="22">
        <v>0</v>
      </c>
      <c r="N120" s="22">
        <v>0</v>
      </c>
      <c r="O120" s="23">
        <f t="shared" si="5"/>
        <v>0</v>
      </c>
      <c r="P120" s="24"/>
    </row>
    <row r="121" spans="1:16" ht="45" customHeight="1">
      <c r="A121" s="140"/>
      <c r="B121" s="39">
        <v>0</v>
      </c>
      <c r="C121" s="21"/>
      <c r="D121" s="21"/>
      <c r="E121" s="21"/>
      <c r="F121" s="21"/>
      <c r="G121" s="21"/>
      <c r="H121" s="22">
        <v>0</v>
      </c>
      <c r="I121" s="22">
        <v>0</v>
      </c>
      <c r="J121" s="22">
        <v>0</v>
      </c>
      <c r="K121" s="22">
        <v>0</v>
      </c>
      <c r="L121" s="22">
        <v>0</v>
      </c>
      <c r="M121" s="22">
        <v>0</v>
      </c>
      <c r="N121" s="22">
        <v>0</v>
      </c>
      <c r="O121" s="23">
        <f t="shared" si="5"/>
        <v>0</v>
      </c>
      <c r="P121" s="24"/>
    </row>
    <row r="122" spans="1:16" ht="45" customHeight="1">
      <c r="A122" s="140"/>
      <c r="B122" s="39">
        <v>0</v>
      </c>
      <c r="C122" s="21"/>
      <c r="D122" s="21"/>
      <c r="E122" s="21"/>
      <c r="F122" s="21"/>
      <c r="G122" s="21"/>
      <c r="H122" s="22">
        <v>0</v>
      </c>
      <c r="I122" s="22">
        <v>0</v>
      </c>
      <c r="J122" s="22">
        <v>0</v>
      </c>
      <c r="K122" s="22">
        <v>0</v>
      </c>
      <c r="L122" s="22">
        <v>0</v>
      </c>
      <c r="M122" s="22">
        <v>0</v>
      </c>
      <c r="N122" s="22">
        <v>0</v>
      </c>
      <c r="O122" s="23">
        <f t="shared" si="5"/>
        <v>0</v>
      </c>
      <c r="P122" s="24"/>
    </row>
    <row r="123" spans="1:16" ht="45" customHeight="1">
      <c r="A123" s="140"/>
      <c r="B123" s="39">
        <v>0</v>
      </c>
      <c r="C123" s="21"/>
      <c r="D123" s="21"/>
      <c r="E123" s="21"/>
      <c r="F123" s="21"/>
      <c r="G123" s="21"/>
      <c r="H123" s="22">
        <v>0</v>
      </c>
      <c r="I123" s="22">
        <v>0</v>
      </c>
      <c r="J123" s="22">
        <v>0</v>
      </c>
      <c r="K123" s="22">
        <v>0</v>
      </c>
      <c r="L123" s="22">
        <v>0</v>
      </c>
      <c r="M123" s="22">
        <v>0</v>
      </c>
      <c r="N123" s="22">
        <v>0</v>
      </c>
      <c r="O123" s="23">
        <f t="shared" si="5"/>
        <v>0</v>
      </c>
      <c r="P123" s="24"/>
    </row>
    <row r="124" spans="1:16" ht="45" customHeight="1">
      <c r="A124" s="140"/>
      <c r="B124" s="39">
        <v>0</v>
      </c>
      <c r="C124" s="21"/>
      <c r="D124" s="21"/>
      <c r="E124" s="21"/>
      <c r="F124" s="21"/>
      <c r="G124" s="21"/>
      <c r="H124" s="22">
        <v>0</v>
      </c>
      <c r="I124" s="22">
        <v>0</v>
      </c>
      <c r="J124" s="22">
        <v>0</v>
      </c>
      <c r="K124" s="22">
        <v>0</v>
      </c>
      <c r="L124" s="22">
        <v>0</v>
      </c>
      <c r="M124" s="22">
        <v>0</v>
      </c>
      <c r="N124" s="22">
        <v>0</v>
      </c>
      <c r="O124" s="23">
        <f t="shared" si="5"/>
        <v>0</v>
      </c>
      <c r="P124" s="24"/>
    </row>
    <row r="125" spans="1:16" ht="45" customHeight="1">
      <c r="A125" s="140"/>
      <c r="B125" s="39">
        <v>0</v>
      </c>
      <c r="C125" s="21"/>
      <c r="D125" s="21"/>
      <c r="E125" s="21"/>
      <c r="F125" s="21"/>
      <c r="G125" s="21"/>
      <c r="H125" s="22">
        <v>0</v>
      </c>
      <c r="I125" s="22">
        <v>0</v>
      </c>
      <c r="J125" s="22">
        <v>0</v>
      </c>
      <c r="K125" s="22">
        <v>0</v>
      </c>
      <c r="L125" s="22">
        <v>0</v>
      </c>
      <c r="M125" s="22">
        <v>0</v>
      </c>
      <c r="N125" s="22">
        <v>0</v>
      </c>
      <c r="O125" s="23">
        <f t="shared" si="5"/>
        <v>0</v>
      </c>
      <c r="P125" s="24"/>
    </row>
    <row r="126" spans="1:16" ht="45" customHeight="1">
      <c r="A126" s="140"/>
      <c r="B126" s="39">
        <v>0</v>
      </c>
      <c r="C126" s="21"/>
      <c r="D126" s="21"/>
      <c r="E126" s="21"/>
      <c r="F126" s="21"/>
      <c r="G126" s="21"/>
      <c r="H126" s="22">
        <v>0</v>
      </c>
      <c r="I126" s="22">
        <v>0</v>
      </c>
      <c r="J126" s="22">
        <v>0</v>
      </c>
      <c r="K126" s="22">
        <v>0</v>
      </c>
      <c r="L126" s="22">
        <v>0</v>
      </c>
      <c r="M126" s="22">
        <v>0</v>
      </c>
      <c r="N126" s="22">
        <v>0</v>
      </c>
      <c r="O126" s="23">
        <f t="shared" si="5"/>
        <v>0</v>
      </c>
      <c r="P126" s="24"/>
    </row>
    <row r="127" spans="1:16" ht="45" customHeight="1">
      <c r="A127" s="140"/>
      <c r="B127" s="39">
        <v>0</v>
      </c>
      <c r="C127" s="21"/>
      <c r="D127" s="21"/>
      <c r="E127" s="21"/>
      <c r="F127" s="21"/>
      <c r="G127" s="21"/>
      <c r="H127" s="22">
        <v>0</v>
      </c>
      <c r="I127" s="22">
        <v>0</v>
      </c>
      <c r="J127" s="22">
        <v>0</v>
      </c>
      <c r="K127" s="22">
        <v>0</v>
      </c>
      <c r="L127" s="22">
        <v>0</v>
      </c>
      <c r="M127" s="22">
        <v>0</v>
      </c>
      <c r="N127" s="22">
        <v>0</v>
      </c>
      <c r="O127" s="23">
        <f t="shared" si="5"/>
        <v>0</v>
      </c>
      <c r="P127" s="24"/>
    </row>
    <row r="128" spans="1:16" ht="45" customHeight="1">
      <c r="A128" s="140"/>
      <c r="B128" s="39">
        <v>0</v>
      </c>
      <c r="C128" s="21"/>
      <c r="D128" s="21"/>
      <c r="E128" s="21"/>
      <c r="F128" s="21"/>
      <c r="G128" s="21"/>
      <c r="H128" s="22">
        <v>0</v>
      </c>
      <c r="I128" s="22">
        <v>0</v>
      </c>
      <c r="J128" s="22">
        <v>0</v>
      </c>
      <c r="K128" s="22">
        <v>0</v>
      </c>
      <c r="L128" s="22">
        <v>0</v>
      </c>
      <c r="M128" s="22">
        <v>0</v>
      </c>
      <c r="N128" s="22">
        <v>0</v>
      </c>
      <c r="O128" s="23">
        <f t="shared" si="5"/>
        <v>0</v>
      </c>
      <c r="P128" s="24"/>
    </row>
    <row r="129" spans="1:16" ht="45" customHeight="1">
      <c r="A129" s="140"/>
      <c r="B129" s="39">
        <v>0</v>
      </c>
      <c r="C129" s="21"/>
      <c r="D129" s="21"/>
      <c r="E129" s="21"/>
      <c r="F129" s="21"/>
      <c r="G129" s="21"/>
      <c r="H129" s="22">
        <v>0</v>
      </c>
      <c r="I129" s="22">
        <v>0</v>
      </c>
      <c r="J129" s="22">
        <v>0</v>
      </c>
      <c r="K129" s="22">
        <v>0</v>
      </c>
      <c r="L129" s="22">
        <v>0</v>
      </c>
      <c r="M129" s="22">
        <v>0</v>
      </c>
      <c r="N129" s="22">
        <v>0</v>
      </c>
      <c r="O129" s="23">
        <f t="shared" si="5"/>
        <v>0</v>
      </c>
      <c r="P129" s="24"/>
    </row>
    <row r="130" spans="1:16" ht="45" customHeight="1">
      <c r="A130" s="140"/>
      <c r="B130" s="39">
        <v>0</v>
      </c>
      <c r="C130" s="21"/>
      <c r="D130" s="21"/>
      <c r="E130" s="21"/>
      <c r="F130" s="21"/>
      <c r="G130" s="21"/>
      <c r="H130" s="22">
        <v>0</v>
      </c>
      <c r="I130" s="22">
        <v>0</v>
      </c>
      <c r="J130" s="22">
        <v>0</v>
      </c>
      <c r="K130" s="22">
        <v>0</v>
      </c>
      <c r="L130" s="22">
        <v>0</v>
      </c>
      <c r="M130" s="22">
        <v>0</v>
      </c>
      <c r="N130" s="22">
        <v>0</v>
      </c>
      <c r="O130" s="23">
        <f t="shared" si="5"/>
        <v>0</v>
      </c>
      <c r="P130" s="24"/>
    </row>
    <row r="131" spans="1:16" ht="45" customHeight="1">
      <c r="A131" s="140"/>
      <c r="B131" s="39">
        <v>0</v>
      </c>
      <c r="C131" s="21"/>
      <c r="D131" s="21"/>
      <c r="E131" s="21"/>
      <c r="F131" s="21"/>
      <c r="G131" s="21"/>
      <c r="H131" s="22">
        <v>0</v>
      </c>
      <c r="I131" s="22">
        <v>0</v>
      </c>
      <c r="J131" s="22">
        <v>0</v>
      </c>
      <c r="K131" s="22">
        <v>0</v>
      </c>
      <c r="L131" s="22">
        <v>0</v>
      </c>
      <c r="M131" s="22">
        <v>0</v>
      </c>
      <c r="N131" s="22">
        <v>0</v>
      </c>
      <c r="O131" s="23">
        <f t="shared" si="5"/>
        <v>0</v>
      </c>
      <c r="P131" s="24"/>
    </row>
    <row r="132" spans="1:16" ht="45" customHeight="1">
      <c r="A132" s="140"/>
      <c r="B132" s="39">
        <v>0</v>
      </c>
      <c r="C132" s="21"/>
      <c r="D132" s="21"/>
      <c r="E132" s="21"/>
      <c r="F132" s="21"/>
      <c r="G132" s="21"/>
      <c r="H132" s="22">
        <v>0</v>
      </c>
      <c r="I132" s="22">
        <v>0</v>
      </c>
      <c r="J132" s="22">
        <v>0</v>
      </c>
      <c r="K132" s="22">
        <v>0</v>
      </c>
      <c r="L132" s="22">
        <v>0</v>
      </c>
      <c r="M132" s="22">
        <v>0</v>
      </c>
      <c r="N132" s="22">
        <v>0</v>
      </c>
      <c r="O132" s="23">
        <f t="shared" si="5"/>
        <v>0</v>
      </c>
      <c r="P132" s="24"/>
    </row>
    <row r="133" spans="1:16" ht="45" customHeight="1">
      <c r="A133" s="140"/>
      <c r="B133" s="39">
        <v>0</v>
      </c>
      <c r="C133" s="21"/>
      <c r="D133" s="21"/>
      <c r="E133" s="21"/>
      <c r="F133" s="21"/>
      <c r="G133" s="21"/>
      <c r="H133" s="22">
        <v>0</v>
      </c>
      <c r="I133" s="22">
        <v>0</v>
      </c>
      <c r="J133" s="22">
        <v>0</v>
      </c>
      <c r="K133" s="22">
        <v>0</v>
      </c>
      <c r="L133" s="22">
        <v>0</v>
      </c>
      <c r="M133" s="22">
        <v>0</v>
      </c>
      <c r="N133" s="22">
        <v>0</v>
      </c>
      <c r="O133" s="23">
        <f t="shared" si="5"/>
        <v>0</v>
      </c>
      <c r="P133" s="24"/>
    </row>
    <row r="134" spans="1:16" ht="45" customHeight="1">
      <c r="A134" s="140"/>
      <c r="B134" s="39">
        <v>0</v>
      </c>
      <c r="C134" s="21"/>
      <c r="D134" s="21"/>
      <c r="E134" s="21"/>
      <c r="F134" s="21"/>
      <c r="G134" s="21"/>
      <c r="H134" s="22">
        <v>0</v>
      </c>
      <c r="I134" s="22">
        <v>0</v>
      </c>
      <c r="J134" s="22">
        <v>0</v>
      </c>
      <c r="K134" s="22">
        <v>0</v>
      </c>
      <c r="L134" s="22">
        <v>0</v>
      </c>
      <c r="M134" s="22">
        <v>0</v>
      </c>
      <c r="N134" s="22">
        <v>0</v>
      </c>
      <c r="O134" s="23">
        <f t="shared" si="5"/>
        <v>0</v>
      </c>
      <c r="P134" s="24"/>
    </row>
    <row r="135" spans="1:16" ht="45" customHeight="1">
      <c r="A135" s="140"/>
      <c r="B135" s="39">
        <v>0</v>
      </c>
      <c r="C135" s="21"/>
      <c r="D135" s="21"/>
      <c r="E135" s="21"/>
      <c r="F135" s="21"/>
      <c r="G135" s="21"/>
      <c r="H135" s="22">
        <v>0</v>
      </c>
      <c r="I135" s="22">
        <v>0</v>
      </c>
      <c r="J135" s="22">
        <v>0</v>
      </c>
      <c r="K135" s="22">
        <v>0</v>
      </c>
      <c r="L135" s="22">
        <v>0</v>
      </c>
      <c r="M135" s="22">
        <v>0</v>
      </c>
      <c r="N135" s="22">
        <v>0</v>
      </c>
      <c r="O135" s="23">
        <f t="shared" si="5"/>
        <v>0</v>
      </c>
      <c r="P135" s="24"/>
    </row>
    <row r="136" spans="1:16" ht="45" customHeight="1">
      <c r="A136" s="140"/>
      <c r="B136" s="39">
        <v>0</v>
      </c>
      <c r="C136" s="21"/>
      <c r="D136" s="21"/>
      <c r="E136" s="21"/>
      <c r="F136" s="21"/>
      <c r="G136" s="21"/>
      <c r="H136" s="22">
        <v>0</v>
      </c>
      <c r="I136" s="22">
        <v>0</v>
      </c>
      <c r="J136" s="22">
        <v>0</v>
      </c>
      <c r="K136" s="22">
        <v>0</v>
      </c>
      <c r="L136" s="22">
        <v>0</v>
      </c>
      <c r="M136" s="22">
        <v>0</v>
      </c>
      <c r="N136" s="22">
        <v>0</v>
      </c>
      <c r="O136" s="23">
        <f t="shared" si="5"/>
        <v>0</v>
      </c>
      <c r="P136" s="24"/>
    </row>
    <row r="137" spans="1:16" ht="45" customHeight="1">
      <c r="A137" s="140"/>
      <c r="B137" s="39">
        <v>0</v>
      </c>
      <c r="C137" s="21"/>
      <c r="D137" s="21"/>
      <c r="E137" s="21"/>
      <c r="F137" s="21"/>
      <c r="G137" s="21"/>
      <c r="H137" s="22">
        <v>0</v>
      </c>
      <c r="I137" s="22">
        <v>0</v>
      </c>
      <c r="J137" s="22">
        <v>0</v>
      </c>
      <c r="K137" s="22">
        <v>0</v>
      </c>
      <c r="L137" s="22">
        <v>0</v>
      </c>
      <c r="M137" s="22">
        <v>0</v>
      </c>
      <c r="N137" s="22">
        <v>0</v>
      </c>
      <c r="O137" s="23">
        <f t="shared" si="5"/>
        <v>0</v>
      </c>
      <c r="P137" s="24"/>
    </row>
    <row r="138" spans="1:16" ht="45" customHeight="1">
      <c r="A138" s="140"/>
      <c r="B138" s="39">
        <v>0</v>
      </c>
      <c r="C138" s="21"/>
      <c r="D138" s="21"/>
      <c r="E138" s="21"/>
      <c r="F138" s="21"/>
      <c r="G138" s="21"/>
      <c r="H138" s="22">
        <v>0</v>
      </c>
      <c r="I138" s="22">
        <v>0</v>
      </c>
      <c r="J138" s="22">
        <v>0</v>
      </c>
      <c r="K138" s="22">
        <v>0</v>
      </c>
      <c r="L138" s="22">
        <v>0</v>
      </c>
      <c r="M138" s="22">
        <v>0</v>
      </c>
      <c r="N138" s="22">
        <v>0</v>
      </c>
      <c r="O138" s="23">
        <f t="shared" si="5"/>
        <v>0</v>
      </c>
      <c r="P138" s="24"/>
    </row>
    <row r="139" spans="1:16" ht="45" customHeight="1">
      <c r="A139" s="140"/>
      <c r="B139" s="39">
        <v>0</v>
      </c>
      <c r="C139" s="21"/>
      <c r="D139" s="21"/>
      <c r="E139" s="21"/>
      <c r="F139" s="21"/>
      <c r="G139" s="21"/>
      <c r="H139" s="22">
        <v>0</v>
      </c>
      <c r="I139" s="22">
        <v>0</v>
      </c>
      <c r="J139" s="22">
        <v>0</v>
      </c>
      <c r="K139" s="22">
        <v>0</v>
      </c>
      <c r="L139" s="22">
        <v>0</v>
      </c>
      <c r="M139" s="22">
        <v>0</v>
      </c>
      <c r="N139" s="22">
        <v>0</v>
      </c>
      <c r="O139" s="23">
        <f t="shared" si="5"/>
        <v>0</v>
      </c>
      <c r="P139" s="24"/>
    </row>
    <row r="140" spans="1:16" ht="45" customHeight="1">
      <c r="A140" s="152"/>
      <c r="B140" s="39">
        <v>0</v>
      </c>
      <c r="C140" s="25"/>
      <c r="D140" s="25"/>
      <c r="E140" s="25"/>
      <c r="F140" s="25"/>
      <c r="G140" s="25"/>
      <c r="H140" s="36">
        <v>0</v>
      </c>
      <c r="I140" s="37">
        <v>0</v>
      </c>
      <c r="J140" s="37">
        <v>0</v>
      </c>
      <c r="K140" s="37">
        <v>0</v>
      </c>
      <c r="L140" s="37">
        <v>0</v>
      </c>
      <c r="M140" s="37">
        <v>0</v>
      </c>
      <c r="N140" s="37">
        <v>0</v>
      </c>
      <c r="O140" s="38">
        <f t="shared" si="5"/>
        <v>0</v>
      </c>
      <c r="P140" s="19"/>
    </row>
    <row r="141" spans="1:16" ht="45" customHeight="1">
      <c r="A141" s="153"/>
      <c r="B141" s="39">
        <v>0</v>
      </c>
      <c r="C141" s="21"/>
      <c r="D141" s="21"/>
      <c r="E141" s="21"/>
      <c r="F141" s="21"/>
      <c r="G141" s="21"/>
      <c r="H141" s="32">
        <v>0</v>
      </c>
      <c r="I141" s="22">
        <v>0</v>
      </c>
      <c r="J141" s="22">
        <v>0</v>
      </c>
      <c r="K141" s="22">
        <v>0</v>
      </c>
      <c r="L141" s="22">
        <v>0</v>
      </c>
      <c r="M141" s="22">
        <v>0</v>
      </c>
      <c r="N141" s="22">
        <v>0</v>
      </c>
      <c r="O141" s="23">
        <f t="shared" si="5"/>
        <v>0</v>
      </c>
      <c r="P141" s="24"/>
    </row>
    <row r="142" spans="1:16" ht="45" customHeight="1">
      <c r="A142" s="153"/>
      <c r="B142" s="39">
        <v>0</v>
      </c>
      <c r="C142" s="21"/>
      <c r="D142" s="21"/>
      <c r="E142" s="21"/>
      <c r="F142" s="21"/>
      <c r="G142" s="21"/>
      <c r="H142" s="32">
        <v>0</v>
      </c>
      <c r="I142" s="22">
        <v>0</v>
      </c>
      <c r="J142" s="22">
        <v>0</v>
      </c>
      <c r="K142" s="22">
        <v>0</v>
      </c>
      <c r="L142" s="22">
        <v>0</v>
      </c>
      <c r="M142" s="22">
        <v>0</v>
      </c>
      <c r="N142" s="22">
        <v>0</v>
      </c>
      <c r="O142" s="23">
        <f t="shared" si="5"/>
        <v>0.23809523809523808</v>
      </c>
      <c r="P142" s="24"/>
    </row>
    <row r="143" spans="1:16" ht="45" customHeight="1">
      <c r="A143" s="153"/>
      <c r="B143" s="39">
        <v>0</v>
      </c>
      <c r="C143" s="21"/>
      <c r="D143" s="21"/>
      <c r="E143" s="21"/>
      <c r="F143" s="21"/>
      <c r="G143" s="21"/>
      <c r="H143" s="32">
        <v>0</v>
      </c>
      <c r="I143" s="22">
        <v>0</v>
      </c>
      <c r="J143" s="22">
        <v>0</v>
      </c>
      <c r="K143" s="22">
        <v>0</v>
      </c>
      <c r="L143" s="22">
        <v>0</v>
      </c>
      <c r="M143" s="22">
        <v>0</v>
      </c>
      <c r="N143" s="22">
        <v>0</v>
      </c>
      <c r="O143" s="23">
        <f t="shared" si="5"/>
        <v>0.35714285714285715</v>
      </c>
      <c r="P143" s="24"/>
    </row>
    <row r="144" spans="1:16" ht="45" customHeight="1">
      <c r="A144" s="153"/>
      <c r="B144" s="39">
        <v>5</v>
      </c>
      <c r="C144" s="21"/>
      <c r="D144" s="21"/>
      <c r="E144" s="21"/>
      <c r="F144" s="21"/>
      <c r="G144" s="21"/>
      <c r="H144" s="32">
        <v>0</v>
      </c>
      <c r="I144" s="22">
        <v>0</v>
      </c>
      <c r="J144" s="22">
        <v>0</v>
      </c>
      <c r="K144" s="22">
        <v>0</v>
      </c>
      <c r="L144" s="22">
        <v>0</v>
      </c>
      <c r="M144" s="22">
        <v>0</v>
      </c>
      <c r="N144" s="22">
        <v>5</v>
      </c>
      <c r="O144" s="23">
        <f t="shared" si="5"/>
        <v>0.7142857142857143</v>
      </c>
      <c r="P144" s="24"/>
    </row>
  </sheetData>
  <autoFilter ref="A2:P144" xr:uid="{6831539B-1EF2-456C-A99A-6624932F8169}">
    <sortState xmlns:xlrd2="http://schemas.microsoft.com/office/spreadsheetml/2017/richdata2" ref="A3:P144">
      <sortCondition ref="A2:A144"/>
    </sortState>
  </autoFilter>
  <mergeCells count="2">
    <mergeCell ref="J1:K1"/>
    <mergeCell ref="L1:N1"/>
  </mergeCells>
  <conditionalFormatting sqref="B3:B144">
    <cfRule type="iconSet" priority="1">
      <iconSet iconSet="5Rating">
        <cfvo type="percent" val="0"/>
        <cfvo type="percent" val="20"/>
        <cfvo type="percent" val="40"/>
        <cfvo type="percent" val="60"/>
        <cfvo type="percent" val="80"/>
      </iconSet>
    </cfRule>
  </conditionalFormatting>
  <conditionalFormatting sqref="H73:O884 J72:O72 H72 H3:O71">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4" xr:uid="{A16B1C87-C230-447E-A591-768068F35493}"/>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2A19716-9C18-49A8-8E9A-38A34B68D2CD}">
          <x14:formula1>
            <xm:f>'Guide suivi GDP '!$E$3:$E$8</xm:f>
          </x14:formula1>
          <xm:sqref>D3:D144</xm:sqref>
        </x14:dataValidation>
        <x14:dataValidation type="list" allowBlank="1" showInputMessage="1" showErrorMessage="1" xr:uid="{DB951DBC-6FB1-4EED-B79A-0C168CC4AE84}">
          <x14:formula1>
            <xm:f>'Guide suivi GDP '!$E$20:$E$24</xm:f>
          </x14:formula1>
          <xm:sqref>E3:E144</xm:sqref>
        </x14:dataValidation>
        <x14:dataValidation type="list" allowBlank="1" showInputMessage="1" showErrorMessage="1" xr:uid="{0945AE19-EC01-422A-8C37-41239E18E826}">
          <x14:formula1>
            <xm:f>'Guide suivi GDP '!$E$14:$E$19</xm:f>
          </x14:formula1>
          <xm:sqref>F3:F144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8F5E-9D78-4C73-9E9A-015FC3998EFD}">
  <sheetPr filterMode="1">
    <tabColor rgb="FF92D050"/>
  </sheetPr>
  <dimension ref="A1:Q146"/>
  <sheetViews>
    <sheetView workbookViewId="0">
      <selection activeCell="G22" sqref="G22"/>
    </sheetView>
  </sheetViews>
  <sheetFormatPr baseColWidth="10" defaultColWidth="9.140625" defaultRowHeight="12.75" outlineLevelCol="2"/>
  <cols>
    <col min="1" max="1" width="20.42578125"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customWidth="1" outlineLevel="2" collapsed="1"/>
    <col min="9" max="9" width="12.7109375" style="26" customWidth="1" outlineLevel="2"/>
    <col min="10" max="10" width="11" style="26" customWidth="1" outlineLevel="2"/>
    <col min="11" max="11" width="8.85546875" style="26" customWidth="1" outlineLevel="2"/>
    <col min="12" max="12" width="11.7109375" style="26" customWidth="1" outlineLevel="2"/>
    <col min="13" max="13" width="12.28515625" style="26" customWidth="1" outlineLevel="2"/>
    <col min="14" max="14" width="15.7109375" style="26" customWidth="1" outlineLevel="2"/>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107</v>
      </c>
    </row>
    <row r="4" spans="1:16"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407</v>
      </c>
    </row>
    <row r="6" spans="1:16"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143" t="s">
        <v>523</v>
      </c>
    </row>
    <row r="7" spans="1:16"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524</v>
      </c>
    </row>
    <row r="10" spans="1:16"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143" t="s">
        <v>483</v>
      </c>
    </row>
    <row r="11" spans="1:16" ht="45" hidden="1" customHeight="1">
      <c r="A11" s="153" t="s">
        <v>275</v>
      </c>
      <c r="B11" s="39">
        <v>0</v>
      </c>
      <c r="C11" s="141" t="s">
        <v>409</v>
      </c>
      <c r="D11" s="141"/>
      <c r="E11" s="141"/>
      <c r="F11" s="141"/>
      <c r="G11" s="141"/>
      <c r="H11" s="29"/>
      <c r="I11" s="145"/>
      <c r="J11" s="145"/>
      <c r="K11" s="145"/>
      <c r="L11" s="145"/>
      <c r="M11" s="145"/>
      <c r="N11" s="145"/>
      <c r="O11" s="142" t="e">
        <f t="shared" si="0"/>
        <v>#DIV/0!</v>
      </c>
      <c r="P11" s="143" t="s">
        <v>484</v>
      </c>
    </row>
    <row r="12" spans="1:16" ht="45" hidden="1" customHeight="1">
      <c r="A12" s="153" t="s">
        <v>446</v>
      </c>
      <c r="B12" s="39">
        <v>0</v>
      </c>
      <c r="C12" s="141" t="s">
        <v>409</v>
      </c>
      <c r="D12" s="141"/>
      <c r="E12" s="141"/>
      <c r="F12" s="141"/>
      <c r="G12" s="141"/>
      <c r="H12" s="29"/>
      <c r="I12" s="145"/>
      <c r="J12" s="145"/>
      <c r="K12" s="145"/>
      <c r="L12" s="145"/>
      <c r="M12" s="145"/>
      <c r="N12" s="145"/>
      <c r="O12" s="142" t="e">
        <f t="shared" si="0"/>
        <v>#DIV/0!</v>
      </c>
      <c r="P12" s="143" t="s">
        <v>485</v>
      </c>
    </row>
    <row r="13" spans="1:16"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143" t="s">
        <v>322</v>
      </c>
    </row>
    <row r="14" spans="1:16" ht="45" hidden="1" customHeight="1">
      <c r="A14" s="153" t="s">
        <v>280</v>
      </c>
      <c r="B14" s="39">
        <v>0</v>
      </c>
      <c r="C14" s="141" t="s">
        <v>409</v>
      </c>
      <c r="D14" s="21"/>
      <c r="E14" s="21"/>
      <c r="F14" s="21"/>
      <c r="G14" s="21"/>
      <c r="H14" s="29"/>
      <c r="I14" s="145"/>
      <c r="J14" s="145"/>
      <c r="K14" s="145"/>
      <c r="L14" s="145"/>
      <c r="M14" s="145"/>
      <c r="N14" s="145"/>
      <c r="O14" s="142" t="e">
        <f t="shared" si="0"/>
        <v>#DIV/0!</v>
      </c>
      <c r="P14" s="46" t="s">
        <v>323</v>
      </c>
    </row>
    <row r="15" spans="1:16"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46" t="s">
        <v>486</v>
      </c>
    </row>
    <row r="16" spans="1:16" ht="45" hidden="1" customHeight="1">
      <c r="A16" s="153" t="s">
        <v>279</v>
      </c>
      <c r="B16" s="39">
        <v>0</v>
      </c>
      <c r="C16" s="141" t="s">
        <v>409</v>
      </c>
      <c r="D16" s="21" t="s">
        <v>6</v>
      </c>
      <c r="E16" s="21"/>
      <c r="F16" s="21"/>
      <c r="G16" s="21"/>
      <c r="H16" s="29"/>
      <c r="I16" s="145"/>
      <c r="J16" s="145"/>
      <c r="K16" s="145"/>
      <c r="L16" s="145"/>
      <c r="M16" s="145"/>
      <c r="N16" s="145"/>
      <c r="O16" s="142" t="e">
        <f t="shared" si="0"/>
        <v>#DIV/0!</v>
      </c>
      <c r="P16" s="46" t="s">
        <v>448</v>
      </c>
    </row>
    <row r="17" spans="1:16"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143" t="s">
        <v>525</v>
      </c>
    </row>
    <row r="18" spans="1:16"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143" t="s">
        <v>526</v>
      </c>
    </row>
    <row r="19" spans="1:16" ht="45" customHeight="1">
      <c r="A19" s="153" t="s">
        <v>429</v>
      </c>
      <c r="B19" s="39">
        <v>0</v>
      </c>
      <c r="C19" s="141" t="s">
        <v>51</v>
      </c>
      <c r="D19" s="141" t="s">
        <v>6</v>
      </c>
      <c r="E19" s="141"/>
      <c r="F19" s="141"/>
      <c r="G19" s="141"/>
      <c r="H19" s="29">
        <v>0</v>
      </c>
      <c r="I19" s="145">
        <v>0</v>
      </c>
      <c r="J19" s="145">
        <v>0</v>
      </c>
      <c r="K19" s="145">
        <v>0</v>
      </c>
      <c r="L19" s="145">
        <v>0</v>
      </c>
      <c r="M19" s="145">
        <v>0</v>
      </c>
      <c r="N19" s="145">
        <v>0</v>
      </c>
      <c r="O19" s="142">
        <f t="shared" si="0"/>
        <v>0</v>
      </c>
      <c r="P19" s="155" t="s">
        <v>527</v>
      </c>
    </row>
    <row r="20" spans="1:16"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143" t="s">
        <v>489</v>
      </c>
    </row>
    <row r="21" spans="1:16"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143" t="s">
        <v>528</v>
      </c>
    </row>
    <row r="22" spans="1:16" ht="45"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t="s">
        <v>188</v>
      </c>
    </row>
    <row r="23" spans="1:16"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143" t="s">
        <v>451</v>
      </c>
    </row>
    <row r="24" spans="1:16"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143" t="s">
        <v>529</v>
      </c>
    </row>
    <row r="25" spans="1:16" ht="45" customHeight="1">
      <c r="A25" s="153" t="s">
        <v>415</v>
      </c>
      <c r="B25" s="39">
        <v>0</v>
      </c>
      <c r="C25" s="21" t="s">
        <v>51</v>
      </c>
      <c r="D25" s="21" t="s">
        <v>6</v>
      </c>
      <c r="E25" s="21"/>
      <c r="F25" s="21"/>
      <c r="G25" s="21"/>
      <c r="H25" s="48"/>
      <c r="I25" s="51"/>
      <c r="J25" s="51"/>
      <c r="K25" s="51"/>
      <c r="L25" s="51"/>
      <c r="M25" s="51"/>
      <c r="N25" s="51"/>
      <c r="O25" s="142" t="e">
        <f t="shared" si="0"/>
        <v>#DIV/0!</v>
      </c>
      <c r="P25" s="46" t="s">
        <v>492</v>
      </c>
    </row>
    <row r="26" spans="1:16" ht="45" customHeight="1">
      <c r="A26" s="153"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t="s">
        <v>530</v>
      </c>
    </row>
    <row r="27" spans="1:16"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143" t="s">
        <v>493</v>
      </c>
    </row>
    <row r="28" spans="1:16" ht="45"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38" t="s">
        <v>494</v>
      </c>
    </row>
    <row r="29" spans="1:16"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143" t="s">
        <v>531</v>
      </c>
    </row>
    <row r="30" spans="1:16"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t="s">
        <v>332</v>
      </c>
    </row>
    <row r="31" spans="1:16" ht="45" hidden="1" customHeight="1">
      <c r="A31" s="153" t="s">
        <v>283</v>
      </c>
      <c r="B31" s="39">
        <v>0</v>
      </c>
      <c r="C31" s="21" t="s">
        <v>174</v>
      </c>
      <c r="D31" s="21" t="s">
        <v>6</v>
      </c>
      <c r="E31" s="21"/>
      <c r="F31" s="21"/>
      <c r="G31" s="21"/>
      <c r="H31" s="48"/>
      <c r="I31" s="51"/>
      <c r="J31" s="51"/>
      <c r="K31" s="51"/>
      <c r="L31" s="51"/>
      <c r="M31" s="51"/>
      <c r="N31" s="51"/>
      <c r="O31" s="142" t="e">
        <f t="shared" si="0"/>
        <v>#DIV/0!</v>
      </c>
      <c r="P31" s="46" t="s">
        <v>532</v>
      </c>
    </row>
    <row r="32" spans="1:16"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t="s">
        <v>496</v>
      </c>
    </row>
    <row r="33" spans="1:17"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46" t="s">
        <v>533</v>
      </c>
    </row>
    <row r="34" spans="1:17"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143" t="s">
        <v>226</v>
      </c>
    </row>
    <row r="35" spans="1:17"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143" t="s">
        <v>534</v>
      </c>
    </row>
    <row r="36" spans="1:17"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143" t="s">
        <v>245</v>
      </c>
    </row>
    <row r="37" spans="1:17"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143" t="s">
        <v>535</v>
      </c>
    </row>
    <row r="38" spans="1:17"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143" t="s">
        <v>536</v>
      </c>
    </row>
    <row r="39" spans="1:17"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143" t="s">
        <v>500</v>
      </c>
    </row>
    <row r="40" spans="1:17"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143" t="s">
        <v>107</v>
      </c>
      <c r="Q40" s="13" t="s">
        <v>259</v>
      </c>
    </row>
    <row r="41" spans="1:17"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143" t="s">
        <v>537</v>
      </c>
      <c r="Q41" s="13" t="s">
        <v>259</v>
      </c>
    </row>
    <row r="42" spans="1:17"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143" t="s">
        <v>538</v>
      </c>
    </row>
    <row r="43" spans="1:17"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138" t="s">
        <v>502</v>
      </c>
    </row>
    <row r="44" spans="1:17"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4" t="s">
        <v>503</v>
      </c>
    </row>
    <row r="45" spans="1:17"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38" t="s">
        <v>504</v>
      </c>
    </row>
    <row r="46" spans="1:17"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138" t="s">
        <v>505</v>
      </c>
    </row>
    <row r="47" spans="1:17"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38" t="s">
        <v>539</v>
      </c>
    </row>
    <row r="48" spans="1:17"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38" t="s">
        <v>370</v>
      </c>
      <c r="Q48" s="13" t="s">
        <v>268</v>
      </c>
    </row>
    <row r="49" spans="1:16"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t="s">
        <v>540</v>
      </c>
    </row>
    <row r="50" spans="1:16"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138" t="s">
        <v>507</v>
      </c>
    </row>
    <row r="51" spans="1:16"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138" t="s">
        <v>541</v>
      </c>
    </row>
    <row r="52" spans="1:16"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24" t="s">
        <v>509</v>
      </c>
    </row>
    <row r="53" spans="1:16" ht="45" customHeight="1">
      <c r="A53" s="153" t="s">
        <v>315</v>
      </c>
      <c r="B53" s="39">
        <v>0</v>
      </c>
      <c r="C53" s="141" t="s">
        <v>51</v>
      </c>
      <c r="D53" s="21" t="s">
        <v>6</v>
      </c>
      <c r="E53" s="21"/>
      <c r="F53" s="21"/>
      <c r="G53" s="21"/>
      <c r="H53" s="48"/>
      <c r="I53" s="51"/>
      <c r="J53" s="51"/>
      <c r="K53" s="51"/>
      <c r="L53" s="51"/>
      <c r="M53" s="51"/>
      <c r="N53" s="51"/>
      <c r="O53" s="142" t="e">
        <f t="shared" si="1"/>
        <v>#DIV/0!</v>
      </c>
      <c r="P53" s="46" t="s">
        <v>542</v>
      </c>
    </row>
    <row r="54" spans="1:16" ht="45" customHeight="1">
      <c r="A54" s="153" t="s">
        <v>543</v>
      </c>
      <c r="B54" s="39">
        <v>0</v>
      </c>
      <c r="C54" s="141" t="s">
        <v>51</v>
      </c>
      <c r="D54" s="21"/>
      <c r="E54" s="21"/>
      <c r="F54" s="21"/>
      <c r="G54" s="21"/>
      <c r="H54" s="48"/>
      <c r="I54" s="51"/>
      <c r="J54" s="51"/>
      <c r="K54" s="51"/>
      <c r="L54" s="51"/>
      <c r="M54" s="51"/>
      <c r="N54" s="51"/>
      <c r="O54" s="142" t="e">
        <f t="shared" ref="O54:O55" si="2">AVERAGE(H54:N54)</f>
        <v>#DIV/0!</v>
      </c>
      <c r="P54" s="46" t="s">
        <v>544</v>
      </c>
    </row>
    <row r="55" spans="1:16" ht="45" customHeight="1">
      <c r="A55" s="153" t="s">
        <v>545</v>
      </c>
      <c r="B55" s="39">
        <v>0</v>
      </c>
      <c r="C55" s="141" t="s">
        <v>51</v>
      </c>
      <c r="D55" s="21" t="s">
        <v>6</v>
      </c>
      <c r="E55" s="21"/>
      <c r="F55" s="21"/>
      <c r="G55" s="21"/>
      <c r="H55" s="48"/>
      <c r="I55" s="51"/>
      <c r="J55" s="51"/>
      <c r="K55" s="51"/>
      <c r="L55" s="51"/>
      <c r="M55" s="51"/>
      <c r="N55" s="51"/>
      <c r="O55" s="142" t="e">
        <f t="shared" si="2"/>
        <v>#DIV/0!</v>
      </c>
      <c r="P55" s="46" t="s">
        <v>546</v>
      </c>
    </row>
    <row r="56" spans="1:16" ht="45" customHeight="1">
      <c r="A56" s="153" t="s">
        <v>149</v>
      </c>
      <c r="B56" s="39">
        <v>0</v>
      </c>
      <c r="C56" s="141" t="s">
        <v>51</v>
      </c>
      <c r="D56" s="141" t="s">
        <v>26</v>
      </c>
      <c r="E56" s="141" t="s">
        <v>44</v>
      </c>
      <c r="F56" s="141" t="s">
        <v>37</v>
      </c>
      <c r="G56" s="141"/>
      <c r="H56" s="29">
        <v>5</v>
      </c>
      <c r="I56" s="145">
        <v>5</v>
      </c>
      <c r="J56" s="145">
        <v>5</v>
      </c>
      <c r="K56" s="145">
        <v>5</v>
      </c>
      <c r="L56" s="145">
        <v>5</v>
      </c>
      <c r="M56" s="145">
        <v>5</v>
      </c>
      <c r="N56" s="145">
        <v>5</v>
      </c>
      <c r="O56" s="142">
        <f t="shared" ref="O56:O74" si="3">AVERAGE(H56:N56)</f>
        <v>5</v>
      </c>
      <c r="P56" s="143" t="s">
        <v>547</v>
      </c>
    </row>
    <row r="57" spans="1:16" ht="45" hidden="1" customHeight="1">
      <c r="A57" s="153" t="s">
        <v>129</v>
      </c>
      <c r="B57" s="39">
        <v>0</v>
      </c>
      <c r="C57" s="141" t="s">
        <v>123</v>
      </c>
      <c r="D57" s="141" t="s">
        <v>26</v>
      </c>
      <c r="E57" s="141" t="s">
        <v>47</v>
      </c>
      <c r="F57" s="141" t="s">
        <v>41</v>
      </c>
      <c r="G57" s="141"/>
      <c r="H57" s="29">
        <v>0</v>
      </c>
      <c r="I57" s="145">
        <v>0</v>
      </c>
      <c r="J57" s="145">
        <v>0</v>
      </c>
      <c r="K57" s="145">
        <v>0</v>
      </c>
      <c r="L57" s="145">
        <v>0</v>
      </c>
      <c r="M57" s="145">
        <v>0</v>
      </c>
      <c r="N57" s="145">
        <v>0</v>
      </c>
      <c r="O57" s="142">
        <f t="shared" si="3"/>
        <v>0</v>
      </c>
      <c r="P57" s="143" t="s">
        <v>548</v>
      </c>
    </row>
    <row r="58" spans="1:16" ht="45" hidden="1" customHeight="1">
      <c r="A58" s="40" t="s">
        <v>134</v>
      </c>
      <c r="B58" s="39">
        <v>0</v>
      </c>
      <c r="C58" s="141" t="s">
        <v>123</v>
      </c>
      <c r="D58" s="141" t="s">
        <v>18</v>
      </c>
      <c r="E58" s="141" t="s">
        <v>44</v>
      </c>
      <c r="F58" s="141" t="s">
        <v>38</v>
      </c>
      <c r="G58" s="141"/>
      <c r="H58" s="29">
        <v>0</v>
      </c>
      <c r="I58" s="145">
        <v>0</v>
      </c>
      <c r="J58" s="145">
        <v>0</v>
      </c>
      <c r="K58" s="145">
        <v>0</v>
      </c>
      <c r="L58" s="145">
        <v>0</v>
      </c>
      <c r="M58" s="145">
        <v>0</v>
      </c>
      <c r="N58" s="145">
        <v>0</v>
      </c>
      <c r="O58" s="142">
        <f t="shared" si="3"/>
        <v>0</v>
      </c>
      <c r="P58" s="143" t="s">
        <v>512</v>
      </c>
    </row>
    <row r="59" spans="1:16" ht="45" hidden="1" customHeight="1">
      <c r="A59" s="153" t="s">
        <v>281</v>
      </c>
      <c r="B59" s="39">
        <v>0</v>
      </c>
      <c r="C59" s="21" t="s">
        <v>150</v>
      </c>
      <c r="D59" s="21" t="s">
        <v>6</v>
      </c>
      <c r="E59" s="21"/>
      <c r="F59" s="21" t="s">
        <v>38</v>
      </c>
      <c r="G59" s="21"/>
      <c r="H59" s="48">
        <v>0</v>
      </c>
      <c r="I59" s="51">
        <v>0</v>
      </c>
      <c r="J59" s="51">
        <v>0</v>
      </c>
      <c r="K59" s="51">
        <v>0</v>
      </c>
      <c r="L59" s="51">
        <v>0</v>
      </c>
      <c r="M59" s="51">
        <v>0</v>
      </c>
      <c r="N59" s="51">
        <v>0</v>
      </c>
      <c r="O59" s="142">
        <f t="shared" si="3"/>
        <v>0</v>
      </c>
      <c r="P59" s="46" t="s">
        <v>549</v>
      </c>
    </row>
    <row r="60" spans="1:16" ht="45" hidden="1" customHeight="1">
      <c r="A60" s="153" t="s">
        <v>221</v>
      </c>
      <c r="B60" s="39">
        <v>0</v>
      </c>
      <c r="C60" s="141" t="s">
        <v>267</v>
      </c>
      <c r="D60" s="141" t="s">
        <v>6</v>
      </c>
      <c r="E60" s="141"/>
      <c r="F60" s="141"/>
      <c r="G60" s="141"/>
      <c r="H60" s="29">
        <v>0</v>
      </c>
      <c r="I60" s="145">
        <v>0</v>
      </c>
      <c r="J60" s="145">
        <v>0</v>
      </c>
      <c r="K60" s="145">
        <v>0</v>
      </c>
      <c r="L60" s="145">
        <v>0</v>
      </c>
      <c r="M60" s="145">
        <v>0</v>
      </c>
      <c r="N60" s="145">
        <v>0</v>
      </c>
      <c r="O60" s="142">
        <f t="shared" si="3"/>
        <v>0</v>
      </c>
      <c r="P60" s="143" t="s">
        <v>222</v>
      </c>
    </row>
    <row r="61" spans="1:16" ht="45" hidden="1" customHeight="1">
      <c r="A61" s="153" t="s">
        <v>468</v>
      </c>
      <c r="B61" s="39">
        <v>0</v>
      </c>
      <c r="C61" s="141" t="s">
        <v>150</v>
      </c>
      <c r="D61" s="141" t="s">
        <v>10</v>
      </c>
      <c r="E61" s="141" t="s">
        <v>44</v>
      </c>
      <c r="F61" s="141" t="s">
        <v>38</v>
      </c>
      <c r="G61" s="141"/>
      <c r="H61" s="29">
        <v>0</v>
      </c>
      <c r="I61" s="29">
        <v>3</v>
      </c>
      <c r="J61" s="29">
        <v>0</v>
      </c>
      <c r="K61" s="29">
        <v>3</v>
      </c>
      <c r="L61" s="29">
        <v>0</v>
      </c>
      <c r="M61" s="29">
        <v>0</v>
      </c>
      <c r="N61" s="29" t="s">
        <v>118</v>
      </c>
      <c r="O61" s="142">
        <f t="shared" si="3"/>
        <v>1</v>
      </c>
      <c r="P61" s="143" t="s">
        <v>550</v>
      </c>
    </row>
    <row r="62" spans="1:16" ht="45" hidden="1" customHeight="1">
      <c r="A62" s="40" t="s">
        <v>130</v>
      </c>
      <c r="B62" s="39">
        <v>0</v>
      </c>
      <c r="C62" s="141" t="s">
        <v>123</v>
      </c>
      <c r="D62" s="141" t="s">
        <v>26</v>
      </c>
      <c r="E62" s="141" t="s">
        <v>44</v>
      </c>
      <c r="F62" s="141" t="s">
        <v>40</v>
      </c>
      <c r="G62" s="42"/>
      <c r="H62" s="139">
        <v>1</v>
      </c>
      <c r="I62" s="139">
        <v>1</v>
      </c>
      <c r="J62" s="139">
        <v>1</v>
      </c>
      <c r="K62" s="139">
        <v>1</v>
      </c>
      <c r="L62" s="139">
        <v>1</v>
      </c>
      <c r="M62" s="139">
        <v>0</v>
      </c>
      <c r="N62" s="139">
        <v>0</v>
      </c>
      <c r="O62" s="142">
        <f t="shared" si="3"/>
        <v>0.7142857142857143</v>
      </c>
      <c r="P62" s="138" t="s">
        <v>432</v>
      </c>
    </row>
    <row r="63" spans="1:16" ht="45" hidden="1" customHeight="1">
      <c r="A63" s="153" t="s">
        <v>173</v>
      </c>
      <c r="B63" s="39">
        <v>0</v>
      </c>
      <c r="C63" s="141" t="s">
        <v>174</v>
      </c>
      <c r="D63" s="141" t="s">
        <v>6</v>
      </c>
      <c r="E63" s="141"/>
      <c r="F63" s="141"/>
      <c r="G63" s="42"/>
      <c r="H63" s="139" t="s">
        <v>118</v>
      </c>
      <c r="I63" s="139" t="s">
        <v>118</v>
      </c>
      <c r="J63" s="139" t="s">
        <v>118</v>
      </c>
      <c r="K63" s="139" t="s">
        <v>118</v>
      </c>
      <c r="L63" s="139" t="s">
        <v>118</v>
      </c>
      <c r="M63" s="139" t="s">
        <v>118</v>
      </c>
      <c r="N63" s="139" t="s">
        <v>118</v>
      </c>
      <c r="O63" s="142" t="e">
        <f t="shared" si="3"/>
        <v>#DIV/0!</v>
      </c>
      <c r="P63" s="138" t="s">
        <v>551</v>
      </c>
    </row>
    <row r="64" spans="1:16" ht="45" hidden="1" customHeight="1">
      <c r="A64" s="28" t="s">
        <v>433</v>
      </c>
      <c r="B64" s="39">
        <v>0</v>
      </c>
      <c r="C64" s="141" t="s">
        <v>150</v>
      </c>
      <c r="D64" s="35" t="s">
        <v>26</v>
      </c>
      <c r="E64" s="35" t="s">
        <v>48</v>
      </c>
      <c r="F64" s="35"/>
      <c r="G64" s="43"/>
      <c r="H64" s="139">
        <v>0</v>
      </c>
      <c r="I64" s="139">
        <v>0</v>
      </c>
      <c r="J64" s="139">
        <v>0</v>
      </c>
      <c r="K64" s="139">
        <v>0</v>
      </c>
      <c r="L64" s="139">
        <v>0</v>
      </c>
      <c r="M64" s="139">
        <v>0</v>
      </c>
      <c r="N64" s="139">
        <v>0</v>
      </c>
      <c r="O64" s="142">
        <f t="shared" si="3"/>
        <v>0</v>
      </c>
      <c r="P64" s="138" t="s">
        <v>552</v>
      </c>
    </row>
    <row r="65" spans="1:16" ht="45" hidden="1" customHeight="1">
      <c r="A65" s="140" t="s">
        <v>176</v>
      </c>
      <c r="B65" s="39">
        <v>0</v>
      </c>
      <c r="C65" s="141" t="s">
        <v>174</v>
      </c>
      <c r="D65" s="141"/>
      <c r="E65" s="141"/>
      <c r="F65" s="141"/>
      <c r="G65" s="42"/>
      <c r="H65" s="139" t="s">
        <v>118</v>
      </c>
      <c r="I65" s="139" t="s">
        <v>118</v>
      </c>
      <c r="J65" s="139" t="s">
        <v>118</v>
      </c>
      <c r="K65" s="139" t="s">
        <v>118</v>
      </c>
      <c r="L65" s="139" t="s">
        <v>118</v>
      </c>
      <c r="M65" s="139" t="s">
        <v>118</v>
      </c>
      <c r="N65" s="139" t="s">
        <v>118</v>
      </c>
      <c r="O65" s="142" t="e">
        <f t="shared" si="3"/>
        <v>#DIV/0!</v>
      </c>
      <c r="P65" s="138" t="s">
        <v>553</v>
      </c>
    </row>
    <row r="66" spans="1:16" ht="45" hidden="1" customHeight="1">
      <c r="A66" s="140" t="s">
        <v>246</v>
      </c>
      <c r="B66" s="39">
        <v>0</v>
      </c>
      <c r="C66" s="141" t="s">
        <v>150</v>
      </c>
      <c r="D66" s="141" t="s">
        <v>6</v>
      </c>
      <c r="E66" s="141"/>
      <c r="F66" s="141"/>
      <c r="G66" s="42"/>
      <c r="H66" s="139" t="s">
        <v>118</v>
      </c>
      <c r="I66" s="139" t="s">
        <v>118</v>
      </c>
      <c r="J66" s="139" t="s">
        <v>118</v>
      </c>
      <c r="K66" s="139" t="s">
        <v>118</v>
      </c>
      <c r="L66" s="139" t="s">
        <v>118</v>
      </c>
      <c r="M66" s="139" t="s">
        <v>118</v>
      </c>
      <c r="N66" s="139" t="s">
        <v>118</v>
      </c>
      <c r="O66" s="142" t="e">
        <f t="shared" si="3"/>
        <v>#DIV/0!</v>
      </c>
      <c r="P66" s="138" t="s">
        <v>517</v>
      </c>
    </row>
    <row r="67" spans="1:16" ht="45" hidden="1" customHeight="1">
      <c r="A67" s="140" t="s">
        <v>184</v>
      </c>
      <c r="B67" s="39">
        <v>0</v>
      </c>
      <c r="C67" s="141" t="s">
        <v>174</v>
      </c>
      <c r="D67" s="141" t="s">
        <v>14</v>
      </c>
      <c r="E67" s="141"/>
      <c r="F67" s="141"/>
      <c r="G67" s="42"/>
      <c r="H67" s="139">
        <v>0</v>
      </c>
      <c r="I67" s="139">
        <v>0</v>
      </c>
      <c r="J67" s="139">
        <v>0</v>
      </c>
      <c r="K67" s="139">
        <v>0</v>
      </c>
      <c r="L67" s="139">
        <v>0</v>
      </c>
      <c r="M67" s="139">
        <v>0</v>
      </c>
      <c r="N67" s="139">
        <v>0</v>
      </c>
      <c r="O67" s="142">
        <f t="shared" si="3"/>
        <v>0</v>
      </c>
      <c r="P67" s="138" t="s">
        <v>554</v>
      </c>
    </row>
    <row r="68" spans="1:16" ht="45" hidden="1" customHeight="1">
      <c r="A68" s="140" t="s">
        <v>182</v>
      </c>
      <c r="B68" s="39">
        <v>0</v>
      </c>
      <c r="C68" s="141" t="s">
        <v>174</v>
      </c>
      <c r="D68" s="141" t="s">
        <v>14</v>
      </c>
      <c r="E68" s="141"/>
      <c r="F68" s="141"/>
      <c r="G68" s="42"/>
      <c r="H68" s="50">
        <v>0</v>
      </c>
      <c r="I68" s="50">
        <v>0</v>
      </c>
      <c r="J68" s="50">
        <v>0</v>
      </c>
      <c r="K68" s="50">
        <v>0</v>
      </c>
      <c r="L68" s="50">
        <v>0</v>
      </c>
      <c r="M68" s="50">
        <v>0</v>
      </c>
      <c r="N68" s="50">
        <v>0</v>
      </c>
      <c r="O68" s="142">
        <f t="shared" si="3"/>
        <v>0</v>
      </c>
      <c r="P68" s="148" t="s">
        <v>555</v>
      </c>
    </row>
    <row r="69" spans="1:16" ht="45" hidden="1" customHeight="1">
      <c r="A69" s="58" t="s">
        <v>122</v>
      </c>
      <c r="B69" s="39">
        <v>0</v>
      </c>
      <c r="C69" s="141" t="s">
        <v>123</v>
      </c>
      <c r="D69" s="141" t="s">
        <v>14</v>
      </c>
      <c r="E69" s="141" t="s">
        <v>44</v>
      </c>
      <c r="F69" s="141" t="s">
        <v>40</v>
      </c>
      <c r="G69" s="141"/>
      <c r="H69" s="50">
        <v>3</v>
      </c>
      <c r="I69" s="50">
        <v>0</v>
      </c>
      <c r="J69" s="50">
        <v>4</v>
      </c>
      <c r="K69" s="50">
        <v>1</v>
      </c>
      <c r="L69" s="50" t="s">
        <v>118</v>
      </c>
      <c r="M69" s="50">
        <v>2</v>
      </c>
      <c r="N69" s="50" t="s">
        <v>118</v>
      </c>
      <c r="O69" s="142">
        <f t="shared" si="3"/>
        <v>2</v>
      </c>
      <c r="P69" s="148" t="s">
        <v>556</v>
      </c>
    </row>
    <row r="70" spans="1:16" ht="45" hidden="1" customHeight="1">
      <c r="A70" s="140" t="s">
        <v>223</v>
      </c>
      <c r="B70" s="39">
        <v>0</v>
      </c>
      <c r="C70" s="141" t="s">
        <v>267</v>
      </c>
      <c r="D70" s="141" t="s">
        <v>6</v>
      </c>
      <c r="E70" s="141"/>
      <c r="F70" s="141"/>
      <c r="G70" s="141"/>
      <c r="H70" s="139">
        <v>0</v>
      </c>
      <c r="I70" s="139">
        <v>0</v>
      </c>
      <c r="J70" s="139">
        <v>0</v>
      </c>
      <c r="K70" s="139">
        <v>0</v>
      </c>
      <c r="L70" s="139">
        <v>0</v>
      </c>
      <c r="M70" s="139">
        <v>0</v>
      </c>
      <c r="N70" s="139">
        <v>0</v>
      </c>
      <c r="O70" s="142">
        <f t="shared" si="3"/>
        <v>0</v>
      </c>
      <c r="P70" s="138" t="s">
        <v>475</v>
      </c>
    </row>
    <row r="71" spans="1:16" ht="45" hidden="1" customHeight="1">
      <c r="A71" s="140" t="s">
        <v>437</v>
      </c>
      <c r="B71" s="39">
        <v>0</v>
      </c>
      <c r="C71" s="21" t="s">
        <v>123</v>
      </c>
      <c r="D71" s="21" t="s">
        <v>6</v>
      </c>
      <c r="E71" s="21"/>
      <c r="F71" s="21"/>
      <c r="G71" s="21"/>
      <c r="H71" s="22">
        <v>0</v>
      </c>
      <c r="I71" s="22">
        <v>0</v>
      </c>
      <c r="J71" s="22">
        <v>0</v>
      </c>
      <c r="K71" s="22">
        <v>0</v>
      </c>
      <c r="L71" s="22">
        <v>0</v>
      </c>
      <c r="M71" s="22">
        <v>0</v>
      </c>
      <c r="N71" s="22">
        <v>0</v>
      </c>
      <c r="O71" s="142">
        <f t="shared" si="3"/>
        <v>0</v>
      </c>
      <c r="P71" s="24" t="s">
        <v>314</v>
      </c>
    </row>
    <row r="72" spans="1:16" ht="45" hidden="1" customHeight="1">
      <c r="A72" s="140" t="s">
        <v>138</v>
      </c>
      <c r="B72" s="39">
        <v>0</v>
      </c>
      <c r="C72" s="53" t="s">
        <v>150</v>
      </c>
      <c r="D72" s="141" t="s">
        <v>26</v>
      </c>
      <c r="E72" s="141" t="s">
        <v>48</v>
      </c>
      <c r="F72" s="141"/>
      <c r="G72" s="141"/>
      <c r="H72" s="139">
        <v>1</v>
      </c>
      <c r="I72" s="139">
        <v>0</v>
      </c>
      <c r="J72" s="139">
        <v>0</v>
      </c>
      <c r="K72" s="139">
        <v>0</v>
      </c>
      <c r="L72" s="139">
        <v>0</v>
      </c>
      <c r="M72" s="139">
        <v>1</v>
      </c>
      <c r="N72" s="139">
        <v>0</v>
      </c>
      <c r="O72" s="142">
        <f t="shared" si="3"/>
        <v>0.2857142857142857</v>
      </c>
      <c r="P72" s="138" t="s">
        <v>347</v>
      </c>
    </row>
    <row r="73" spans="1:16" ht="45" hidden="1" customHeight="1">
      <c r="A73" s="140" t="s">
        <v>217</v>
      </c>
      <c r="B73" s="39">
        <v>0</v>
      </c>
      <c r="C73" s="141" t="s">
        <v>123</v>
      </c>
      <c r="D73" s="141" t="s">
        <v>6</v>
      </c>
      <c r="E73" s="141"/>
      <c r="F73" s="141"/>
      <c r="G73" s="141"/>
      <c r="H73" s="139">
        <v>0</v>
      </c>
      <c r="I73" s="139">
        <v>0</v>
      </c>
      <c r="J73" s="139">
        <v>0</v>
      </c>
      <c r="K73" s="139">
        <v>0</v>
      </c>
      <c r="L73" s="139">
        <v>0</v>
      </c>
      <c r="M73" s="139">
        <v>0</v>
      </c>
      <c r="N73" s="139">
        <v>0</v>
      </c>
      <c r="O73" s="142">
        <f t="shared" si="3"/>
        <v>0</v>
      </c>
      <c r="P73" s="138" t="s">
        <v>557</v>
      </c>
    </row>
    <row r="74" spans="1:16" ht="45" hidden="1" customHeight="1">
      <c r="A74" s="41" t="s">
        <v>171</v>
      </c>
      <c r="B74" s="39">
        <v>0</v>
      </c>
      <c r="C74" s="141" t="s">
        <v>150</v>
      </c>
      <c r="D74" s="141" t="s">
        <v>6</v>
      </c>
      <c r="E74" s="141"/>
      <c r="F74" s="141" t="s">
        <v>41</v>
      </c>
      <c r="G74" s="141"/>
      <c r="H74" s="54">
        <v>0</v>
      </c>
      <c r="I74" s="139">
        <v>0</v>
      </c>
      <c r="J74" s="139">
        <v>0</v>
      </c>
      <c r="K74" s="139">
        <v>0</v>
      </c>
      <c r="L74" s="139">
        <v>0</v>
      </c>
      <c r="M74" s="139">
        <v>0</v>
      </c>
      <c r="N74" s="139">
        <v>0</v>
      </c>
      <c r="O74" s="142">
        <f t="shared" si="3"/>
        <v>0</v>
      </c>
      <c r="P74" s="138" t="s">
        <v>520</v>
      </c>
    </row>
    <row r="75" spans="1:16" ht="45" hidden="1" customHeight="1">
      <c r="A75" s="140" t="s">
        <v>521</v>
      </c>
      <c r="B75" s="39">
        <v>0</v>
      </c>
      <c r="C75" s="141" t="s">
        <v>150</v>
      </c>
      <c r="D75" s="141"/>
      <c r="E75" s="141"/>
      <c r="F75" s="141"/>
      <c r="G75" s="141"/>
      <c r="H75" s="139"/>
      <c r="I75" s="139"/>
      <c r="J75" s="139"/>
      <c r="K75" s="139"/>
      <c r="L75" s="139"/>
      <c r="M75" s="139"/>
      <c r="N75" s="139"/>
      <c r="O75" s="142"/>
      <c r="P75" s="138" t="s">
        <v>522</v>
      </c>
    </row>
    <row r="76" spans="1:16" ht="45" hidden="1" customHeight="1">
      <c r="A76" s="140"/>
      <c r="B76" s="39">
        <v>0</v>
      </c>
      <c r="C76" s="21"/>
      <c r="D76" s="21"/>
      <c r="E76" s="21"/>
      <c r="F76" s="21"/>
      <c r="G76" s="21"/>
      <c r="H76" s="22"/>
      <c r="I76" s="22"/>
      <c r="J76" s="22"/>
      <c r="K76" s="22"/>
      <c r="L76" s="22"/>
      <c r="M76" s="22"/>
      <c r="N76" s="22"/>
      <c r="O76" s="142" t="e">
        <f t="shared" ref="O76:O83" si="4">AVERAGE(H76:N76)</f>
        <v>#DIV/0!</v>
      </c>
      <c r="P76" s="24"/>
    </row>
    <row r="77" spans="1:16" ht="45" hidden="1" customHeight="1">
      <c r="A77" s="140"/>
      <c r="B77" s="39">
        <v>0</v>
      </c>
      <c r="C77" s="21"/>
      <c r="D77" s="21"/>
      <c r="E77" s="21"/>
      <c r="F77" s="21"/>
      <c r="G77" s="21"/>
      <c r="H77" s="22"/>
      <c r="I77" s="22"/>
      <c r="J77" s="22"/>
      <c r="K77" s="22"/>
      <c r="L77" s="22"/>
      <c r="M77" s="22"/>
      <c r="N77" s="22"/>
      <c r="O77" s="142" t="e">
        <f t="shared" si="4"/>
        <v>#DIV/0!</v>
      </c>
      <c r="P77" s="24"/>
    </row>
    <row r="78" spans="1:16" ht="45" hidden="1" customHeight="1">
      <c r="A78" s="140"/>
      <c r="B78" s="39">
        <v>0</v>
      </c>
      <c r="C78" s="21"/>
      <c r="D78" s="21"/>
      <c r="E78" s="21"/>
      <c r="F78" s="21"/>
      <c r="G78" s="21"/>
      <c r="H78" s="22">
        <v>0</v>
      </c>
      <c r="I78" s="22">
        <v>0</v>
      </c>
      <c r="J78" s="22">
        <v>0</v>
      </c>
      <c r="K78" s="22">
        <v>0</v>
      </c>
      <c r="L78" s="22">
        <v>0</v>
      </c>
      <c r="M78" s="22">
        <v>0</v>
      </c>
      <c r="N78" s="22">
        <v>0</v>
      </c>
      <c r="O78" s="142">
        <f t="shared" si="4"/>
        <v>0</v>
      </c>
      <c r="P78" s="24"/>
    </row>
    <row r="79" spans="1:16" ht="45" hidden="1" customHeight="1">
      <c r="A79" s="140"/>
      <c r="B79" s="39">
        <v>0</v>
      </c>
      <c r="C79" s="21"/>
      <c r="D79" s="21"/>
      <c r="E79" s="21"/>
      <c r="F79" s="21"/>
      <c r="G79" s="21"/>
      <c r="H79" s="22"/>
      <c r="I79" s="22"/>
      <c r="J79" s="22"/>
      <c r="K79" s="22"/>
      <c r="L79" s="22"/>
      <c r="M79" s="22"/>
      <c r="N79" s="22"/>
      <c r="O79" s="142" t="e">
        <f t="shared" si="4"/>
        <v>#DIV/0!</v>
      </c>
      <c r="P79" s="24"/>
    </row>
    <row r="80" spans="1:16" ht="45" hidden="1" customHeight="1">
      <c r="A80" s="140"/>
      <c r="B80" s="39">
        <v>0</v>
      </c>
      <c r="C80" s="21"/>
      <c r="D80" s="21"/>
      <c r="E80" s="21"/>
      <c r="F80" s="21"/>
      <c r="G80" s="21"/>
      <c r="H80" s="22"/>
      <c r="I80" s="22"/>
      <c r="J80" s="22"/>
      <c r="K80" s="22"/>
      <c r="L80" s="22"/>
      <c r="M80" s="22"/>
      <c r="N80" s="22"/>
      <c r="O80" s="142" t="e">
        <f t="shared" si="4"/>
        <v>#DIV/0!</v>
      </c>
      <c r="P80" s="24"/>
    </row>
    <row r="81" spans="1:16" ht="45" hidden="1" customHeight="1">
      <c r="A81" s="140"/>
      <c r="B81" s="39">
        <v>0</v>
      </c>
      <c r="C81" s="21"/>
      <c r="D81" s="21"/>
      <c r="E81" s="21"/>
      <c r="F81" s="21"/>
      <c r="G81" s="21"/>
      <c r="H81" s="22">
        <v>0</v>
      </c>
      <c r="I81" s="22">
        <v>0</v>
      </c>
      <c r="J81" s="22">
        <v>0</v>
      </c>
      <c r="K81" s="22">
        <v>0</v>
      </c>
      <c r="L81" s="22">
        <v>0</v>
      </c>
      <c r="M81" s="22">
        <v>0</v>
      </c>
      <c r="N81" s="22">
        <v>0</v>
      </c>
      <c r="O81" s="142">
        <f t="shared" si="4"/>
        <v>0</v>
      </c>
      <c r="P81" s="24"/>
    </row>
    <row r="82" spans="1:16" ht="45" hidden="1" customHeight="1">
      <c r="A82" s="140"/>
      <c r="B82" s="39">
        <v>0</v>
      </c>
      <c r="C82" s="21"/>
      <c r="D82" s="21"/>
      <c r="E82" s="21"/>
      <c r="F82" s="21"/>
      <c r="G82" s="21"/>
      <c r="H82" s="22" t="s">
        <v>118</v>
      </c>
      <c r="I82" s="22"/>
      <c r="J82" s="22"/>
      <c r="K82" s="22"/>
      <c r="L82" s="22"/>
      <c r="M82" s="22"/>
      <c r="N82" s="22"/>
      <c r="O82" s="142" t="e">
        <f t="shared" si="4"/>
        <v>#DIV/0!</v>
      </c>
      <c r="P82" s="24"/>
    </row>
    <row r="83" spans="1:16" ht="45" hidden="1" customHeight="1">
      <c r="A83" s="140"/>
      <c r="B83" s="39">
        <v>0</v>
      </c>
      <c r="C83" s="21"/>
      <c r="D83" s="21"/>
      <c r="E83" s="21"/>
      <c r="F83" s="21"/>
      <c r="G83" s="21"/>
      <c r="H83" s="22"/>
      <c r="I83" s="22"/>
      <c r="J83" s="22"/>
      <c r="K83" s="22"/>
      <c r="L83" s="22"/>
      <c r="M83" s="22"/>
      <c r="N83" s="22"/>
      <c r="O83" s="142" t="e">
        <f t="shared" si="4"/>
        <v>#DIV/0!</v>
      </c>
      <c r="P83" s="24"/>
    </row>
    <row r="84" spans="1:16" ht="45" hidden="1" customHeight="1">
      <c r="A84" s="140"/>
      <c r="B84" s="39">
        <v>0</v>
      </c>
      <c r="C84" s="21"/>
      <c r="D84" s="21"/>
      <c r="E84" s="21"/>
      <c r="F84" s="21"/>
      <c r="G84" s="21"/>
      <c r="H84" s="22">
        <v>0</v>
      </c>
      <c r="I84" s="22">
        <v>0</v>
      </c>
      <c r="J84" s="22">
        <v>0</v>
      </c>
      <c r="K84" s="22">
        <v>0</v>
      </c>
      <c r="L84" s="22">
        <v>0</v>
      </c>
      <c r="M84" s="22">
        <v>0</v>
      </c>
      <c r="N84" s="22">
        <v>0</v>
      </c>
      <c r="O84" s="23">
        <f t="shared" ref="O84:O115" si="5">AVERAGE(H84:N86)</f>
        <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si="5"/>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5"/>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5"/>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5"/>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5"/>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5"/>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5"/>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5"/>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5"/>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5"/>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5"/>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5"/>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5"/>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5"/>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5"/>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5"/>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5"/>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5"/>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5"/>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5"/>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5"/>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5"/>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5"/>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5"/>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5"/>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5"/>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5"/>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si="5"/>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5"/>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5"/>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5"/>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ref="O116:O147" si="6">AVERAGE(H116:N118)</f>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si="6"/>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6"/>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6"/>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6"/>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6"/>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6"/>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6"/>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6"/>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6"/>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6"/>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6"/>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6"/>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6"/>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6"/>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6"/>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6"/>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6"/>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6"/>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6"/>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6"/>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6"/>
        <v>0</v>
      </c>
      <c r="P137" s="24"/>
    </row>
    <row r="138" spans="1:16" ht="45" hidden="1" customHeight="1">
      <c r="A138" s="140"/>
      <c r="B138" s="39">
        <v>0</v>
      </c>
      <c r="C138" s="21"/>
      <c r="D138" s="21"/>
      <c r="E138" s="21"/>
      <c r="F138" s="21"/>
      <c r="G138" s="21"/>
      <c r="H138" s="22">
        <v>0</v>
      </c>
      <c r="I138" s="22">
        <v>0</v>
      </c>
      <c r="J138" s="22">
        <v>0</v>
      </c>
      <c r="K138" s="22">
        <v>0</v>
      </c>
      <c r="L138" s="22">
        <v>0</v>
      </c>
      <c r="M138" s="22">
        <v>0</v>
      </c>
      <c r="N138" s="22">
        <v>0</v>
      </c>
      <c r="O138" s="23">
        <f t="shared" si="6"/>
        <v>0</v>
      </c>
      <c r="P138" s="24"/>
    </row>
    <row r="139" spans="1:16" ht="45" hidden="1" customHeight="1">
      <c r="A139" s="140"/>
      <c r="B139" s="39">
        <v>0</v>
      </c>
      <c r="C139" s="21"/>
      <c r="D139" s="21"/>
      <c r="E139" s="21"/>
      <c r="F139" s="21"/>
      <c r="G139" s="21"/>
      <c r="H139" s="22">
        <v>0</v>
      </c>
      <c r="I139" s="22">
        <v>0</v>
      </c>
      <c r="J139" s="22">
        <v>0</v>
      </c>
      <c r="K139" s="22">
        <v>0</v>
      </c>
      <c r="L139" s="22">
        <v>0</v>
      </c>
      <c r="M139" s="22">
        <v>0</v>
      </c>
      <c r="N139" s="22">
        <v>0</v>
      </c>
      <c r="O139" s="23">
        <f t="shared" si="6"/>
        <v>0</v>
      </c>
      <c r="P139" s="24"/>
    </row>
    <row r="140" spans="1:16" ht="45" hidden="1" customHeight="1">
      <c r="A140" s="140"/>
      <c r="B140" s="39">
        <v>0</v>
      </c>
      <c r="C140" s="21"/>
      <c r="D140" s="21"/>
      <c r="E140" s="21"/>
      <c r="F140" s="21"/>
      <c r="G140" s="21"/>
      <c r="H140" s="22">
        <v>0</v>
      </c>
      <c r="I140" s="22">
        <v>0</v>
      </c>
      <c r="J140" s="22">
        <v>0</v>
      </c>
      <c r="K140" s="22">
        <v>0</v>
      </c>
      <c r="L140" s="22">
        <v>0</v>
      </c>
      <c r="M140" s="22">
        <v>0</v>
      </c>
      <c r="N140" s="22">
        <v>0</v>
      </c>
      <c r="O140" s="23">
        <f t="shared" si="6"/>
        <v>0</v>
      </c>
      <c r="P140" s="24"/>
    </row>
    <row r="141" spans="1:16" ht="45" hidden="1" customHeight="1">
      <c r="A141" s="140"/>
      <c r="B141" s="39">
        <v>0</v>
      </c>
      <c r="C141" s="21"/>
      <c r="D141" s="21"/>
      <c r="E141" s="21"/>
      <c r="F141" s="21"/>
      <c r="G141" s="21"/>
      <c r="H141" s="22">
        <v>0</v>
      </c>
      <c r="I141" s="22">
        <v>0</v>
      </c>
      <c r="J141" s="22">
        <v>0</v>
      </c>
      <c r="K141" s="22">
        <v>0</v>
      </c>
      <c r="L141" s="22">
        <v>0</v>
      </c>
      <c r="M141" s="22">
        <v>0</v>
      </c>
      <c r="N141" s="22">
        <v>0</v>
      </c>
      <c r="O141" s="23">
        <f t="shared" si="6"/>
        <v>0</v>
      </c>
      <c r="P141" s="24"/>
    </row>
    <row r="142" spans="1:16" ht="45" hidden="1" customHeight="1">
      <c r="A142" s="152"/>
      <c r="B142" s="39">
        <v>0</v>
      </c>
      <c r="C142" s="25"/>
      <c r="D142" s="25"/>
      <c r="E142" s="25"/>
      <c r="F142" s="25"/>
      <c r="G142" s="25"/>
      <c r="H142" s="36">
        <v>0</v>
      </c>
      <c r="I142" s="37">
        <v>0</v>
      </c>
      <c r="J142" s="37">
        <v>0</v>
      </c>
      <c r="K142" s="37">
        <v>0</v>
      </c>
      <c r="L142" s="37">
        <v>0</v>
      </c>
      <c r="M142" s="37">
        <v>0</v>
      </c>
      <c r="N142" s="37">
        <v>0</v>
      </c>
      <c r="O142" s="38">
        <f t="shared" si="6"/>
        <v>0</v>
      </c>
      <c r="P142" s="19"/>
    </row>
    <row r="143" spans="1:16" ht="45" hidden="1" customHeight="1">
      <c r="A143" s="153"/>
      <c r="B143" s="39">
        <v>0</v>
      </c>
      <c r="C143" s="21"/>
      <c r="D143" s="21"/>
      <c r="E143" s="21"/>
      <c r="F143" s="21"/>
      <c r="G143" s="21"/>
      <c r="H143" s="32">
        <v>0</v>
      </c>
      <c r="I143" s="22">
        <v>0</v>
      </c>
      <c r="J143" s="22">
        <v>0</v>
      </c>
      <c r="K143" s="22">
        <v>0</v>
      </c>
      <c r="L143" s="22">
        <v>0</v>
      </c>
      <c r="M143" s="22">
        <v>0</v>
      </c>
      <c r="N143" s="22">
        <v>0</v>
      </c>
      <c r="O143" s="23">
        <f t="shared" si="6"/>
        <v>0</v>
      </c>
      <c r="P143" s="24"/>
    </row>
    <row r="144" spans="1:16" ht="45" hidden="1" customHeight="1">
      <c r="A144" s="153"/>
      <c r="B144" s="39">
        <v>0</v>
      </c>
      <c r="C144" s="21"/>
      <c r="D144" s="21"/>
      <c r="E144" s="21"/>
      <c r="F144" s="21"/>
      <c r="G144" s="21"/>
      <c r="H144" s="32">
        <v>0</v>
      </c>
      <c r="I144" s="22">
        <v>0</v>
      </c>
      <c r="J144" s="22">
        <v>0</v>
      </c>
      <c r="K144" s="22">
        <v>0</v>
      </c>
      <c r="L144" s="22">
        <v>0</v>
      </c>
      <c r="M144" s="22">
        <v>0</v>
      </c>
      <c r="N144" s="22">
        <v>0</v>
      </c>
      <c r="O144" s="23">
        <f t="shared" si="6"/>
        <v>0.23809523809523808</v>
      </c>
      <c r="P144" s="24"/>
    </row>
    <row r="145" spans="1:16" ht="45" hidden="1" customHeight="1">
      <c r="A145" s="153"/>
      <c r="B145" s="39">
        <v>0</v>
      </c>
      <c r="C145" s="21"/>
      <c r="D145" s="21"/>
      <c r="E145" s="21"/>
      <c r="F145" s="21"/>
      <c r="G145" s="21"/>
      <c r="H145" s="32">
        <v>0</v>
      </c>
      <c r="I145" s="22">
        <v>0</v>
      </c>
      <c r="J145" s="22">
        <v>0</v>
      </c>
      <c r="K145" s="22">
        <v>0</v>
      </c>
      <c r="L145" s="22">
        <v>0</v>
      </c>
      <c r="M145" s="22">
        <v>0</v>
      </c>
      <c r="N145" s="22">
        <v>0</v>
      </c>
      <c r="O145" s="23">
        <f t="shared" si="6"/>
        <v>0.35714285714285715</v>
      </c>
      <c r="P145" s="24"/>
    </row>
    <row r="146" spans="1:16" ht="45" hidden="1" customHeight="1">
      <c r="A146" s="153"/>
      <c r="B146" s="39">
        <v>5</v>
      </c>
      <c r="C146" s="21"/>
      <c r="D146" s="21"/>
      <c r="E146" s="21"/>
      <c r="F146" s="21"/>
      <c r="G146" s="21"/>
      <c r="H146" s="32">
        <v>0</v>
      </c>
      <c r="I146" s="22">
        <v>0</v>
      </c>
      <c r="J146" s="22">
        <v>0</v>
      </c>
      <c r="K146" s="22">
        <v>0</v>
      </c>
      <c r="L146" s="22">
        <v>0</v>
      </c>
      <c r="M146" s="22">
        <v>0</v>
      </c>
      <c r="N146" s="22">
        <v>5</v>
      </c>
      <c r="O146" s="23">
        <f t="shared" si="6"/>
        <v>0.7142857142857143</v>
      </c>
      <c r="P146" s="24"/>
    </row>
  </sheetData>
  <autoFilter ref="A2:P146" xr:uid="{6831539B-1EF2-456C-A99A-6624932F8169}">
    <filterColumn colId="2">
      <filters>
        <filter val="Benjamin D"/>
      </filters>
    </filterColumn>
    <sortState xmlns:xlrd2="http://schemas.microsoft.com/office/spreadsheetml/2017/richdata2" ref="A3:P146">
      <sortCondition ref="A2:A146"/>
    </sortState>
  </autoFilter>
  <mergeCells count="2">
    <mergeCell ref="J1:K1"/>
    <mergeCell ref="L1:N1"/>
  </mergeCells>
  <conditionalFormatting sqref="B3:B146">
    <cfRule type="iconSet" priority="1">
      <iconSet iconSet="5Rating">
        <cfvo type="percent" val="0"/>
        <cfvo type="percent" val="20"/>
        <cfvo type="percent" val="40"/>
        <cfvo type="percent" val="60"/>
        <cfvo type="percent" val="80"/>
      </iconSet>
    </cfRule>
  </conditionalFormatting>
  <conditionalFormatting sqref="H75:O886 J74:O74 H74 H3:O73">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6" xr:uid="{015C8F84-BBE2-4BC2-A6F1-4525C458A73B}"/>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721157D-2AFA-4029-90C2-20C30EDE2680}">
          <x14:formula1>
            <xm:f>'Guide suivi GDP '!$E$14:$E$19</xm:f>
          </x14:formula1>
          <xm:sqref>F3:F146</xm:sqref>
        </x14:dataValidation>
        <x14:dataValidation type="list" allowBlank="1" showInputMessage="1" showErrorMessage="1" xr:uid="{7DB20237-9481-406A-A32B-AC8646C51E39}">
          <x14:formula1>
            <xm:f>'Guide suivi GDP '!$E$20:$E$24</xm:f>
          </x14:formula1>
          <xm:sqref>E3:E146</xm:sqref>
        </x14:dataValidation>
        <x14:dataValidation type="list" allowBlank="1" showInputMessage="1" showErrorMessage="1" xr:uid="{871CA130-C9A5-41DF-91E5-8E501D550DC5}">
          <x14:formula1>
            <xm:f>'Guide suivi GDP '!$E$3:$E$8</xm:f>
          </x14:formula1>
          <xm:sqref>D3:D146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9A9C-EE92-4616-8E32-25DBA9430F6D}">
  <sheetPr filterMode="1">
    <tabColor rgb="FF92D050"/>
  </sheetPr>
  <dimension ref="A1:Q147"/>
  <sheetViews>
    <sheetView workbookViewId="0">
      <selection activeCell="U22" sqref="U22"/>
    </sheetView>
  </sheetViews>
  <sheetFormatPr baseColWidth="10" defaultColWidth="9.140625" defaultRowHeight="12.75" outlineLevelCol="2"/>
  <cols>
    <col min="1" max="1" width="20.42578125" style="26" customWidth="1"/>
    <col min="2" max="2" width="9.85546875" style="26" customWidth="1"/>
    <col min="3" max="3" width="12.28515625" style="5" customWidth="1"/>
    <col min="4" max="4" width="11.7109375" style="5" hidden="1" customWidth="1" outlineLevel="1"/>
    <col min="5" max="5" width="15.7109375" style="5" hidden="1" customWidth="1" outlineLevel="1"/>
    <col min="6" max="6" width="12.5703125" style="27" hidden="1" customWidth="1" outlineLevel="1"/>
    <col min="7" max="7" width="14.28515625" style="27" hidden="1" customWidth="1" outlineLevel="1"/>
    <col min="8" max="8" width="14.5703125" style="26" hidden="1" customWidth="1" outlineLevel="2" collapsed="1"/>
    <col min="9" max="9" width="12.7109375" style="26" hidden="1" customWidth="1" outlineLevel="2"/>
    <col min="10" max="10" width="11" style="26" hidden="1" customWidth="1" outlineLevel="2"/>
    <col min="11" max="11" width="8.85546875" style="26" hidden="1" customWidth="1" outlineLevel="2"/>
    <col min="12" max="12" width="11.7109375" style="26" hidden="1" customWidth="1" outlineLevel="2"/>
    <col min="13" max="13" width="12.28515625" style="26" hidden="1" customWidth="1" outlineLevel="2"/>
    <col min="14" max="14" width="15.7109375" style="26" hidden="1" customWidth="1" outlineLevel="2"/>
    <col min="15" max="15" width="10.5703125" style="13" bestFit="1" customWidth="1" collapsed="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107</v>
      </c>
    </row>
    <row r="4" spans="1:16"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407</v>
      </c>
    </row>
    <row r="6" spans="1:16"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143" t="s">
        <v>523</v>
      </c>
    </row>
    <row r="7" spans="1:16"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524</v>
      </c>
    </row>
    <row r="10" spans="1:16"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143" t="s">
        <v>558</v>
      </c>
    </row>
    <row r="11" spans="1:16" ht="45" hidden="1" customHeight="1">
      <c r="A11" s="153" t="s">
        <v>275</v>
      </c>
      <c r="B11" s="39">
        <v>0</v>
      </c>
      <c r="C11" s="141" t="s">
        <v>409</v>
      </c>
      <c r="D11" s="141"/>
      <c r="E11" s="141"/>
      <c r="F11" s="141"/>
      <c r="G11" s="141"/>
      <c r="H11" s="29"/>
      <c r="I11" s="145"/>
      <c r="J11" s="145"/>
      <c r="K11" s="145"/>
      <c r="L11" s="145"/>
      <c r="M11" s="145"/>
      <c r="N11" s="145"/>
      <c r="O11" s="142" t="e">
        <f t="shared" si="0"/>
        <v>#DIV/0!</v>
      </c>
      <c r="P11" s="143" t="s">
        <v>484</v>
      </c>
    </row>
    <row r="12" spans="1:16" ht="45" hidden="1" customHeight="1">
      <c r="A12" s="153" t="s">
        <v>446</v>
      </c>
      <c r="B12" s="39">
        <v>0</v>
      </c>
      <c r="C12" s="141" t="s">
        <v>409</v>
      </c>
      <c r="D12" s="141"/>
      <c r="E12" s="141"/>
      <c r="F12" s="141"/>
      <c r="G12" s="141"/>
      <c r="H12" s="29"/>
      <c r="I12" s="145"/>
      <c r="J12" s="145"/>
      <c r="K12" s="145"/>
      <c r="L12" s="145"/>
      <c r="M12" s="145"/>
      <c r="N12" s="145"/>
      <c r="O12" s="142" t="e">
        <f t="shared" si="0"/>
        <v>#DIV/0!</v>
      </c>
      <c r="P12" s="143" t="s">
        <v>485</v>
      </c>
    </row>
    <row r="13" spans="1:16"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143" t="s">
        <v>322</v>
      </c>
    </row>
    <row r="14" spans="1:16" ht="45" hidden="1" customHeight="1">
      <c r="A14" s="153" t="s">
        <v>280</v>
      </c>
      <c r="B14" s="39">
        <v>0</v>
      </c>
      <c r="C14" s="141" t="s">
        <v>409</v>
      </c>
      <c r="D14" s="21"/>
      <c r="E14" s="21"/>
      <c r="F14" s="21"/>
      <c r="G14" s="21"/>
      <c r="H14" s="29"/>
      <c r="I14" s="145"/>
      <c r="J14" s="145"/>
      <c r="K14" s="145"/>
      <c r="L14" s="145"/>
      <c r="M14" s="145"/>
      <c r="N14" s="145"/>
      <c r="O14" s="142" t="e">
        <f t="shared" si="0"/>
        <v>#DIV/0!</v>
      </c>
      <c r="P14" s="46" t="s">
        <v>323</v>
      </c>
    </row>
    <row r="15" spans="1:16"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46" t="s">
        <v>486</v>
      </c>
    </row>
    <row r="16" spans="1:16" ht="45" hidden="1" customHeight="1">
      <c r="A16" s="153" t="s">
        <v>279</v>
      </c>
      <c r="B16" s="39">
        <v>0</v>
      </c>
      <c r="C16" s="141" t="s">
        <v>409</v>
      </c>
      <c r="D16" s="21" t="s">
        <v>6</v>
      </c>
      <c r="E16" s="21"/>
      <c r="F16" s="21"/>
      <c r="G16" s="21"/>
      <c r="H16" s="29"/>
      <c r="I16" s="145"/>
      <c r="J16" s="145"/>
      <c r="K16" s="145"/>
      <c r="L16" s="145"/>
      <c r="M16" s="145"/>
      <c r="N16" s="145"/>
      <c r="O16" s="142" t="e">
        <f t="shared" si="0"/>
        <v>#DIV/0!</v>
      </c>
      <c r="P16" s="46" t="s">
        <v>448</v>
      </c>
    </row>
    <row r="17" spans="1:16"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143" t="s">
        <v>525</v>
      </c>
    </row>
    <row r="18" spans="1:16"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143" t="s">
        <v>526</v>
      </c>
    </row>
    <row r="19" spans="1:16" ht="45" customHeight="1">
      <c r="A19" s="153" t="s">
        <v>429</v>
      </c>
      <c r="B19" s="39">
        <v>0</v>
      </c>
      <c r="C19" s="141" t="s">
        <v>51</v>
      </c>
      <c r="D19" s="141" t="s">
        <v>6</v>
      </c>
      <c r="E19" s="141"/>
      <c r="F19" s="141"/>
      <c r="G19" s="141"/>
      <c r="H19" s="29">
        <v>0</v>
      </c>
      <c r="I19" s="145">
        <v>0</v>
      </c>
      <c r="J19" s="145">
        <v>0</v>
      </c>
      <c r="K19" s="145">
        <v>0</v>
      </c>
      <c r="L19" s="145">
        <v>0</v>
      </c>
      <c r="M19" s="145">
        <v>0</v>
      </c>
      <c r="N19" s="145">
        <v>0</v>
      </c>
      <c r="O19" s="142">
        <f t="shared" si="0"/>
        <v>0</v>
      </c>
      <c r="P19" s="155" t="s">
        <v>527</v>
      </c>
    </row>
    <row r="20" spans="1:16"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143" t="s">
        <v>489</v>
      </c>
    </row>
    <row r="21" spans="1:16"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143" t="s">
        <v>528</v>
      </c>
    </row>
    <row r="22" spans="1:16" ht="45"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t="s">
        <v>188</v>
      </c>
    </row>
    <row r="23" spans="1:16"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143" t="s">
        <v>451</v>
      </c>
    </row>
    <row r="24" spans="1:16"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143" t="s">
        <v>529</v>
      </c>
    </row>
    <row r="25" spans="1:16" ht="45" customHeight="1">
      <c r="A25" s="153" t="s">
        <v>415</v>
      </c>
      <c r="B25" s="39">
        <v>0</v>
      </c>
      <c r="C25" s="21" t="s">
        <v>51</v>
      </c>
      <c r="D25" s="21" t="s">
        <v>6</v>
      </c>
      <c r="E25" s="21"/>
      <c r="F25" s="21"/>
      <c r="G25" s="21"/>
      <c r="H25" s="48"/>
      <c r="I25" s="51"/>
      <c r="J25" s="51"/>
      <c r="K25" s="51"/>
      <c r="L25" s="51"/>
      <c r="M25" s="51"/>
      <c r="N25" s="51"/>
      <c r="O25" s="142" t="e">
        <f t="shared" si="0"/>
        <v>#DIV/0!</v>
      </c>
      <c r="P25" s="46" t="s">
        <v>492</v>
      </c>
    </row>
    <row r="26" spans="1:16" ht="45" customHeight="1">
      <c r="A26" s="153"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t="s">
        <v>559</v>
      </c>
    </row>
    <row r="27" spans="1:16"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143" t="s">
        <v>493</v>
      </c>
    </row>
    <row r="28" spans="1:16" ht="45"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38" t="s">
        <v>494</v>
      </c>
    </row>
    <row r="29" spans="1:16"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143" t="s">
        <v>531</v>
      </c>
    </row>
    <row r="30" spans="1:16"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t="s">
        <v>560</v>
      </c>
    </row>
    <row r="31" spans="1:16" ht="45" hidden="1" customHeight="1">
      <c r="A31" s="153" t="s">
        <v>283</v>
      </c>
      <c r="B31" s="39">
        <v>0</v>
      </c>
      <c r="C31" s="21" t="s">
        <v>174</v>
      </c>
      <c r="D31" s="21" t="s">
        <v>6</v>
      </c>
      <c r="E31" s="21"/>
      <c r="F31" s="21"/>
      <c r="G31" s="21"/>
      <c r="H31" s="48"/>
      <c r="I31" s="51"/>
      <c r="J31" s="51"/>
      <c r="K31" s="51"/>
      <c r="L31" s="51"/>
      <c r="M31" s="51"/>
      <c r="N31" s="51"/>
      <c r="O31" s="142" t="e">
        <f t="shared" si="0"/>
        <v>#DIV/0!</v>
      </c>
      <c r="P31" s="46" t="s">
        <v>532</v>
      </c>
    </row>
    <row r="32" spans="1:16"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t="s">
        <v>561</v>
      </c>
    </row>
    <row r="33" spans="1:17"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46" t="s">
        <v>533</v>
      </c>
    </row>
    <row r="34" spans="1:17"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143" t="s">
        <v>226</v>
      </c>
    </row>
    <row r="35" spans="1:17"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143" t="s">
        <v>534</v>
      </c>
    </row>
    <row r="36" spans="1:17"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143" t="s">
        <v>245</v>
      </c>
    </row>
    <row r="37" spans="1:17"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143" t="s">
        <v>535</v>
      </c>
    </row>
    <row r="38" spans="1:17"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143" t="s">
        <v>536</v>
      </c>
    </row>
    <row r="39" spans="1:17"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143" t="s">
        <v>500</v>
      </c>
    </row>
    <row r="40" spans="1:17"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143" t="s">
        <v>107</v>
      </c>
      <c r="Q40" s="13" t="s">
        <v>259</v>
      </c>
    </row>
    <row r="41" spans="1:17"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143" t="s">
        <v>537</v>
      </c>
      <c r="Q41" s="13" t="s">
        <v>259</v>
      </c>
    </row>
    <row r="42" spans="1:17"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143" t="s">
        <v>538</v>
      </c>
    </row>
    <row r="43" spans="1:17"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138" t="s">
        <v>502</v>
      </c>
    </row>
    <row r="44" spans="1:17"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4" t="s">
        <v>562</v>
      </c>
    </row>
    <row r="45" spans="1:17"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38" t="s">
        <v>504</v>
      </c>
    </row>
    <row r="46" spans="1:17"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138" t="s">
        <v>505</v>
      </c>
    </row>
    <row r="47" spans="1:17"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38" t="s">
        <v>539</v>
      </c>
    </row>
    <row r="48" spans="1:17"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38" t="s">
        <v>370</v>
      </c>
      <c r="Q48" s="13" t="s">
        <v>268</v>
      </c>
    </row>
    <row r="49" spans="1:16"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t="s">
        <v>540</v>
      </c>
    </row>
    <row r="50" spans="1:16"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138" t="s">
        <v>507</v>
      </c>
    </row>
    <row r="51" spans="1:16"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138" t="s">
        <v>541</v>
      </c>
    </row>
    <row r="52" spans="1:16"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24" t="s">
        <v>509</v>
      </c>
    </row>
    <row r="53" spans="1:16" ht="45" customHeight="1">
      <c r="A53" s="153" t="s">
        <v>315</v>
      </c>
      <c r="B53" s="39">
        <v>0</v>
      </c>
      <c r="C53" s="141" t="s">
        <v>51</v>
      </c>
      <c r="D53" s="21" t="s">
        <v>6</v>
      </c>
      <c r="E53" s="21"/>
      <c r="F53" s="21"/>
      <c r="G53" s="21"/>
      <c r="H53" s="48"/>
      <c r="I53" s="51"/>
      <c r="J53" s="51"/>
      <c r="K53" s="51"/>
      <c r="L53" s="51"/>
      <c r="M53" s="51"/>
      <c r="N53" s="51"/>
      <c r="O53" s="142" t="e">
        <f t="shared" si="1"/>
        <v>#DIV/0!</v>
      </c>
      <c r="P53" s="46" t="s">
        <v>542</v>
      </c>
    </row>
    <row r="54" spans="1:16" ht="45" customHeight="1">
      <c r="A54" s="153" t="s">
        <v>543</v>
      </c>
      <c r="B54" s="39">
        <v>0</v>
      </c>
      <c r="C54" s="141" t="s">
        <v>51</v>
      </c>
      <c r="D54" s="21"/>
      <c r="E54" s="21"/>
      <c r="F54" s="21"/>
      <c r="G54" s="21"/>
      <c r="H54" s="48"/>
      <c r="I54" s="51"/>
      <c r="J54" s="51"/>
      <c r="K54" s="51"/>
      <c r="L54" s="51"/>
      <c r="M54" s="51"/>
      <c r="N54" s="51"/>
      <c r="O54" s="142" t="e">
        <f t="shared" ref="O54:O55" si="2">AVERAGE(H54:N54)</f>
        <v>#DIV/0!</v>
      </c>
      <c r="P54" s="46" t="s">
        <v>563</v>
      </c>
    </row>
    <row r="55" spans="1:16" ht="45" customHeight="1">
      <c r="A55" s="153" t="s">
        <v>545</v>
      </c>
      <c r="B55" s="39">
        <v>0</v>
      </c>
      <c r="C55" s="141" t="s">
        <v>51</v>
      </c>
      <c r="D55" s="21" t="s">
        <v>6</v>
      </c>
      <c r="E55" s="21"/>
      <c r="F55" s="21"/>
      <c r="G55" s="21"/>
      <c r="H55" s="48"/>
      <c r="I55" s="51"/>
      <c r="J55" s="51"/>
      <c r="K55" s="51"/>
      <c r="L55" s="51"/>
      <c r="M55" s="51"/>
      <c r="N55" s="51"/>
      <c r="O55" s="142" t="e">
        <f t="shared" si="2"/>
        <v>#DIV/0!</v>
      </c>
      <c r="P55" s="46" t="s">
        <v>546</v>
      </c>
    </row>
    <row r="56" spans="1:16" ht="45" customHeight="1">
      <c r="A56" s="153" t="s">
        <v>564</v>
      </c>
      <c r="B56" s="39"/>
      <c r="C56" s="141" t="s">
        <v>51</v>
      </c>
      <c r="D56" s="21"/>
      <c r="E56" s="21"/>
      <c r="F56" s="21"/>
      <c r="G56" s="21"/>
      <c r="H56" s="48"/>
      <c r="I56" s="51"/>
      <c r="J56" s="51"/>
      <c r="K56" s="51"/>
      <c r="L56" s="51"/>
      <c r="M56" s="51"/>
      <c r="N56" s="51"/>
      <c r="O56" s="142"/>
      <c r="P56" s="46" t="s">
        <v>565</v>
      </c>
    </row>
    <row r="57" spans="1:16" ht="45" customHeight="1">
      <c r="A57" s="153" t="s">
        <v>149</v>
      </c>
      <c r="B57" s="39">
        <v>0</v>
      </c>
      <c r="C57" s="141" t="s">
        <v>51</v>
      </c>
      <c r="D57" s="141" t="s">
        <v>26</v>
      </c>
      <c r="E57" s="141" t="s">
        <v>44</v>
      </c>
      <c r="F57" s="141" t="s">
        <v>37</v>
      </c>
      <c r="G57" s="141"/>
      <c r="H57" s="29">
        <v>5</v>
      </c>
      <c r="I57" s="145">
        <v>5</v>
      </c>
      <c r="J57" s="145">
        <v>5</v>
      </c>
      <c r="K57" s="145">
        <v>5</v>
      </c>
      <c r="L57" s="145">
        <v>5</v>
      </c>
      <c r="M57" s="145">
        <v>5</v>
      </c>
      <c r="N57" s="145">
        <v>5</v>
      </c>
      <c r="O57" s="142">
        <f t="shared" ref="O57:O75" si="3">AVERAGE(H57:N57)</f>
        <v>5</v>
      </c>
      <c r="P57" s="143" t="s">
        <v>547</v>
      </c>
    </row>
    <row r="58" spans="1:16" ht="45" hidden="1" customHeight="1">
      <c r="A58" s="153" t="s">
        <v>129</v>
      </c>
      <c r="B58" s="39">
        <v>0</v>
      </c>
      <c r="C58" s="141" t="s">
        <v>123</v>
      </c>
      <c r="D58" s="141" t="s">
        <v>26</v>
      </c>
      <c r="E58" s="141" t="s">
        <v>47</v>
      </c>
      <c r="F58" s="141" t="s">
        <v>41</v>
      </c>
      <c r="G58" s="141"/>
      <c r="H58" s="29">
        <v>0</v>
      </c>
      <c r="I58" s="145">
        <v>0</v>
      </c>
      <c r="J58" s="145">
        <v>0</v>
      </c>
      <c r="K58" s="145">
        <v>0</v>
      </c>
      <c r="L58" s="145">
        <v>0</v>
      </c>
      <c r="M58" s="145">
        <v>0</v>
      </c>
      <c r="N58" s="145">
        <v>0</v>
      </c>
      <c r="O58" s="142">
        <f t="shared" si="3"/>
        <v>0</v>
      </c>
      <c r="P58" s="143" t="s">
        <v>548</v>
      </c>
    </row>
    <row r="59" spans="1:16" ht="45" hidden="1" customHeight="1">
      <c r="A59" s="40" t="s">
        <v>134</v>
      </c>
      <c r="B59" s="39">
        <v>0</v>
      </c>
      <c r="C59" s="141" t="s">
        <v>123</v>
      </c>
      <c r="D59" s="141" t="s">
        <v>18</v>
      </c>
      <c r="E59" s="141" t="s">
        <v>44</v>
      </c>
      <c r="F59" s="141" t="s">
        <v>38</v>
      </c>
      <c r="G59" s="141"/>
      <c r="H59" s="29">
        <v>0</v>
      </c>
      <c r="I59" s="145">
        <v>0</v>
      </c>
      <c r="J59" s="145">
        <v>0</v>
      </c>
      <c r="K59" s="145">
        <v>0</v>
      </c>
      <c r="L59" s="145">
        <v>0</v>
      </c>
      <c r="M59" s="145">
        <v>0</v>
      </c>
      <c r="N59" s="145">
        <v>0</v>
      </c>
      <c r="O59" s="142">
        <f t="shared" si="3"/>
        <v>0</v>
      </c>
      <c r="P59" s="143" t="s">
        <v>512</v>
      </c>
    </row>
    <row r="60" spans="1:16" ht="45" hidden="1" customHeight="1">
      <c r="A60" s="153" t="s">
        <v>281</v>
      </c>
      <c r="B60" s="39">
        <v>0</v>
      </c>
      <c r="C60" s="21" t="s">
        <v>150</v>
      </c>
      <c r="D60" s="21" t="s">
        <v>6</v>
      </c>
      <c r="E60" s="21"/>
      <c r="F60" s="21" t="s">
        <v>38</v>
      </c>
      <c r="G60" s="21"/>
      <c r="H60" s="48">
        <v>0</v>
      </c>
      <c r="I60" s="51">
        <v>0</v>
      </c>
      <c r="J60" s="51">
        <v>0</v>
      </c>
      <c r="K60" s="51">
        <v>0</v>
      </c>
      <c r="L60" s="51">
        <v>0</v>
      </c>
      <c r="M60" s="51">
        <v>0</v>
      </c>
      <c r="N60" s="51">
        <v>0</v>
      </c>
      <c r="O60" s="142">
        <f t="shared" si="3"/>
        <v>0</v>
      </c>
      <c r="P60" s="46" t="s">
        <v>549</v>
      </c>
    </row>
    <row r="61" spans="1:16" ht="45" hidden="1" customHeight="1">
      <c r="A61" s="153" t="s">
        <v>221</v>
      </c>
      <c r="B61" s="39">
        <v>0</v>
      </c>
      <c r="C61" s="141" t="s">
        <v>267</v>
      </c>
      <c r="D61" s="141" t="s">
        <v>6</v>
      </c>
      <c r="E61" s="141"/>
      <c r="F61" s="141"/>
      <c r="G61" s="141"/>
      <c r="H61" s="29">
        <v>0</v>
      </c>
      <c r="I61" s="145">
        <v>0</v>
      </c>
      <c r="J61" s="145">
        <v>0</v>
      </c>
      <c r="K61" s="145">
        <v>0</v>
      </c>
      <c r="L61" s="145">
        <v>0</v>
      </c>
      <c r="M61" s="145">
        <v>0</v>
      </c>
      <c r="N61" s="145">
        <v>0</v>
      </c>
      <c r="O61" s="142">
        <f t="shared" si="3"/>
        <v>0</v>
      </c>
      <c r="P61" s="143" t="s">
        <v>222</v>
      </c>
    </row>
    <row r="62" spans="1:16" ht="45" hidden="1" customHeight="1">
      <c r="A62" s="153" t="s">
        <v>468</v>
      </c>
      <c r="B62" s="39">
        <v>0</v>
      </c>
      <c r="C62" s="141" t="s">
        <v>150</v>
      </c>
      <c r="D62" s="141" t="s">
        <v>10</v>
      </c>
      <c r="E62" s="141" t="s">
        <v>44</v>
      </c>
      <c r="F62" s="141" t="s">
        <v>38</v>
      </c>
      <c r="G62" s="141"/>
      <c r="H62" s="29">
        <v>0</v>
      </c>
      <c r="I62" s="29">
        <v>3</v>
      </c>
      <c r="J62" s="29">
        <v>0</v>
      </c>
      <c r="K62" s="29">
        <v>3</v>
      </c>
      <c r="L62" s="29">
        <v>0</v>
      </c>
      <c r="M62" s="29">
        <v>0</v>
      </c>
      <c r="N62" s="29" t="s">
        <v>118</v>
      </c>
      <c r="O62" s="142">
        <f t="shared" si="3"/>
        <v>1</v>
      </c>
      <c r="P62" s="143" t="s">
        <v>550</v>
      </c>
    </row>
    <row r="63" spans="1:16" ht="45" hidden="1" customHeight="1">
      <c r="A63" s="40" t="s">
        <v>130</v>
      </c>
      <c r="B63" s="39">
        <v>0</v>
      </c>
      <c r="C63" s="141" t="s">
        <v>123</v>
      </c>
      <c r="D63" s="141" t="s">
        <v>26</v>
      </c>
      <c r="E63" s="141" t="s">
        <v>44</v>
      </c>
      <c r="F63" s="141" t="s">
        <v>40</v>
      </c>
      <c r="G63" s="42"/>
      <c r="H63" s="139">
        <v>1</v>
      </c>
      <c r="I63" s="139">
        <v>1</v>
      </c>
      <c r="J63" s="139">
        <v>1</v>
      </c>
      <c r="K63" s="139">
        <v>1</v>
      </c>
      <c r="L63" s="139">
        <v>1</v>
      </c>
      <c r="M63" s="139">
        <v>0</v>
      </c>
      <c r="N63" s="139">
        <v>0</v>
      </c>
      <c r="O63" s="142">
        <f t="shared" si="3"/>
        <v>0.7142857142857143</v>
      </c>
      <c r="P63" s="138" t="s">
        <v>432</v>
      </c>
    </row>
    <row r="64" spans="1:16" ht="45" hidden="1" customHeight="1">
      <c r="A64" s="153" t="s">
        <v>173</v>
      </c>
      <c r="B64" s="39">
        <v>0</v>
      </c>
      <c r="C64" s="141" t="s">
        <v>174</v>
      </c>
      <c r="D64" s="141" t="s">
        <v>6</v>
      </c>
      <c r="E64" s="141"/>
      <c r="F64" s="141"/>
      <c r="G64" s="42"/>
      <c r="H64" s="139" t="s">
        <v>118</v>
      </c>
      <c r="I64" s="139" t="s">
        <v>118</v>
      </c>
      <c r="J64" s="139" t="s">
        <v>118</v>
      </c>
      <c r="K64" s="139" t="s">
        <v>118</v>
      </c>
      <c r="L64" s="139" t="s">
        <v>118</v>
      </c>
      <c r="M64" s="139" t="s">
        <v>118</v>
      </c>
      <c r="N64" s="139" t="s">
        <v>118</v>
      </c>
      <c r="O64" s="142" t="e">
        <f t="shared" si="3"/>
        <v>#DIV/0!</v>
      </c>
      <c r="P64" s="138" t="s">
        <v>551</v>
      </c>
    </row>
    <row r="65" spans="1:16" ht="45" hidden="1" customHeight="1">
      <c r="A65" s="28" t="s">
        <v>433</v>
      </c>
      <c r="B65" s="39">
        <v>0</v>
      </c>
      <c r="C65" s="141" t="s">
        <v>150</v>
      </c>
      <c r="D65" s="35" t="s">
        <v>26</v>
      </c>
      <c r="E65" s="35" t="s">
        <v>48</v>
      </c>
      <c r="F65" s="35"/>
      <c r="G65" s="43"/>
      <c r="H65" s="139">
        <v>0</v>
      </c>
      <c r="I65" s="139">
        <v>0</v>
      </c>
      <c r="J65" s="139">
        <v>0</v>
      </c>
      <c r="K65" s="139">
        <v>0</v>
      </c>
      <c r="L65" s="139">
        <v>0</v>
      </c>
      <c r="M65" s="139">
        <v>0</v>
      </c>
      <c r="N65" s="139">
        <v>0</v>
      </c>
      <c r="O65" s="142">
        <f t="shared" si="3"/>
        <v>0</v>
      </c>
      <c r="P65" s="138" t="s">
        <v>552</v>
      </c>
    </row>
    <row r="66" spans="1:16" ht="45" hidden="1" customHeight="1">
      <c r="A66" s="140" t="s">
        <v>176</v>
      </c>
      <c r="B66" s="39">
        <v>0</v>
      </c>
      <c r="C66" s="141" t="s">
        <v>174</v>
      </c>
      <c r="D66" s="141"/>
      <c r="E66" s="141"/>
      <c r="F66" s="141"/>
      <c r="G66" s="42"/>
      <c r="H66" s="139" t="s">
        <v>118</v>
      </c>
      <c r="I66" s="139" t="s">
        <v>118</v>
      </c>
      <c r="J66" s="139" t="s">
        <v>118</v>
      </c>
      <c r="K66" s="139" t="s">
        <v>118</v>
      </c>
      <c r="L66" s="139" t="s">
        <v>118</v>
      </c>
      <c r="M66" s="139" t="s">
        <v>118</v>
      </c>
      <c r="N66" s="139" t="s">
        <v>118</v>
      </c>
      <c r="O66" s="142" t="e">
        <f t="shared" si="3"/>
        <v>#DIV/0!</v>
      </c>
      <c r="P66" s="138" t="s">
        <v>553</v>
      </c>
    </row>
    <row r="67" spans="1:16" ht="45" hidden="1" customHeight="1">
      <c r="A67" s="140" t="s">
        <v>246</v>
      </c>
      <c r="B67" s="39">
        <v>0</v>
      </c>
      <c r="C67" s="141" t="s">
        <v>150</v>
      </c>
      <c r="D67" s="141" t="s">
        <v>6</v>
      </c>
      <c r="E67" s="141"/>
      <c r="F67" s="141"/>
      <c r="G67" s="42"/>
      <c r="H67" s="139" t="s">
        <v>118</v>
      </c>
      <c r="I67" s="139" t="s">
        <v>118</v>
      </c>
      <c r="J67" s="139" t="s">
        <v>118</v>
      </c>
      <c r="K67" s="139" t="s">
        <v>118</v>
      </c>
      <c r="L67" s="139" t="s">
        <v>118</v>
      </c>
      <c r="M67" s="139" t="s">
        <v>118</v>
      </c>
      <c r="N67" s="139" t="s">
        <v>118</v>
      </c>
      <c r="O67" s="142" t="e">
        <f t="shared" si="3"/>
        <v>#DIV/0!</v>
      </c>
      <c r="P67" s="138" t="s">
        <v>517</v>
      </c>
    </row>
    <row r="68" spans="1:16" ht="45" hidden="1" customHeight="1">
      <c r="A68" s="140" t="s">
        <v>184</v>
      </c>
      <c r="B68" s="39">
        <v>0</v>
      </c>
      <c r="C68" s="141" t="s">
        <v>174</v>
      </c>
      <c r="D68" s="141" t="s">
        <v>14</v>
      </c>
      <c r="E68" s="141"/>
      <c r="F68" s="141"/>
      <c r="G68" s="42"/>
      <c r="H68" s="139">
        <v>0</v>
      </c>
      <c r="I68" s="139">
        <v>0</v>
      </c>
      <c r="J68" s="139">
        <v>0</v>
      </c>
      <c r="K68" s="139">
        <v>0</v>
      </c>
      <c r="L68" s="139">
        <v>0</v>
      </c>
      <c r="M68" s="139">
        <v>0</v>
      </c>
      <c r="N68" s="139">
        <v>0</v>
      </c>
      <c r="O68" s="142">
        <f t="shared" si="3"/>
        <v>0</v>
      </c>
      <c r="P68" s="138" t="s">
        <v>554</v>
      </c>
    </row>
    <row r="69" spans="1:16" ht="45" hidden="1" customHeight="1">
      <c r="A69" s="140" t="s">
        <v>182</v>
      </c>
      <c r="B69" s="39">
        <v>0</v>
      </c>
      <c r="C69" s="141" t="s">
        <v>174</v>
      </c>
      <c r="D69" s="141" t="s">
        <v>14</v>
      </c>
      <c r="E69" s="141"/>
      <c r="F69" s="141"/>
      <c r="G69" s="42"/>
      <c r="H69" s="50">
        <v>0</v>
      </c>
      <c r="I69" s="50">
        <v>0</v>
      </c>
      <c r="J69" s="50">
        <v>0</v>
      </c>
      <c r="K69" s="50">
        <v>0</v>
      </c>
      <c r="L69" s="50">
        <v>0</v>
      </c>
      <c r="M69" s="50">
        <v>0</v>
      </c>
      <c r="N69" s="50">
        <v>0</v>
      </c>
      <c r="O69" s="142">
        <f t="shared" si="3"/>
        <v>0</v>
      </c>
      <c r="P69" s="148" t="s">
        <v>555</v>
      </c>
    </row>
    <row r="70" spans="1:16" ht="45" hidden="1" customHeight="1">
      <c r="A70" s="58" t="s">
        <v>122</v>
      </c>
      <c r="B70" s="39">
        <v>0</v>
      </c>
      <c r="C70" s="141" t="s">
        <v>123</v>
      </c>
      <c r="D70" s="141" t="s">
        <v>14</v>
      </c>
      <c r="E70" s="141" t="s">
        <v>44</v>
      </c>
      <c r="F70" s="141" t="s">
        <v>40</v>
      </c>
      <c r="G70" s="141"/>
      <c r="H70" s="50">
        <v>3</v>
      </c>
      <c r="I70" s="50">
        <v>0</v>
      </c>
      <c r="J70" s="50">
        <v>4</v>
      </c>
      <c r="K70" s="50">
        <v>1</v>
      </c>
      <c r="L70" s="50" t="s">
        <v>118</v>
      </c>
      <c r="M70" s="50">
        <v>2</v>
      </c>
      <c r="N70" s="50" t="s">
        <v>118</v>
      </c>
      <c r="O70" s="142">
        <f t="shared" si="3"/>
        <v>2</v>
      </c>
      <c r="P70" s="148" t="s">
        <v>556</v>
      </c>
    </row>
    <row r="71" spans="1:16" ht="45" hidden="1" customHeight="1">
      <c r="A71" s="140" t="s">
        <v>223</v>
      </c>
      <c r="B71" s="39">
        <v>0</v>
      </c>
      <c r="C71" s="141" t="s">
        <v>267</v>
      </c>
      <c r="D71" s="141" t="s">
        <v>6</v>
      </c>
      <c r="E71" s="141"/>
      <c r="F71" s="141"/>
      <c r="G71" s="141"/>
      <c r="H71" s="139">
        <v>0</v>
      </c>
      <c r="I71" s="139">
        <v>0</v>
      </c>
      <c r="J71" s="139">
        <v>0</v>
      </c>
      <c r="K71" s="139">
        <v>0</v>
      </c>
      <c r="L71" s="139">
        <v>0</v>
      </c>
      <c r="M71" s="139">
        <v>0</v>
      </c>
      <c r="N71" s="139">
        <v>0</v>
      </c>
      <c r="O71" s="142">
        <f t="shared" si="3"/>
        <v>0</v>
      </c>
      <c r="P71" s="138" t="s">
        <v>475</v>
      </c>
    </row>
    <row r="72" spans="1:16" ht="45" hidden="1" customHeight="1">
      <c r="A72" s="140" t="s">
        <v>437</v>
      </c>
      <c r="B72" s="39">
        <v>0</v>
      </c>
      <c r="C72" s="21" t="s">
        <v>123</v>
      </c>
      <c r="D72" s="21" t="s">
        <v>6</v>
      </c>
      <c r="E72" s="21"/>
      <c r="F72" s="21"/>
      <c r="G72" s="21"/>
      <c r="H72" s="22">
        <v>0</v>
      </c>
      <c r="I72" s="22">
        <v>0</v>
      </c>
      <c r="J72" s="22">
        <v>0</v>
      </c>
      <c r="K72" s="22">
        <v>0</v>
      </c>
      <c r="L72" s="22">
        <v>0</v>
      </c>
      <c r="M72" s="22">
        <v>0</v>
      </c>
      <c r="N72" s="22">
        <v>0</v>
      </c>
      <c r="O72" s="142">
        <f t="shared" si="3"/>
        <v>0</v>
      </c>
      <c r="P72" s="24" t="s">
        <v>314</v>
      </c>
    </row>
    <row r="73" spans="1:16" ht="45" hidden="1" customHeight="1">
      <c r="A73" s="140" t="s">
        <v>138</v>
      </c>
      <c r="B73" s="39">
        <v>0</v>
      </c>
      <c r="C73" s="53" t="s">
        <v>150</v>
      </c>
      <c r="D73" s="141" t="s">
        <v>26</v>
      </c>
      <c r="E73" s="141" t="s">
        <v>48</v>
      </c>
      <c r="F73" s="141"/>
      <c r="G73" s="141"/>
      <c r="H73" s="139">
        <v>1</v>
      </c>
      <c r="I73" s="139">
        <v>0</v>
      </c>
      <c r="J73" s="139">
        <v>0</v>
      </c>
      <c r="K73" s="139">
        <v>0</v>
      </c>
      <c r="L73" s="139">
        <v>0</v>
      </c>
      <c r="M73" s="139">
        <v>1</v>
      </c>
      <c r="N73" s="139">
        <v>0</v>
      </c>
      <c r="O73" s="142">
        <f t="shared" si="3"/>
        <v>0.2857142857142857</v>
      </c>
      <c r="P73" s="138" t="s">
        <v>347</v>
      </c>
    </row>
    <row r="74" spans="1:16" ht="45" hidden="1" customHeight="1">
      <c r="A74" s="140" t="s">
        <v>217</v>
      </c>
      <c r="B74" s="39">
        <v>0</v>
      </c>
      <c r="C74" s="141" t="s">
        <v>123</v>
      </c>
      <c r="D74" s="141" t="s">
        <v>6</v>
      </c>
      <c r="E74" s="141"/>
      <c r="F74" s="141"/>
      <c r="G74" s="141"/>
      <c r="H74" s="139">
        <v>0</v>
      </c>
      <c r="I74" s="139">
        <v>0</v>
      </c>
      <c r="J74" s="139">
        <v>0</v>
      </c>
      <c r="K74" s="139">
        <v>0</v>
      </c>
      <c r="L74" s="139">
        <v>0</v>
      </c>
      <c r="M74" s="139">
        <v>0</v>
      </c>
      <c r="N74" s="139">
        <v>0</v>
      </c>
      <c r="O74" s="142">
        <f t="shared" si="3"/>
        <v>0</v>
      </c>
      <c r="P74" s="138" t="s">
        <v>557</v>
      </c>
    </row>
    <row r="75" spans="1:16" ht="45" hidden="1" customHeight="1">
      <c r="A75" s="41" t="s">
        <v>171</v>
      </c>
      <c r="B75" s="39">
        <v>0</v>
      </c>
      <c r="C75" s="141" t="s">
        <v>150</v>
      </c>
      <c r="D75" s="141" t="s">
        <v>6</v>
      </c>
      <c r="E75" s="141"/>
      <c r="F75" s="141" t="s">
        <v>41</v>
      </c>
      <c r="G75" s="141"/>
      <c r="H75" s="54">
        <v>0</v>
      </c>
      <c r="I75" s="139">
        <v>0</v>
      </c>
      <c r="J75" s="139">
        <v>0</v>
      </c>
      <c r="K75" s="139">
        <v>0</v>
      </c>
      <c r="L75" s="139">
        <v>0</v>
      </c>
      <c r="M75" s="139">
        <v>0</v>
      </c>
      <c r="N75" s="139">
        <v>0</v>
      </c>
      <c r="O75" s="142">
        <f t="shared" si="3"/>
        <v>0</v>
      </c>
      <c r="P75" s="138" t="s">
        <v>520</v>
      </c>
    </row>
    <row r="76" spans="1:16" ht="45" hidden="1" customHeight="1">
      <c r="A76" s="140" t="s">
        <v>521</v>
      </c>
      <c r="B76" s="39">
        <v>0</v>
      </c>
      <c r="C76" s="141" t="s">
        <v>150</v>
      </c>
      <c r="D76" s="141"/>
      <c r="E76" s="141"/>
      <c r="F76" s="141"/>
      <c r="G76" s="141"/>
      <c r="H76" s="139"/>
      <c r="I76" s="139"/>
      <c r="J76" s="139"/>
      <c r="K76" s="139"/>
      <c r="L76" s="139"/>
      <c r="M76" s="139"/>
      <c r="N76" s="139"/>
      <c r="O76" s="142"/>
      <c r="P76" s="138" t="s">
        <v>522</v>
      </c>
    </row>
    <row r="77" spans="1:16" ht="45" hidden="1" customHeight="1">
      <c r="A77" s="140"/>
      <c r="B77" s="39">
        <v>0</v>
      </c>
      <c r="C77" s="21"/>
      <c r="D77" s="21"/>
      <c r="E77" s="21"/>
      <c r="F77" s="21"/>
      <c r="G77" s="21"/>
      <c r="H77" s="22"/>
      <c r="I77" s="22"/>
      <c r="J77" s="22"/>
      <c r="K77" s="22"/>
      <c r="L77" s="22"/>
      <c r="M77" s="22"/>
      <c r="N77" s="22"/>
      <c r="O77" s="142" t="e">
        <f t="shared" ref="O77:O84" si="4">AVERAGE(H77:N77)</f>
        <v>#DIV/0!</v>
      </c>
      <c r="P77" s="24"/>
    </row>
    <row r="78" spans="1:16" ht="45" hidden="1" customHeight="1">
      <c r="A78" s="140"/>
      <c r="B78" s="39">
        <v>0</v>
      </c>
      <c r="C78" s="21"/>
      <c r="D78" s="21"/>
      <c r="E78" s="21"/>
      <c r="F78" s="21"/>
      <c r="G78" s="21"/>
      <c r="H78" s="22"/>
      <c r="I78" s="22"/>
      <c r="J78" s="22"/>
      <c r="K78" s="22"/>
      <c r="L78" s="22"/>
      <c r="M78" s="22"/>
      <c r="N78" s="22"/>
      <c r="O78" s="142" t="e">
        <f t="shared" si="4"/>
        <v>#DIV/0!</v>
      </c>
      <c r="P78" s="24"/>
    </row>
    <row r="79" spans="1:16" ht="45" hidden="1" customHeight="1">
      <c r="A79" s="140"/>
      <c r="B79" s="39">
        <v>0</v>
      </c>
      <c r="C79" s="21"/>
      <c r="D79" s="21"/>
      <c r="E79" s="21"/>
      <c r="F79" s="21"/>
      <c r="G79" s="21"/>
      <c r="H79" s="22">
        <v>0</v>
      </c>
      <c r="I79" s="22">
        <v>0</v>
      </c>
      <c r="J79" s="22">
        <v>0</v>
      </c>
      <c r="K79" s="22">
        <v>0</v>
      </c>
      <c r="L79" s="22">
        <v>0</v>
      </c>
      <c r="M79" s="22">
        <v>0</v>
      </c>
      <c r="N79" s="22">
        <v>0</v>
      </c>
      <c r="O79" s="142">
        <f t="shared" si="4"/>
        <v>0</v>
      </c>
      <c r="P79" s="24"/>
    </row>
    <row r="80" spans="1:16" ht="45" hidden="1" customHeight="1">
      <c r="A80" s="140"/>
      <c r="B80" s="39">
        <v>0</v>
      </c>
      <c r="C80" s="21"/>
      <c r="D80" s="21"/>
      <c r="E80" s="21"/>
      <c r="F80" s="21"/>
      <c r="G80" s="21"/>
      <c r="H80" s="22"/>
      <c r="I80" s="22"/>
      <c r="J80" s="22"/>
      <c r="K80" s="22"/>
      <c r="L80" s="22"/>
      <c r="M80" s="22"/>
      <c r="N80" s="22"/>
      <c r="O80" s="142" t="e">
        <f t="shared" si="4"/>
        <v>#DIV/0!</v>
      </c>
      <c r="P80" s="24"/>
    </row>
    <row r="81" spans="1:16" ht="45" hidden="1" customHeight="1">
      <c r="A81" s="140"/>
      <c r="B81" s="39">
        <v>0</v>
      </c>
      <c r="C81" s="21"/>
      <c r="D81" s="21"/>
      <c r="E81" s="21"/>
      <c r="F81" s="21"/>
      <c r="G81" s="21"/>
      <c r="H81" s="22"/>
      <c r="I81" s="22"/>
      <c r="J81" s="22"/>
      <c r="K81" s="22"/>
      <c r="L81" s="22"/>
      <c r="M81" s="22"/>
      <c r="N81" s="22"/>
      <c r="O81" s="142" t="e">
        <f t="shared" si="4"/>
        <v>#DIV/0!</v>
      </c>
      <c r="P81" s="24"/>
    </row>
    <row r="82" spans="1:16" ht="45" hidden="1" customHeight="1">
      <c r="A82" s="140"/>
      <c r="B82" s="39">
        <v>0</v>
      </c>
      <c r="C82" s="21"/>
      <c r="D82" s="21"/>
      <c r="E82" s="21"/>
      <c r="F82" s="21"/>
      <c r="G82" s="21"/>
      <c r="H82" s="22">
        <v>0</v>
      </c>
      <c r="I82" s="22">
        <v>0</v>
      </c>
      <c r="J82" s="22">
        <v>0</v>
      </c>
      <c r="K82" s="22">
        <v>0</v>
      </c>
      <c r="L82" s="22">
        <v>0</v>
      </c>
      <c r="M82" s="22">
        <v>0</v>
      </c>
      <c r="N82" s="22">
        <v>0</v>
      </c>
      <c r="O82" s="142">
        <f t="shared" si="4"/>
        <v>0</v>
      </c>
      <c r="P82" s="24"/>
    </row>
    <row r="83" spans="1:16" ht="45" hidden="1" customHeight="1">
      <c r="A83" s="140"/>
      <c r="B83" s="39">
        <v>0</v>
      </c>
      <c r="C83" s="21"/>
      <c r="D83" s="21"/>
      <c r="E83" s="21"/>
      <c r="F83" s="21"/>
      <c r="G83" s="21"/>
      <c r="H83" s="22" t="s">
        <v>118</v>
      </c>
      <c r="I83" s="22"/>
      <c r="J83" s="22"/>
      <c r="K83" s="22"/>
      <c r="L83" s="22"/>
      <c r="M83" s="22"/>
      <c r="N83" s="22"/>
      <c r="O83" s="142" t="e">
        <f t="shared" si="4"/>
        <v>#DIV/0!</v>
      </c>
      <c r="P83" s="24"/>
    </row>
    <row r="84" spans="1:16" ht="45" hidden="1" customHeight="1">
      <c r="A84" s="140"/>
      <c r="B84" s="39">
        <v>0</v>
      </c>
      <c r="C84" s="21"/>
      <c r="D84" s="21"/>
      <c r="E84" s="21"/>
      <c r="F84" s="21"/>
      <c r="G84" s="21"/>
      <c r="H84" s="22"/>
      <c r="I84" s="22"/>
      <c r="J84" s="22"/>
      <c r="K84" s="22"/>
      <c r="L84" s="22"/>
      <c r="M84" s="22"/>
      <c r="N84" s="22"/>
      <c r="O84" s="142" t="e">
        <f t="shared" si="4"/>
        <v>#DIV/0!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ref="O85:O116" si="5">AVERAGE(H85:N87)</f>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5"/>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5"/>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5"/>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5"/>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5"/>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5"/>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5"/>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5"/>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5"/>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5"/>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5"/>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5"/>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5"/>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5"/>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5"/>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5"/>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5"/>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5"/>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5"/>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5"/>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5"/>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5"/>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5"/>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5"/>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5"/>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5"/>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si="5"/>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5"/>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5"/>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5"/>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5"/>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ref="O117:O148" si="6">AVERAGE(H117:N119)</f>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6"/>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6"/>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6"/>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6"/>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6"/>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6"/>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6"/>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6"/>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6"/>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6"/>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6"/>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6"/>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6"/>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6"/>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6"/>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6"/>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6"/>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6"/>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6"/>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6"/>
        <v>0</v>
      </c>
      <c r="P137" s="24"/>
    </row>
    <row r="138" spans="1:16" ht="45" hidden="1" customHeight="1">
      <c r="A138" s="140"/>
      <c r="B138" s="39">
        <v>0</v>
      </c>
      <c r="C138" s="21"/>
      <c r="D138" s="21"/>
      <c r="E138" s="21"/>
      <c r="F138" s="21"/>
      <c r="G138" s="21"/>
      <c r="H138" s="22">
        <v>0</v>
      </c>
      <c r="I138" s="22">
        <v>0</v>
      </c>
      <c r="J138" s="22">
        <v>0</v>
      </c>
      <c r="K138" s="22">
        <v>0</v>
      </c>
      <c r="L138" s="22">
        <v>0</v>
      </c>
      <c r="M138" s="22">
        <v>0</v>
      </c>
      <c r="N138" s="22">
        <v>0</v>
      </c>
      <c r="O138" s="23">
        <f t="shared" si="6"/>
        <v>0</v>
      </c>
      <c r="P138" s="24"/>
    </row>
    <row r="139" spans="1:16" ht="45" hidden="1" customHeight="1">
      <c r="A139" s="140"/>
      <c r="B139" s="39">
        <v>0</v>
      </c>
      <c r="C139" s="21"/>
      <c r="D139" s="21"/>
      <c r="E139" s="21"/>
      <c r="F139" s="21"/>
      <c r="G139" s="21"/>
      <c r="H139" s="22">
        <v>0</v>
      </c>
      <c r="I139" s="22">
        <v>0</v>
      </c>
      <c r="J139" s="22">
        <v>0</v>
      </c>
      <c r="K139" s="22">
        <v>0</v>
      </c>
      <c r="L139" s="22">
        <v>0</v>
      </c>
      <c r="M139" s="22">
        <v>0</v>
      </c>
      <c r="N139" s="22">
        <v>0</v>
      </c>
      <c r="O139" s="23">
        <f t="shared" si="6"/>
        <v>0</v>
      </c>
      <c r="P139" s="24"/>
    </row>
    <row r="140" spans="1:16" ht="45" hidden="1" customHeight="1">
      <c r="A140" s="140"/>
      <c r="B140" s="39">
        <v>0</v>
      </c>
      <c r="C140" s="21"/>
      <c r="D140" s="21"/>
      <c r="E140" s="21"/>
      <c r="F140" s="21"/>
      <c r="G140" s="21"/>
      <c r="H140" s="22">
        <v>0</v>
      </c>
      <c r="I140" s="22">
        <v>0</v>
      </c>
      <c r="J140" s="22">
        <v>0</v>
      </c>
      <c r="K140" s="22">
        <v>0</v>
      </c>
      <c r="L140" s="22">
        <v>0</v>
      </c>
      <c r="M140" s="22">
        <v>0</v>
      </c>
      <c r="N140" s="22">
        <v>0</v>
      </c>
      <c r="O140" s="23">
        <f t="shared" si="6"/>
        <v>0</v>
      </c>
      <c r="P140" s="24"/>
    </row>
    <row r="141" spans="1:16" ht="45" hidden="1" customHeight="1">
      <c r="A141" s="140"/>
      <c r="B141" s="39">
        <v>0</v>
      </c>
      <c r="C141" s="21"/>
      <c r="D141" s="21"/>
      <c r="E141" s="21"/>
      <c r="F141" s="21"/>
      <c r="G141" s="21"/>
      <c r="H141" s="22">
        <v>0</v>
      </c>
      <c r="I141" s="22">
        <v>0</v>
      </c>
      <c r="J141" s="22">
        <v>0</v>
      </c>
      <c r="K141" s="22">
        <v>0</v>
      </c>
      <c r="L141" s="22">
        <v>0</v>
      </c>
      <c r="M141" s="22">
        <v>0</v>
      </c>
      <c r="N141" s="22">
        <v>0</v>
      </c>
      <c r="O141" s="23">
        <f t="shared" si="6"/>
        <v>0</v>
      </c>
      <c r="P141" s="24"/>
    </row>
    <row r="142" spans="1:16" ht="45" hidden="1" customHeight="1">
      <c r="A142" s="140"/>
      <c r="B142" s="39">
        <v>0</v>
      </c>
      <c r="C142" s="21"/>
      <c r="D142" s="21"/>
      <c r="E142" s="21"/>
      <c r="F142" s="21"/>
      <c r="G142" s="21"/>
      <c r="H142" s="22">
        <v>0</v>
      </c>
      <c r="I142" s="22">
        <v>0</v>
      </c>
      <c r="J142" s="22">
        <v>0</v>
      </c>
      <c r="K142" s="22">
        <v>0</v>
      </c>
      <c r="L142" s="22">
        <v>0</v>
      </c>
      <c r="M142" s="22">
        <v>0</v>
      </c>
      <c r="N142" s="22">
        <v>0</v>
      </c>
      <c r="O142" s="23">
        <f t="shared" si="6"/>
        <v>0</v>
      </c>
      <c r="P142" s="24"/>
    </row>
    <row r="143" spans="1:16" ht="45" hidden="1" customHeight="1">
      <c r="A143" s="152"/>
      <c r="B143" s="39">
        <v>0</v>
      </c>
      <c r="C143" s="25"/>
      <c r="D143" s="25"/>
      <c r="E143" s="25"/>
      <c r="F143" s="25"/>
      <c r="G143" s="25"/>
      <c r="H143" s="36">
        <v>0</v>
      </c>
      <c r="I143" s="37">
        <v>0</v>
      </c>
      <c r="J143" s="37">
        <v>0</v>
      </c>
      <c r="K143" s="37">
        <v>0</v>
      </c>
      <c r="L143" s="37">
        <v>0</v>
      </c>
      <c r="M143" s="37">
        <v>0</v>
      </c>
      <c r="N143" s="37">
        <v>0</v>
      </c>
      <c r="O143" s="38">
        <f t="shared" si="6"/>
        <v>0</v>
      </c>
      <c r="P143" s="19"/>
    </row>
    <row r="144" spans="1:16" ht="45" hidden="1" customHeight="1">
      <c r="A144" s="153"/>
      <c r="B144" s="39">
        <v>0</v>
      </c>
      <c r="C144" s="21"/>
      <c r="D144" s="21"/>
      <c r="E144" s="21"/>
      <c r="F144" s="21"/>
      <c r="G144" s="21"/>
      <c r="H144" s="32">
        <v>0</v>
      </c>
      <c r="I144" s="22">
        <v>0</v>
      </c>
      <c r="J144" s="22">
        <v>0</v>
      </c>
      <c r="K144" s="22">
        <v>0</v>
      </c>
      <c r="L144" s="22">
        <v>0</v>
      </c>
      <c r="M144" s="22">
        <v>0</v>
      </c>
      <c r="N144" s="22">
        <v>0</v>
      </c>
      <c r="O144" s="23">
        <f t="shared" si="6"/>
        <v>0</v>
      </c>
      <c r="P144" s="24"/>
    </row>
    <row r="145" spans="1:16" ht="45" hidden="1" customHeight="1">
      <c r="A145" s="153"/>
      <c r="B145" s="39">
        <v>0</v>
      </c>
      <c r="C145" s="21"/>
      <c r="D145" s="21"/>
      <c r="E145" s="21"/>
      <c r="F145" s="21"/>
      <c r="G145" s="21"/>
      <c r="H145" s="32">
        <v>0</v>
      </c>
      <c r="I145" s="22">
        <v>0</v>
      </c>
      <c r="J145" s="22">
        <v>0</v>
      </c>
      <c r="K145" s="22">
        <v>0</v>
      </c>
      <c r="L145" s="22">
        <v>0</v>
      </c>
      <c r="M145" s="22">
        <v>0</v>
      </c>
      <c r="N145" s="22">
        <v>0</v>
      </c>
      <c r="O145" s="23">
        <f t="shared" si="6"/>
        <v>0.23809523809523808</v>
      </c>
      <c r="P145" s="24"/>
    </row>
    <row r="146" spans="1:16" ht="45" hidden="1" customHeight="1">
      <c r="A146" s="153"/>
      <c r="B146" s="39">
        <v>0</v>
      </c>
      <c r="C146" s="21"/>
      <c r="D146" s="21"/>
      <c r="E146" s="21"/>
      <c r="F146" s="21"/>
      <c r="G146" s="21"/>
      <c r="H146" s="32">
        <v>0</v>
      </c>
      <c r="I146" s="22">
        <v>0</v>
      </c>
      <c r="J146" s="22">
        <v>0</v>
      </c>
      <c r="K146" s="22">
        <v>0</v>
      </c>
      <c r="L146" s="22">
        <v>0</v>
      </c>
      <c r="M146" s="22">
        <v>0</v>
      </c>
      <c r="N146" s="22">
        <v>0</v>
      </c>
      <c r="O146" s="23">
        <f t="shared" si="6"/>
        <v>0.35714285714285715</v>
      </c>
      <c r="P146" s="24"/>
    </row>
    <row r="147" spans="1:16" ht="45" hidden="1" customHeight="1">
      <c r="A147" s="153"/>
      <c r="B147" s="39">
        <v>5</v>
      </c>
      <c r="C147" s="21"/>
      <c r="D147" s="21"/>
      <c r="E147" s="21"/>
      <c r="F147" s="21"/>
      <c r="G147" s="21"/>
      <c r="H147" s="32">
        <v>0</v>
      </c>
      <c r="I147" s="22">
        <v>0</v>
      </c>
      <c r="J147" s="22">
        <v>0</v>
      </c>
      <c r="K147" s="22">
        <v>0</v>
      </c>
      <c r="L147" s="22">
        <v>0</v>
      </c>
      <c r="M147" s="22">
        <v>0</v>
      </c>
      <c r="N147" s="22">
        <v>5</v>
      </c>
      <c r="O147" s="23">
        <f t="shared" si="6"/>
        <v>0.7142857142857143</v>
      </c>
      <c r="P147" s="24"/>
    </row>
  </sheetData>
  <autoFilter ref="A2:P147" xr:uid="{6831539B-1EF2-456C-A99A-6624932F8169}">
    <filterColumn colId="2">
      <filters>
        <filter val="Benjamin D"/>
      </filters>
    </filterColumn>
    <sortState xmlns:xlrd2="http://schemas.microsoft.com/office/spreadsheetml/2017/richdata2" ref="A3:P147">
      <sortCondition ref="A2:A147"/>
    </sortState>
  </autoFilter>
  <mergeCells count="2">
    <mergeCell ref="J1:K1"/>
    <mergeCell ref="L1:N1"/>
  </mergeCells>
  <conditionalFormatting sqref="B3:B147">
    <cfRule type="iconSet" priority="1">
      <iconSet iconSet="5Rating">
        <cfvo type="percent" val="0"/>
        <cfvo type="percent" val="20"/>
        <cfvo type="percent" val="40"/>
        <cfvo type="percent" val="60"/>
        <cfvo type="percent" val="80"/>
      </iconSet>
    </cfRule>
  </conditionalFormatting>
  <conditionalFormatting sqref="H76:O887 J75:O75 H75 H3:O74">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7" xr:uid="{91566932-5BA5-4B46-8B8E-6E9A5BCA1DCC}"/>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E43ECFD-0040-4704-B092-422AE2E6B3DE}">
          <x14:formula1>
            <xm:f>'Guide suivi GDP '!$E$3:$E$8</xm:f>
          </x14:formula1>
          <xm:sqref>D3:D147</xm:sqref>
        </x14:dataValidation>
        <x14:dataValidation type="list" allowBlank="1" showInputMessage="1" showErrorMessage="1" xr:uid="{F2B00059-15DA-4FA2-BE1E-FB120BC9DDA4}">
          <x14:formula1>
            <xm:f>'Guide suivi GDP '!$E$20:$E$24</xm:f>
          </x14:formula1>
          <xm:sqref>E3:E147</xm:sqref>
        </x14:dataValidation>
        <x14:dataValidation type="list" allowBlank="1" showInputMessage="1" showErrorMessage="1" xr:uid="{DA5FAFF5-F77F-49E6-A263-AF355951530C}">
          <x14:formula1>
            <xm:f>'Guide suivi GDP '!$E$14:$E$19</xm:f>
          </x14:formula1>
          <xm:sqref>F3:F147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18BC-FA0F-4ACF-975A-5792DBC6CF9F}">
  <sheetPr filterMode="1">
    <tabColor rgb="FF92D050"/>
  </sheetPr>
  <dimension ref="A1:Q147"/>
  <sheetViews>
    <sheetView workbookViewId="0"/>
  </sheetViews>
  <sheetFormatPr baseColWidth="10" defaultColWidth="9.140625" defaultRowHeight="12.75" outlineLevelCol="2"/>
  <cols>
    <col min="1" max="1" width="20.42578125" style="26" customWidth="1"/>
    <col min="2" max="2" width="9.85546875" style="26" customWidth="1"/>
    <col min="3" max="3" width="12.28515625" style="5" customWidth="1"/>
    <col min="4" max="4" width="11.7109375" style="5" customWidth="1" outlineLevel="1"/>
    <col min="5" max="5" width="15.7109375" style="5" customWidth="1" outlineLevel="1"/>
    <col min="6" max="6" width="12.5703125" style="27" customWidth="1" outlineLevel="1"/>
    <col min="7" max="7" width="14.28515625" style="27" customWidth="1" outlineLevel="1"/>
    <col min="8" max="8" width="14.5703125" style="26" customWidth="1" outlineLevel="2" collapsed="1"/>
    <col min="9" max="9" width="12.7109375" style="26" customWidth="1" outlineLevel="2"/>
    <col min="10" max="10" width="11" style="26" customWidth="1" outlineLevel="2"/>
    <col min="11" max="11" width="8.85546875" style="26" customWidth="1" outlineLevel="2"/>
    <col min="12" max="12" width="11.7109375" style="26" customWidth="1" outlineLevel="2"/>
    <col min="13" max="13" width="12.28515625" style="26" customWidth="1" outlineLevel="2"/>
    <col min="14" max="14" width="15.7109375" style="26" customWidth="1" outlineLevel="2"/>
    <col min="15" max="15" width="10.5703125" style="13" bestFit="1" customWidth="1"/>
    <col min="16" max="16" width="42" style="26" customWidth="1"/>
    <col min="17" max="16384" width="9.140625" style="13"/>
  </cols>
  <sheetData>
    <row r="1" spans="1:16" ht="30">
      <c r="F1" s="5"/>
      <c r="G1" s="5"/>
      <c r="H1" s="9" t="s">
        <v>68</v>
      </c>
      <c r="I1" s="12" t="s">
        <v>69</v>
      </c>
      <c r="J1" s="199" t="s">
        <v>71</v>
      </c>
      <c r="K1" s="200"/>
      <c r="L1" s="196" t="s">
        <v>76</v>
      </c>
      <c r="M1" s="197"/>
      <c r="N1" s="198"/>
    </row>
    <row r="2" spans="1:16"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2" t="s">
        <v>97</v>
      </c>
    </row>
    <row r="3" spans="1:16"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t="s">
        <v>107</v>
      </c>
    </row>
    <row r="4" spans="1:16"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143" t="s">
        <v>317</v>
      </c>
    </row>
    <row r="5" spans="1:16" ht="45"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t="s">
        <v>407</v>
      </c>
    </row>
    <row r="6" spans="1:16"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143" t="s">
        <v>523</v>
      </c>
    </row>
    <row r="7" spans="1:16"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t="s">
        <v>349</v>
      </c>
    </row>
    <row r="8" spans="1:16"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143" t="s">
        <v>116</v>
      </c>
    </row>
    <row r="9" spans="1:16"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143" t="s">
        <v>524</v>
      </c>
    </row>
    <row r="10" spans="1:16"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143" t="s">
        <v>558</v>
      </c>
    </row>
    <row r="11" spans="1:16" ht="45" hidden="1" customHeight="1">
      <c r="A11" s="153" t="s">
        <v>275</v>
      </c>
      <c r="B11" s="39">
        <v>0</v>
      </c>
      <c r="C11" s="141" t="s">
        <v>409</v>
      </c>
      <c r="D11" s="141"/>
      <c r="E11" s="141"/>
      <c r="F11" s="141"/>
      <c r="G11" s="141"/>
      <c r="H11" s="29"/>
      <c r="I11" s="145"/>
      <c r="J11" s="145"/>
      <c r="K11" s="145"/>
      <c r="L11" s="145"/>
      <c r="M11" s="145"/>
      <c r="N11" s="145"/>
      <c r="O11" s="142" t="e">
        <f t="shared" si="0"/>
        <v>#DIV/0!</v>
      </c>
      <c r="P11" s="143" t="s">
        <v>484</v>
      </c>
    </row>
    <row r="12" spans="1:16" ht="45" hidden="1" customHeight="1">
      <c r="A12" s="153" t="s">
        <v>446</v>
      </c>
      <c r="B12" s="39">
        <v>0</v>
      </c>
      <c r="C12" s="141" t="s">
        <v>409</v>
      </c>
      <c r="D12" s="141"/>
      <c r="E12" s="141"/>
      <c r="F12" s="141"/>
      <c r="G12" s="141"/>
      <c r="H12" s="29"/>
      <c r="I12" s="145"/>
      <c r="J12" s="145"/>
      <c r="K12" s="145"/>
      <c r="L12" s="145"/>
      <c r="M12" s="145"/>
      <c r="N12" s="145"/>
      <c r="O12" s="142" t="e">
        <f t="shared" si="0"/>
        <v>#DIV/0!</v>
      </c>
      <c r="P12" s="143" t="s">
        <v>485</v>
      </c>
    </row>
    <row r="13" spans="1:16"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143" t="s">
        <v>322</v>
      </c>
    </row>
    <row r="14" spans="1:16" ht="45" hidden="1" customHeight="1">
      <c r="A14" s="153" t="s">
        <v>280</v>
      </c>
      <c r="B14" s="39">
        <v>0</v>
      </c>
      <c r="C14" s="141" t="s">
        <v>409</v>
      </c>
      <c r="D14" s="21"/>
      <c r="E14" s="21"/>
      <c r="F14" s="21"/>
      <c r="G14" s="21"/>
      <c r="H14" s="29"/>
      <c r="I14" s="145"/>
      <c r="J14" s="145"/>
      <c r="K14" s="145"/>
      <c r="L14" s="145"/>
      <c r="M14" s="145"/>
      <c r="N14" s="145"/>
      <c r="O14" s="142" t="e">
        <f t="shared" si="0"/>
        <v>#DIV/0!</v>
      </c>
      <c r="P14" s="46" t="s">
        <v>323</v>
      </c>
    </row>
    <row r="15" spans="1:16"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46" t="s">
        <v>486</v>
      </c>
    </row>
    <row r="16" spans="1:16" ht="45" hidden="1" customHeight="1">
      <c r="A16" s="153" t="s">
        <v>279</v>
      </c>
      <c r="B16" s="39">
        <v>0</v>
      </c>
      <c r="C16" s="141" t="s">
        <v>409</v>
      </c>
      <c r="D16" s="21" t="s">
        <v>6</v>
      </c>
      <c r="E16" s="21"/>
      <c r="F16" s="21"/>
      <c r="G16" s="21"/>
      <c r="H16" s="29"/>
      <c r="I16" s="145"/>
      <c r="J16" s="145"/>
      <c r="K16" s="145"/>
      <c r="L16" s="145"/>
      <c r="M16" s="145"/>
      <c r="N16" s="145"/>
      <c r="O16" s="142" t="e">
        <f t="shared" si="0"/>
        <v>#DIV/0!</v>
      </c>
      <c r="P16" s="46" t="s">
        <v>448</v>
      </c>
    </row>
    <row r="17" spans="1:16"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143" t="s">
        <v>525</v>
      </c>
    </row>
    <row r="18" spans="1:16"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143" t="s">
        <v>526</v>
      </c>
    </row>
    <row r="19" spans="1:16" ht="45" customHeight="1">
      <c r="A19" s="153" t="s">
        <v>429</v>
      </c>
      <c r="B19" s="39">
        <v>0</v>
      </c>
      <c r="C19" s="141" t="s">
        <v>51</v>
      </c>
      <c r="D19" s="141" t="s">
        <v>6</v>
      </c>
      <c r="E19" s="141"/>
      <c r="F19" s="141"/>
      <c r="G19" s="141"/>
      <c r="H19" s="29">
        <v>0</v>
      </c>
      <c r="I19" s="145">
        <v>0</v>
      </c>
      <c r="J19" s="145">
        <v>0</v>
      </c>
      <c r="K19" s="145">
        <v>0</v>
      </c>
      <c r="L19" s="145">
        <v>0</v>
      </c>
      <c r="M19" s="145">
        <v>0</v>
      </c>
      <c r="N19" s="145">
        <v>0</v>
      </c>
      <c r="O19" s="142">
        <f t="shared" si="0"/>
        <v>0</v>
      </c>
      <c r="P19" s="155" t="s">
        <v>527</v>
      </c>
    </row>
    <row r="20" spans="1:16"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143" t="s">
        <v>489</v>
      </c>
    </row>
    <row r="21" spans="1:16"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143" t="s">
        <v>528</v>
      </c>
    </row>
    <row r="22" spans="1:16" ht="45"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t="s">
        <v>188</v>
      </c>
    </row>
    <row r="23" spans="1:16"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143" t="s">
        <v>451</v>
      </c>
    </row>
    <row r="24" spans="1:16"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143" t="s">
        <v>529</v>
      </c>
    </row>
    <row r="25" spans="1:16" ht="45" customHeight="1">
      <c r="A25" s="153" t="s">
        <v>415</v>
      </c>
      <c r="B25" s="39">
        <v>0</v>
      </c>
      <c r="C25" s="21" t="s">
        <v>51</v>
      </c>
      <c r="D25" s="21" t="s">
        <v>6</v>
      </c>
      <c r="E25" s="21"/>
      <c r="F25" s="21"/>
      <c r="G25" s="21"/>
      <c r="H25" s="48"/>
      <c r="I25" s="51"/>
      <c r="J25" s="51"/>
      <c r="K25" s="51"/>
      <c r="L25" s="51"/>
      <c r="M25" s="51"/>
      <c r="N25" s="51"/>
      <c r="O25" s="142" t="e">
        <f t="shared" si="0"/>
        <v>#DIV/0!</v>
      </c>
      <c r="P25" s="46" t="s">
        <v>492</v>
      </c>
    </row>
    <row r="26" spans="1:16" ht="45" customHeight="1">
      <c r="A26" s="153"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t="s">
        <v>559</v>
      </c>
    </row>
    <row r="27" spans="1:16"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143" t="s">
        <v>493</v>
      </c>
    </row>
    <row r="28" spans="1:16" ht="45"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38" t="s">
        <v>494</v>
      </c>
    </row>
    <row r="29" spans="1:16"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143" t="s">
        <v>531</v>
      </c>
    </row>
    <row r="30" spans="1:16"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t="s">
        <v>560</v>
      </c>
    </row>
    <row r="31" spans="1:16" ht="45" hidden="1" customHeight="1">
      <c r="A31" s="153" t="s">
        <v>283</v>
      </c>
      <c r="B31" s="39">
        <v>0</v>
      </c>
      <c r="C31" s="21" t="s">
        <v>174</v>
      </c>
      <c r="D31" s="21" t="s">
        <v>6</v>
      </c>
      <c r="E31" s="21"/>
      <c r="F31" s="21"/>
      <c r="G31" s="21"/>
      <c r="H31" s="48"/>
      <c r="I31" s="51"/>
      <c r="J31" s="51"/>
      <c r="K31" s="51"/>
      <c r="L31" s="51"/>
      <c r="M31" s="51"/>
      <c r="N31" s="51"/>
      <c r="O31" s="142" t="e">
        <f t="shared" si="0"/>
        <v>#DIV/0!</v>
      </c>
      <c r="P31" s="46" t="s">
        <v>532</v>
      </c>
    </row>
    <row r="32" spans="1:16"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t="s">
        <v>561</v>
      </c>
    </row>
    <row r="33" spans="1:17"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46" t="s">
        <v>533</v>
      </c>
    </row>
    <row r="34" spans="1:17"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143" t="s">
        <v>226</v>
      </c>
    </row>
    <row r="35" spans="1:17"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143" t="s">
        <v>534</v>
      </c>
    </row>
    <row r="36" spans="1:17"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143" t="s">
        <v>245</v>
      </c>
    </row>
    <row r="37" spans="1:17"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143" t="s">
        <v>535</v>
      </c>
    </row>
    <row r="38" spans="1:17"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143" t="s">
        <v>536</v>
      </c>
    </row>
    <row r="39" spans="1:17"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143" t="s">
        <v>500</v>
      </c>
    </row>
    <row r="40" spans="1:17"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143" t="s">
        <v>107</v>
      </c>
      <c r="Q40" s="13" t="s">
        <v>259</v>
      </c>
    </row>
    <row r="41" spans="1:17"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143" t="s">
        <v>537</v>
      </c>
      <c r="Q41" s="13" t="s">
        <v>259</v>
      </c>
    </row>
    <row r="42" spans="1:17"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143" t="s">
        <v>538</v>
      </c>
    </row>
    <row r="43" spans="1:17"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138" t="s">
        <v>502</v>
      </c>
    </row>
    <row r="44" spans="1:17"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4" t="s">
        <v>562</v>
      </c>
    </row>
    <row r="45" spans="1:17"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38" t="s">
        <v>504</v>
      </c>
    </row>
    <row r="46" spans="1:17"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138" t="s">
        <v>505</v>
      </c>
    </row>
    <row r="47" spans="1:17"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38" t="s">
        <v>539</v>
      </c>
    </row>
    <row r="48" spans="1:17"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38" t="s">
        <v>370</v>
      </c>
      <c r="Q48" s="13" t="s">
        <v>268</v>
      </c>
    </row>
    <row r="49" spans="1:16"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t="s">
        <v>540</v>
      </c>
    </row>
    <row r="50" spans="1:16"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138" t="s">
        <v>507</v>
      </c>
    </row>
    <row r="51" spans="1:16"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138" t="s">
        <v>541</v>
      </c>
    </row>
    <row r="52" spans="1:16"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24" t="s">
        <v>509</v>
      </c>
    </row>
    <row r="53" spans="1:16" ht="45" customHeight="1">
      <c r="A53" s="153" t="s">
        <v>315</v>
      </c>
      <c r="B53" s="39">
        <v>0</v>
      </c>
      <c r="C53" s="141" t="s">
        <v>51</v>
      </c>
      <c r="D53" s="21" t="s">
        <v>6</v>
      </c>
      <c r="E53" s="21"/>
      <c r="F53" s="21"/>
      <c r="G53" s="21"/>
      <c r="H53" s="48"/>
      <c r="I53" s="51"/>
      <c r="J53" s="51"/>
      <c r="K53" s="51"/>
      <c r="L53" s="51"/>
      <c r="M53" s="51"/>
      <c r="N53" s="51"/>
      <c r="O53" s="142" t="e">
        <f t="shared" si="1"/>
        <v>#DIV/0!</v>
      </c>
      <c r="P53" s="46" t="s">
        <v>542</v>
      </c>
    </row>
    <row r="54" spans="1:16" ht="45" customHeight="1">
      <c r="A54" s="153" t="s">
        <v>543</v>
      </c>
      <c r="B54" s="39">
        <v>0</v>
      </c>
      <c r="C54" s="141" t="s">
        <v>51</v>
      </c>
      <c r="D54" s="21"/>
      <c r="E54" s="21"/>
      <c r="F54" s="21"/>
      <c r="G54" s="21"/>
      <c r="H54" s="48"/>
      <c r="I54" s="51"/>
      <c r="J54" s="51"/>
      <c r="K54" s="51"/>
      <c r="L54" s="51"/>
      <c r="M54" s="51"/>
      <c r="N54" s="51"/>
      <c r="O54" s="142" t="e">
        <f t="shared" si="1"/>
        <v>#DIV/0!</v>
      </c>
      <c r="P54" s="46" t="s">
        <v>563</v>
      </c>
    </row>
    <row r="55" spans="1:16" ht="45" customHeight="1">
      <c r="A55" s="153" t="s">
        <v>545</v>
      </c>
      <c r="B55" s="39">
        <v>0</v>
      </c>
      <c r="C55" s="141" t="s">
        <v>51</v>
      </c>
      <c r="D55" s="21" t="s">
        <v>6</v>
      </c>
      <c r="E55" s="21"/>
      <c r="F55" s="21"/>
      <c r="G55" s="21"/>
      <c r="H55" s="48"/>
      <c r="I55" s="51"/>
      <c r="J55" s="51"/>
      <c r="K55" s="51"/>
      <c r="L55" s="51"/>
      <c r="M55" s="51"/>
      <c r="N55" s="51"/>
      <c r="O55" s="142" t="e">
        <f t="shared" si="1"/>
        <v>#DIV/0!</v>
      </c>
      <c r="P55" s="46" t="s">
        <v>546</v>
      </c>
    </row>
    <row r="56" spans="1:16" ht="45" customHeight="1">
      <c r="A56" s="153" t="s">
        <v>564</v>
      </c>
      <c r="B56" s="39"/>
      <c r="C56" s="141" t="s">
        <v>51</v>
      </c>
      <c r="D56" s="21"/>
      <c r="E56" s="21"/>
      <c r="F56" s="21"/>
      <c r="G56" s="21"/>
      <c r="H56" s="48"/>
      <c r="I56" s="51"/>
      <c r="J56" s="51"/>
      <c r="K56" s="51"/>
      <c r="L56" s="51"/>
      <c r="M56" s="51"/>
      <c r="N56" s="51"/>
      <c r="O56" s="142"/>
      <c r="P56" s="46" t="s">
        <v>565</v>
      </c>
    </row>
    <row r="57" spans="1:16" ht="45" customHeight="1">
      <c r="A57" s="153" t="s">
        <v>149</v>
      </c>
      <c r="B57" s="39">
        <v>0</v>
      </c>
      <c r="C57" s="141" t="s">
        <v>51</v>
      </c>
      <c r="D57" s="141" t="s">
        <v>26</v>
      </c>
      <c r="E57" s="141" t="s">
        <v>44</v>
      </c>
      <c r="F57" s="141" t="s">
        <v>37</v>
      </c>
      <c r="G57" s="141"/>
      <c r="H57" s="29">
        <v>5</v>
      </c>
      <c r="I57" s="145">
        <v>5</v>
      </c>
      <c r="J57" s="145">
        <v>5</v>
      </c>
      <c r="K57" s="145">
        <v>5</v>
      </c>
      <c r="L57" s="145">
        <v>5</v>
      </c>
      <c r="M57" s="145">
        <v>5</v>
      </c>
      <c r="N57" s="145">
        <v>5</v>
      </c>
      <c r="O57" s="142">
        <f t="shared" ref="O57:O75" si="2">AVERAGE(H57:N57)</f>
        <v>5</v>
      </c>
      <c r="P57" s="143" t="s">
        <v>547</v>
      </c>
    </row>
    <row r="58" spans="1:16" ht="45" hidden="1" customHeight="1">
      <c r="A58" s="153" t="s">
        <v>129</v>
      </c>
      <c r="B58" s="39">
        <v>0</v>
      </c>
      <c r="C58" s="141" t="s">
        <v>123</v>
      </c>
      <c r="D58" s="141" t="s">
        <v>26</v>
      </c>
      <c r="E58" s="141" t="s">
        <v>47</v>
      </c>
      <c r="F58" s="141" t="s">
        <v>41</v>
      </c>
      <c r="G58" s="141"/>
      <c r="H58" s="29">
        <v>0</v>
      </c>
      <c r="I58" s="145">
        <v>0</v>
      </c>
      <c r="J58" s="145">
        <v>0</v>
      </c>
      <c r="K58" s="145">
        <v>0</v>
      </c>
      <c r="L58" s="145">
        <v>0</v>
      </c>
      <c r="M58" s="145">
        <v>0</v>
      </c>
      <c r="N58" s="145">
        <v>0</v>
      </c>
      <c r="O58" s="142">
        <f t="shared" si="2"/>
        <v>0</v>
      </c>
      <c r="P58" s="143" t="s">
        <v>548</v>
      </c>
    </row>
    <row r="59" spans="1:16" ht="45" hidden="1" customHeight="1">
      <c r="A59" s="40" t="s">
        <v>134</v>
      </c>
      <c r="B59" s="39">
        <v>0</v>
      </c>
      <c r="C59" s="141" t="s">
        <v>123</v>
      </c>
      <c r="D59" s="141" t="s">
        <v>18</v>
      </c>
      <c r="E59" s="141" t="s">
        <v>44</v>
      </c>
      <c r="F59" s="141" t="s">
        <v>38</v>
      </c>
      <c r="G59" s="141"/>
      <c r="H59" s="29">
        <v>0</v>
      </c>
      <c r="I59" s="145">
        <v>0</v>
      </c>
      <c r="J59" s="145">
        <v>0</v>
      </c>
      <c r="K59" s="145">
        <v>0</v>
      </c>
      <c r="L59" s="145">
        <v>0</v>
      </c>
      <c r="M59" s="145">
        <v>0</v>
      </c>
      <c r="N59" s="145">
        <v>0</v>
      </c>
      <c r="O59" s="142">
        <f t="shared" si="2"/>
        <v>0</v>
      </c>
      <c r="P59" s="143" t="s">
        <v>512</v>
      </c>
    </row>
    <row r="60" spans="1:16" ht="45" hidden="1" customHeight="1">
      <c r="A60" s="153" t="s">
        <v>281</v>
      </c>
      <c r="B60" s="39">
        <v>0</v>
      </c>
      <c r="C60" s="21" t="s">
        <v>150</v>
      </c>
      <c r="D60" s="21" t="s">
        <v>6</v>
      </c>
      <c r="E60" s="21"/>
      <c r="F60" s="21" t="s">
        <v>38</v>
      </c>
      <c r="G60" s="21"/>
      <c r="H60" s="48">
        <v>0</v>
      </c>
      <c r="I60" s="51">
        <v>0</v>
      </c>
      <c r="J60" s="51">
        <v>0</v>
      </c>
      <c r="K60" s="51">
        <v>0</v>
      </c>
      <c r="L60" s="51">
        <v>0</v>
      </c>
      <c r="M60" s="51">
        <v>0</v>
      </c>
      <c r="N60" s="51">
        <v>0</v>
      </c>
      <c r="O60" s="142">
        <f t="shared" si="2"/>
        <v>0</v>
      </c>
      <c r="P60" s="46" t="s">
        <v>549</v>
      </c>
    </row>
    <row r="61" spans="1:16" ht="45" hidden="1" customHeight="1">
      <c r="A61" s="153" t="s">
        <v>221</v>
      </c>
      <c r="B61" s="39">
        <v>0</v>
      </c>
      <c r="C61" s="141" t="s">
        <v>267</v>
      </c>
      <c r="D61" s="141" t="s">
        <v>6</v>
      </c>
      <c r="E61" s="141"/>
      <c r="F61" s="141"/>
      <c r="G61" s="141"/>
      <c r="H61" s="29">
        <v>0</v>
      </c>
      <c r="I61" s="145">
        <v>0</v>
      </c>
      <c r="J61" s="145">
        <v>0</v>
      </c>
      <c r="K61" s="145">
        <v>0</v>
      </c>
      <c r="L61" s="145">
        <v>0</v>
      </c>
      <c r="M61" s="145">
        <v>0</v>
      </c>
      <c r="N61" s="145">
        <v>0</v>
      </c>
      <c r="O61" s="142">
        <f t="shared" si="2"/>
        <v>0</v>
      </c>
      <c r="P61" s="143" t="s">
        <v>222</v>
      </c>
    </row>
    <row r="62" spans="1:16" ht="45" hidden="1" customHeight="1">
      <c r="A62" s="153" t="s">
        <v>468</v>
      </c>
      <c r="B62" s="39">
        <v>0</v>
      </c>
      <c r="C62" s="141" t="s">
        <v>150</v>
      </c>
      <c r="D62" s="141" t="s">
        <v>10</v>
      </c>
      <c r="E62" s="141" t="s">
        <v>44</v>
      </c>
      <c r="F62" s="141" t="s">
        <v>38</v>
      </c>
      <c r="G62" s="141"/>
      <c r="H62" s="29">
        <v>0</v>
      </c>
      <c r="I62" s="29">
        <v>3</v>
      </c>
      <c r="J62" s="29">
        <v>0</v>
      </c>
      <c r="K62" s="29">
        <v>3</v>
      </c>
      <c r="L62" s="29">
        <v>0</v>
      </c>
      <c r="M62" s="29">
        <v>0</v>
      </c>
      <c r="N62" s="29" t="s">
        <v>118</v>
      </c>
      <c r="O62" s="142">
        <f t="shared" si="2"/>
        <v>1</v>
      </c>
      <c r="P62" s="143" t="s">
        <v>550</v>
      </c>
    </row>
    <row r="63" spans="1:16" ht="45" hidden="1" customHeight="1">
      <c r="A63" s="40" t="s">
        <v>130</v>
      </c>
      <c r="B63" s="39">
        <v>0</v>
      </c>
      <c r="C63" s="141" t="s">
        <v>123</v>
      </c>
      <c r="D63" s="141" t="s">
        <v>26</v>
      </c>
      <c r="E63" s="141" t="s">
        <v>44</v>
      </c>
      <c r="F63" s="141" t="s">
        <v>40</v>
      </c>
      <c r="G63" s="42"/>
      <c r="H63" s="139">
        <v>1</v>
      </c>
      <c r="I63" s="139">
        <v>1</v>
      </c>
      <c r="J63" s="139">
        <v>1</v>
      </c>
      <c r="K63" s="139">
        <v>1</v>
      </c>
      <c r="L63" s="139">
        <v>1</v>
      </c>
      <c r="M63" s="139">
        <v>0</v>
      </c>
      <c r="N63" s="139">
        <v>0</v>
      </c>
      <c r="O63" s="142">
        <f t="shared" si="2"/>
        <v>0.7142857142857143</v>
      </c>
      <c r="P63" s="138" t="s">
        <v>432</v>
      </c>
    </row>
    <row r="64" spans="1:16" ht="45" hidden="1" customHeight="1">
      <c r="A64" s="153" t="s">
        <v>173</v>
      </c>
      <c r="B64" s="39">
        <v>0</v>
      </c>
      <c r="C64" s="141" t="s">
        <v>174</v>
      </c>
      <c r="D64" s="141" t="s">
        <v>6</v>
      </c>
      <c r="E64" s="141"/>
      <c r="F64" s="141"/>
      <c r="G64" s="42"/>
      <c r="H64" s="139" t="s">
        <v>118</v>
      </c>
      <c r="I64" s="139" t="s">
        <v>118</v>
      </c>
      <c r="J64" s="139" t="s">
        <v>118</v>
      </c>
      <c r="K64" s="139" t="s">
        <v>118</v>
      </c>
      <c r="L64" s="139" t="s">
        <v>118</v>
      </c>
      <c r="M64" s="139" t="s">
        <v>118</v>
      </c>
      <c r="N64" s="139" t="s">
        <v>118</v>
      </c>
      <c r="O64" s="142" t="e">
        <f t="shared" si="2"/>
        <v>#DIV/0!</v>
      </c>
      <c r="P64" s="138" t="s">
        <v>551</v>
      </c>
    </row>
    <row r="65" spans="1:16" ht="45" hidden="1" customHeight="1">
      <c r="A65" s="28" t="s">
        <v>433</v>
      </c>
      <c r="B65" s="39">
        <v>0</v>
      </c>
      <c r="C65" s="141" t="s">
        <v>150</v>
      </c>
      <c r="D65" s="35" t="s">
        <v>26</v>
      </c>
      <c r="E65" s="35" t="s">
        <v>48</v>
      </c>
      <c r="F65" s="35"/>
      <c r="G65" s="43"/>
      <c r="H65" s="139">
        <v>0</v>
      </c>
      <c r="I65" s="139">
        <v>0</v>
      </c>
      <c r="J65" s="139">
        <v>0</v>
      </c>
      <c r="K65" s="139">
        <v>0</v>
      </c>
      <c r="L65" s="139">
        <v>0</v>
      </c>
      <c r="M65" s="139">
        <v>0</v>
      </c>
      <c r="N65" s="139">
        <v>0</v>
      </c>
      <c r="O65" s="142">
        <f t="shared" si="2"/>
        <v>0</v>
      </c>
      <c r="P65" s="138" t="s">
        <v>552</v>
      </c>
    </row>
    <row r="66" spans="1:16" ht="45" hidden="1" customHeight="1">
      <c r="A66" s="140" t="s">
        <v>176</v>
      </c>
      <c r="B66" s="39">
        <v>0</v>
      </c>
      <c r="C66" s="141" t="s">
        <v>174</v>
      </c>
      <c r="D66" s="141"/>
      <c r="E66" s="141"/>
      <c r="F66" s="141"/>
      <c r="G66" s="42"/>
      <c r="H66" s="139" t="s">
        <v>118</v>
      </c>
      <c r="I66" s="139" t="s">
        <v>118</v>
      </c>
      <c r="J66" s="139" t="s">
        <v>118</v>
      </c>
      <c r="K66" s="139" t="s">
        <v>118</v>
      </c>
      <c r="L66" s="139" t="s">
        <v>118</v>
      </c>
      <c r="M66" s="139" t="s">
        <v>118</v>
      </c>
      <c r="N66" s="139" t="s">
        <v>118</v>
      </c>
      <c r="O66" s="142" t="e">
        <f t="shared" si="2"/>
        <v>#DIV/0!</v>
      </c>
      <c r="P66" s="138" t="s">
        <v>553</v>
      </c>
    </row>
    <row r="67" spans="1:16" ht="45" hidden="1" customHeight="1">
      <c r="A67" s="140" t="s">
        <v>246</v>
      </c>
      <c r="B67" s="39">
        <v>0</v>
      </c>
      <c r="C67" s="141" t="s">
        <v>150</v>
      </c>
      <c r="D67" s="141" t="s">
        <v>6</v>
      </c>
      <c r="E67" s="141"/>
      <c r="F67" s="141"/>
      <c r="G67" s="42"/>
      <c r="H67" s="139" t="s">
        <v>118</v>
      </c>
      <c r="I67" s="139" t="s">
        <v>118</v>
      </c>
      <c r="J67" s="139" t="s">
        <v>118</v>
      </c>
      <c r="K67" s="139" t="s">
        <v>118</v>
      </c>
      <c r="L67" s="139" t="s">
        <v>118</v>
      </c>
      <c r="M67" s="139" t="s">
        <v>118</v>
      </c>
      <c r="N67" s="139" t="s">
        <v>118</v>
      </c>
      <c r="O67" s="142" t="e">
        <f t="shared" si="2"/>
        <v>#DIV/0!</v>
      </c>
      <c r="P67" s="138" t="s">
        <v>566</v>
      </c>
    </row>
    <row r="68" spans="1:16" ht="45" hidden="1" customHeight="1">
      <c r="A68" s="140" t="s">
        <v>184</v>
      </c>
      <c r="B68" s="39">
        <v>0</v>
      </c>
      <c r="C68" s="141" t="s">
        <v>174</v>
      </c>
      <c r="D68" s="141" t="s">
        <v>14</v>
      </c>
      <c r="E68" s="141"/>
      <c r="F68" s="141"/>
      <c r="G68" s="42"/>
      <c r="H68" s="139">
        <v>0</v>
      </c>
      <c r="I68" s="139">
        <v>0</v>
      </c>
      <c r="J68" s="139">
        <v>0</v>
      </c>
      <c r="K68" s="139">
        <v>0</v>
      </c>
      <c r="L68" s="139">
        <v>0</v>
      </c>
      <c r="M68" s="139">
        <v>0</v>
      </c>
      <c r="N68" s="139">
        <v>0</v>
      </c>
      <c r="O68" s="142">
        <f t="shared" si="2"/>
        <v>0</v>
      </c>
      <c r="P68" s="138" t="s">
        <v>554</v>
      </c>
    </row>
    <row r="69" spans="1:16" ht="45" hidden="1" customHeight="1">
      <c r="A69" s="140" t="s">
        <v>182</v>
      </c>
      <c r="B69" s="39">
        <v>0</v>
      </c>
      <c r="C69" s="141" t="s">
        <v>174</v>
      </c>
      <c r="D69" s="141" t="s">
        <v>14</v>
      </c>
      <c r="E69" s="141"/>
      <c r="F69" s="141"/>
      <c r="G69" s="42"/>
      <c r="H69" s="50">
        <v>0</v>
      </c>
      <c r="I69" s="50">
        <v>0</v>
      </c>
      <c r="J69" s="50">
        <v>0</v>
      </c>
      <c r="K69" s="50">
        <v>0</v>
      </c>
      <c r="L69" s="50">
        <v>0</v>
      </c>
      <c r="M69" s="50">
        <v>0</v>
      </c>
      <c r="N69" s="50">
        <v>0</v>
      </c>
      <c r="O69" s="142">
        <f t="shared" si="2"/>
        <v>0</v>
      </c>
      <c r="P69" s="148" t="s">
        <v>555</v>
      </c>
    </row>
    <row r="70" spans="1:16" ht="45" hidden="1" customHeight="1">
      <c r="A70" s="58" t="s">
        <v>122</v>
      </c>
      <c r="B70" s="39">
        <v>0</v>
      </c>
      <c r="C70" s="141" t="s">
        <v>123</v>
      </c>
      <c r="D70" s="141" t="s">
        <v>14</v>
      </c>
      <c r="E70" s="141" t="s">
        <v>44</v>
      </c>
      <c r="F70" s="141" t="s">
        <v>40</v>
      </c>
      <c r="G70" s="141"/>
      <c r="H70" s="50">
        <v>3</v>
      </c>
      <c r="I70" s="50">
        <v>0</v>
      </c>
      <c r="J70" s="50">
        <v>4</v>
      </c>
      <c r="K70" s="50">
        <v>1</v>
      </c>
      <c r="L70" s="50" t="s">
        <v>118</v>
      </c>
      <c r="M70" s="50">
        <v>2</v>
      </c>
      <c r="N70" s="50" t="s">
        <v>118</v>
      </c>
      <c r="O70" s="142">
        <f t="shared" si="2"/>
        <v>2</v>
      </c>
      <c r="P70" s="148" t="s">
        <v>556</v>
      </c>
    </row>
    <row r="71" spans="1:16" ht="45" hidden="1" customHeight="1">
      <c r="A71" s="140" t="s">
        <v>223</v>
      </c>
      <c r="B71" s="39">
        <v>0</v>
      </c>
      <c r="C71" s="141" t="s">
        <v>267</v>
      </c>
      <c r="D71" s="141" t="s">
        <v>6</v>
      </c>
      <c r="E71" s="141"/>
      <c r="F71" s="141"/>
      <c r="G71" s="141"/>
      <c r="H71" s="139">
        <v>0</v>
      </c>
      <c r="I71" s="139">
        <v>0</v>
      </c>
      <c r="J71" s="139">
        <v>0</v>
      </c>
      <c r="K71" s="139">
        <v>0</v>
      </c>
      <c r="L71" s="139">
        <v>0</v>
      </c>
      <c r="M71" s="139">
        <v>0</v>
      </c>
      <c r="N71" s="139">
        <v>0</v>
      </c>
      <c r="O71" s="142">
        <f t="shared" si="2"/>
        <v>0</v>
      </c>
      <c r="P71" s="138" t="s">
        <v>475</v>
      </c>
    </row>
    <row r="72" spans="1:16" ht="45" hidden="1" customHeight="1">
      <c r="A72" s="140" t="s">
        <v>437</v>
      </c>
      <c r="B72" s="39">
        <v>0</v>
      </c>
      <c r="C72" s="21" t="s">
        <v>123</v>
      </c>
      <c r="D72" s="21" t="s">
        <v>6</v>
      </c>
      <c r="E72" s="21"/>
      <c r="F72" s="21"/>
      <c r="G72" s="21"/>
      <c r="H72" s="22">
        <v>0</v>
      </c>
      <c r="I72" s="22">
        <v>0</v>
      </c>
      <c r="J72" s="22">
        <v>0</v>
      </c>
      <c r="K72" s="22">
        <v>0</v>
      </c>
      <c r="L72" s="22">
        <v>0</v>
      </c>
      <c r="M72" s="22">
        <v>0</v>
      </c>
      <c r="N72" s="22">
        <v>0</v>
      </c>
      <c r="O72" s="142">
        <f t="shared" si="2"/>
        <v>0</v>
      </c>
      <c r="P72" s="24" t="s">
        <v>314</v>
      </c>
    </row>
    <row r="73" spans="1:16" ht="45" hidden="1" customHeight="1">
      <c r="A73" s="140" t="s">
        <v>138</v>
      </c>
      <c r="B73" s="39">
        <v>0</v>
      </c>
      <c r="C73" s="53" t="s">
        <v>150</v>
      </c>
      <c r="D73" s="141" t="s">
        <v>26</v>
      </c>
      <c r="E73" s="141" t="s">
        <v>48</v>
      </c>
      <c r="F73" s="141"/>
      <c r="G73" s="141"/>
      <c r="H73" s="139">
        <v>1</v>
      </c>
      <c r="I73" s="139">
        <v>0</v>
      </c>
      <c r="J73" s="139">
        <v>0</v>
      </c>
      <c r="K73" s="139">
        <v>0</v>
      </c>
      <c r="L73" s="139">
        <v>0</v>
      </c>
      <c r="M73" s="139">
        <v>1</v>
      </c>
      <c r="N73" s="139">
        <v>0</v>
      </c>
      <c r="O73" s="142">
        <f t="shared" si="2"/>
        <v>0.2857142857142857</v>
      </c>
      <c r="P73" s="138" t="s">
        <v>347</v>
      </c>
    </row>
    <row r="74" spans="1:16" ht="45" hidden="1" customHeight="1">
      <c r="A74" s="140" t="s">
        <v>217</v>
      </c>
      <c r="B74" s="39">
        <v>0</v>
      </c>
      <c r="C74" s="141" t="s">
        <v>123</v>
      </c>
      <c r="D74" s="141" t="s">
        <v>6</v>
      </c>
      <c r="E74" s="141"/>
      <c r="F74" s="141"/>
      <c r="G74" s="141"/>
      <c r="H74" s="139">
        <v>0</v>
      </c>
      <c r="I74" s="139">
        <v>0</v>
      </c>
      <c r="J74" s="139">
        <v>0</v>
      </c>
      <c r="K74" s="139">
        <v>0</v>
      </c>
      <c r="L74" s="139">
        <v>0</v>
      </c>
      <c r="M74" s="139">
        <v>0</v>
      </c>
      <c r="N74" s="139">
        <v>0</v>
      </c>
      <c r="O74" s="142">
        <f t="shared" si="2"/>
        <v>0</v>
      </c>
      <c r="P74" s="138" t="s">
        <v>557</v>
      </c>
    </row>
    <row r="75" spans="1:16" ht="45" hidden="1" customHeight="1">
      <c r="A75" s="41" t="s">
        <v>171</v>
      </c>
      <c r="B75" s="39">
        <v>0</v>
      </c>
      <c r="C75" s="141" t="s">
        <v>150</v>
      </c>
      <c r="D75" s="141" t="s">
        <v>6</v>
      </c>
      <c r="E75" s="141"/>
      <c r="F75" s="141" t="s">
        <v>41</v>
      </c>
      <c r="G75" s="141"/>
      <c r="H75" s="54">
        <v>0</v>
      </c>
      <c r="I75" s="139">
        <v>0</v>
      </c>
      <c r="J75" s="139">
        <v>0</v>
      </c>
      <c r="K75" s="139">
        <v>0</v>
      </c>
      <c r="L75" s="139">
        <v>0</v>
      </c>
      <c r="M75" s="139">
        <v>0</v>
      </c>
      <c r="N75" s="139">
        <v>0</v>
      </c>
      <c r="O75" s="142">
        <f t="shared" si="2"/>
        <v>0</v>
      </c>
      <c r="P75" s="138" t="s">
        <v>520</v>
      </c>
    </row>
    <row r="76" spans="1:16" ht="45" hidden="1" customHeight="1">
      <c r="A76" s="140" t="s">
        <v>521</v>
      </c>
      <c r="B76" s="39">
        <v>0</v>
      </c>
      <c r="C76" s="141" t="s">
        <v>150</v>
      </c>
      <c r="D76" s="141"/>
      <c r="E76" s="141"/>
      <c r="F76" s="141"/>
      <c r="G76" s="141"/>
      <c r="H76" s="139"/>
      <c r="I76" s="139"/>
      <c r="J76" s="139"/>
      <c r="K76" s="139"/>
      <c r="L76" s="139"/>
      <c r="M76" s="139"/>
      <c r="N76" s="139"/>
      <c r="O76" s="142"/>
      <c r="P76" s="138" t="s">
        <v>522</v>
      </c>
    </row>
    <row r="77" spans="1:16" ht="45" hidden="1" customHeight="1">
      <c r="A77" s="140"/>
      <c r="B77" s="39">
        <v>0</v>
      </c>
      <c r="C77" s="21"/>
      <c r="D77" s="21"/>
      <c r="E77" s="21"/>
      <c r="F77" s="21"/>
      <c r="G77" s="21"/>
      <c r="H77" s="22"/>
      <c r="I77" s="22"/>
      <c r="J77" s="22"/>
      <c r="K77" s="22"/>
      <c r="L77" s="22"/>
      <c r="M77" s="22"/>
      <c r="N77" s="22"/>
      <c r="O77" s="142" t="e">
        <f t="shared" ref="O77:O84" si="3">AVERAGE(H77:N77)</f>
        <v>#DIV/0!</v>
      </c>
      <c r="P77" s="24"/>
    </row>
    <row r="78" spans="1:16" ht="45" hidden="1" customHeight="1">
      <c r="A78" s="140"/>
      <c r="B78" s="39">
        <v>0</v>
      </c>
      <c r="C78" s="21"/>
      <c r="D78" s="21"/>
      <c r="E78" s="21"/>
      <c r="F78" s="21"/>
      <c r="G78" s="21"/>
      <c r="H78" s="22"/>
      <c r="I78" s="22"/>
      <c r="J78" s="22"/>
      <c r="K78" s="22"/>
      <c r="L78" s="22"/>
      <c r="M78" s="22"/>
      <c r="N78" s="22"/>
      <c r="O78" s="142" t="e">
        <f t="shared" si="3"/>
        <v>#DIV/0!</v>
      </c>
      <c r="P78" s="24"/>
    </row>
    <row r="79" spans="1:16" ht="45" hidden="1" customHeight="1">
      <c r="A79" s="140"/>
      <c r="B79" s="39">
        <v>0</v>
      </c>
      <c r="C79" s="21"/>
      <c r="D79" s="21"/>
      <c r="E79" s="21"/>
      <c r="F79" s="21"/>
      <c r="G79" s="21"/>
      <c r="H79" s="22">
        <v>0</v>
      </c>
      <c r="I79" s="22">
        <v>0</v>
      </c>
      <c r="J79" s="22">
        <v>0</v>
      </c>
      <c r="K79" s="22">
        <v>0</v>
      </c>
      <c r="L79" s="22">
        <v>0</v>
      </c>
      <c r="M79" s="22">
        <v>0</v>
      </c>
      <c r="N79" s="22">
        <v>0</v>
      </c>
      <c r="O79" s="142">
        <f t="shared" si="3"/>
        <v>0</v>
      </c>
      <c r="P79" s="24"/>
    </row>
    <row r="80" spans="1:16" ht="45" hidden="1" customHeight="1">
      <c r="A80" s="140"/>
      <c r="B80" s="39">
        <v>0</v>
      </c>
      <c r="C80" s="21"/>
      <c r="D80" s="21"/>
      <c r="E80" s="21"/>
      <c r="F80" s="21"/>
      <c r="G80" s="21"/>
      <c r="H80" s="22"/>
      <c r="I80" s="22"/>
      <c r="J80" s="22"/>
      <c r="K80" s="22"/>
      <c r="L80" s="22"/>
      <c r="M80" s="22"/>
      <c r="N80" s="22"/>
      <c r="O80" s="142" t="e">
        <f t="shared" si="3"/>
        <v>#DIV/0!</v>
      </c>
      <c r="P80" s="24"/>
    </row>
    <row r="81" spans="1:16" ht="45" hidden="1" customHeight="1">
      <c r="A81" s="140"/>
      <c r="B81" s="39">
        <v>0</v>
      </c>
      <c r="C81" s="21"/>
      <c r="D81" s="21"/>
      <c r="E81" s="21"/>
      <c r="F81" s="21"/>
      <c r="G81" s="21"/>
      <c r="H81" s="22"/>
      <c r="I81" s="22"/>
      <c r="J81" s="22"/>
      <c r="K81" s="22"/>
      <c r="L81" s="22"/>
      <c r="M81" s="22"/>
      <c r="N81" s="22"/>
      <c r="O81" s="142" t="e">
        <f t="shared" si="3"/>
        <v>#DIV/0!</v>
      </c>
      <c r="P81" s="24"/>
    </row>
    <row r="82" spans="1:16" ht="45" hidden="1" customHeight="1">
      <c r="A82" s="140"/>
      <c r="B82" s="39">
        <v>0</v>
      </c>
      <c r="C82" s="21"/>
      <c r="D82" s="21"/>
      <c r="E82" s="21"/>
      <c r="F82" s="21"/>
      <c r="G82" s="21"/>
      <c r="H82" s="22">
        <v>0</v>
      </c>
      <c r="I82" s="22">
        <v>0</v>
      </c>
      <c r="J82" s="22">
        <v>0</v>
      </c>
      <c r="K82" s="22">
        <v>0</v>
      </c>
      <c r="L82" s="22">
        <v>0</v>
      </c>
      <c r="M82" s="22">
        <v>0</v>
      </c>
      <c r="N82" s="22">
        <v>0</v>
      </c>
      <c r="O82" s="142">
        <f t="shared" si="3"/>
        <v>0</v>
      </c>
      <c r="P82" s="24"/>
    </row>
    <row r="83" spans="1:16" ht="45" hidden="1" customHeight="1">
      <c r="A83" s="140"/>
      <c r="B83" s="39">
        <v>0</v>
      </c>
      <c r="C83" s="21"/>
      <c r="D83" s="21"/>
      <c r="E83" s="21"/>
      <c r="F83" s="21"/>
      <c r="G83" s="21"/>
      <c r="H83" s="22" t="s">
        <v>118</v>
      </c>
      <c r="I83" s="22"/>
      <c r="J83" s="22"/>
      <c r="K83" s="22"/>
      <c r="L83" s="22"/>
      <c r="M83" s="22"/>
      <c r="N83" s="22"/>
      <c r="O83" s="142" t="e">
        <f t="shared" si="3"/>
        <v>#DIV/0!</v>
      </c>
      <c r="P83" s="24"/>
    </row>
    <row r="84" spans="1:16" ht="45" hidden="1" customHeight="1">
      <c r="A84" s="140"/>
      <c r="B84" s="39">
        <v>0</v>
      </c>
      <c r="C84" s="21"/>
      <c r="D84" s="21"/>
      <c r="E84" s="21"/>
      <c r="F84" s="21"/>
      <c r="G84" s="21"/>
      <c r="H84" s="22"/>
      <c r="I84" s="22"/>
      <c r="J84" s="22"/>
      <c r="K84" s="22"/>
      <c r="L84" s="22"/>
      <c r="M84" s="22"/>
      <c r="N84" s="22"/>
      <c r="O84" s="142" t="e">
        <f t="shared" si="3"/>
        <v>#DIV/0!</v>
      </c>
      <c r="P84" s="24"/>
    </row>
    <row r="85" spans="1:16" ht="45" hidden="1" customHeight="1">
      <c r="A85" s="140"/>
      <c r="B85" s="39">
        <v>0</v>
      </c>
      <c r="C85" s="21"/>
      <c r="D85" s="21"/>
      <c r="E85" s="21"/>
      <c r="F85" s="21"/>
      <c r="G85" s="21"/>
      <c r="H85" s="22">
        <v>0</v>
      </c>
      <c r="I85" s="22">
        <v>0</v>
      </c>
      <c r="J85" s="22">
        <v>0</v>
      </c>
      <c r="K85" s="22">
        <v>0</v>
      </c>
      <c r="L85" s="22">
        <v>0</v>
      </c>
      <c r="M85" s="22">
        <v>0</v>
      </c>
      <c r="N85" s="22">
        <v>0</v>
      </c>
      <c r="O85" s="23">
        <f t="shared" ref="O85:O116" si="4">AVERAGE(H85:N87)</f>
        <v>0</v>
      </c>
      <c r="P85" s="24"/>
    </row>
    <row r="86" spans="1:16" ht="45" hidden="1" customHeight="1">
      <c r="A86" s="140"/>
      <c r="B86" s="39">
        <v>0</v>
      </c>
      <c r="C86" s="21"/>
      <c r="D86" s="21"/>
      <c r="E86" s="21"/>
      <c r="F86" s="21"/>
      <c r="G86" s="21"/>
      <c r="H86" s="22">
        <v>0</v>
      </c>
      <c r="I86" s="22">
        <v>0</v>
      </c>
      <c r="J86" s="22">
        <v>0</v>
      </c>
      <c r="K86" s="22">
        <v>0</v>
      </c>
      <c r="L86" s="22">
        <v>0</v>
      </c>
      <c r="M86" s="22">
        <v>0</v>
      </c>
      <c r="N86" s="22">
        <v>0</v>
      </c>
      <c r="O86" s="23">
        <f t="shared" si="4"/>
        <v>0</v>
      </c>
      <c r="P86" s="24"/>
    </row>
    <row r="87" spans="1:16" ht="45" hidden="1" customHeight="1">
      <c r="A87" s="140"/>
      <c r="B87" s="39">
        <v>0</v>
      </c>
      <c r="C87" s="21"/>
      <c r="D87" s="21"/>
      <c r="E87" s="21"/>
      <c r="F87" s="21"/>
      <c r="G87" s="21"/>
      <c r="H87" s="22">
        <v>0</v>
      </c>
      <c r="I87" s="22">
        <v>0</v>
      </c>
      <c r="J87" s="22">
        <v>0</v>
      </c>
      <c r="K87" s="22">
        <v>0</v>
      </c>
      <c r="L87" s="22">
        <v>0</v>
      </c>
      <c r="M87" s="22">
        <v>0</v>
      </c>
      <c r="N87" s="22">
        <v>0</v>
      </c>
      <c r="O87" s="23">
        <f t="shared" si="4"/>
        <v>0</v>
      </c>
      <c r="P87" s="24"/>
    </row>
    <row r="88" spans="1:16" ht="45" hidden="1" customHeight="1">
      <c r="A88" s="140"/>
      <c r="B88" s="39">
        <v>0</v>
      </c>
      <c r="C88" s="21"/>
      <c r="D88" s="21"/>
      <c r="E88" s="21"/>
      <c r="F88" s="21"/>
      <c r="G88" s="21"/>
      <c r="H88" s="22">
        <v>0</v>
      </c>
      <c r="I88" s="22">
        <v>0</v>
      </c>
      <c r="J88" s="22">
        <v>0</v>
      </c>
      <c r="K88" s="22">
        <v>0</v>
      </c>
      <c r="L88" s="22">
        <v>0</v>
      </c>
      <c r="M88" s="22">
        <v>0</v>
      </c>
      <c r="N88" s="22">
        <v>0</v>
      </c>
      <c r="O88" s="23">
        <f t="shared" si="4"/>
        <v>0</v>
      </c>
      <c r="P88" s="24"/>
    </row>
    <row r="89" spans="1:16" ht="45" hidden="1" customHeight="1">
      <c r="A89" s="140"/>
      <c r="B89" s="39">
        <v>0</v>
      </c>
      <c r="C89" s="21"/>
      <c r="D89" s="21"/>
      <c r="E89" s="21"/>
      <c r="F89" s="21"/>
      <c r="G89" s="21"/>
      <c r="H89" s="22">
        <v>0</v>
      </c>
      <c r="I89" s="22">
        <v>0</v>
      </c>
      <c r="J89" s="22">
        <v>0</v>
      </c>
      <c r="K89" s="22">
        <v>0</v>
      </c>
      <c r="L89" s="22">
        <v>0</v>
      </c>
      <c r="M89" s="22">
        <v>0</v>
      </c>
      <c r="N89" s="22">
        <v>0</v>
      </c>
      <c r="O89" s="23">
        <f t="shared" si="4"/>
        <v>0</v>
      </c>
      <c r="P89" s="24"/>
    </row>
    <row r="90" spans="1:16" ht="45" hidden="1" customHeight="1">
      <c r="A90" s="140"/>
      <c r="B90" s="39">
        <v>0</v>
      </c>
      <c r="C90" s="21"/>
      <c r="D90" s="21"/>
      <c r="E90" s="21"/>
      <c r="F90" s="21"/>
      <c r="G90" s="21"/>
      <c r="H90" s="22">
        <v>0</v>
      </c>
      <c r="I90" s="22">
        <v>0</v>
      </c>
      <c r="J90" s="22">
        <v>0</v>
      </c>
      <c r="K90" s="22">
        <v>0</v>
      </c>
      <c r="L90" s="22">
        <v>0</v>
      </c>
      <c r="M90" s="22">
        <v>0</v>
      </c>
      <c r="N90" s="22">
        <v>0</v>
      </c>
      <c r="O90" s="23">
        <f t="shared" si="4"/>
        <v>0</v>
      </c>
      <c r="P90" s="24"/>
    </row>
    <row r="91" spans="1:16" ht="45" hidden="1" customHeight="1">
      <c r="A91" s="140"/>
      <c r="B91" s="39">
        <v>0</v>
      </c>
      <c r="C91" s="21"/>
      <c r="D91" s="21"/>
      <c r="E91" s="21"/>
      <c r="F91" s="21"/>
      <c r="G91" s="21"/>
      <c r="H91" s="22">
        <v>0</v>
      </c>
      <c r="I91" s="22">
        <v>0</v>
      </c>
      <c r="J91" s="22">
        <v>0</v>
      </c>
      <c r="K91" s="22">
        <v>0</v>
      </c>
      <c r="L91" s="22">
        <v>0</v>
      </c>
      <c r="M91" s="22">
        <v>0</v>
      </c>
      <c r="N91" s="22">
        <v>0</v>
      </c>
      <c r="O91" s="23">
        <f t="shared" si="4"/>
        <v>0</v>
      </c>
      <c r="P91" s="24"/>
    </row>
    <row r="92" spans="1:16" ht="45" hidden="1" customHeight="1">
      <c r="A92" s="140"/>
      <c r="B92" s="39">
        <v>0</v>
      </c>
      <c r="C92" s="21"/>
      <c r="D92" s="21"/>
      <c r="E92" s="21"/>
      <c r="F92" s="21"/>
      <c r="G92" s="21"/>
      <c r="H92" s="22">
        <v>0</v>
      </c>
      <c r="I92" s="22">
        <v>0</v>
      </c>
      <c r="J92" s="22">
        <v>0</v>
      </c>
      <c r="K92" s="22">
        <v>0</v>
      </c>
      <c r="L92" s="22">
        <v>0</v>
      </c>
      <c r="M92" s="22">
        <v>0</v>
      </c>
      <c r="N92" s="22">
        <v>0</v>
      </c>
      <c r="O92" s="23">
        <f t="shared" si="4"/>
        <v>0</v>
      </c>
      <c r="P92" s="24"/>
    </row>
    <row r="93" spans="1:16" ht="45" hidden="1" customHeight="1">
      <c r="A93" s="140"/>
      <c r="B93" s="39">
        <v>0</v>
      </c>
      <c r="C93" s="21"/>
      <c r="D93" s="21"/>
      <c r="E93" s="21"/>
      <c r="F93" s="21"/>
      <c r="G93" s="21"/>
      <c r="H93" s="22">
        <v>0</v>
      </c>
      <c r="I93" s="22">
        <v>0</v>
      </c>
      <c r="J93" s="22">
        <v>0</v>
      </c>
      <c r="K93" s="22">
        <v>0</v>
      </c>
      <c r="L93" s="22">
        <v>0</v>
      </c>
      <c r="M93" s="22">
        <v>0</v>
      </c>
      <c r="N93" s="22">
        <v>0</v>
      </c>
      <c r="O93" s="23">
        <f t="shared" si="4"/>
        <v>0</v>
      </c>
      <c r="P93" s="24"/>
    </row>
    <row r="94" spans="1:16" ht="45" hidden="1" customHeight="1">
      <c r="A94" s="140"/>
      <c r="B94" s="39">
        <v>0</v>
      </c>
      <c r="C94" s="21"/>
      <c r="D94" s="21"/>
      <c r="E94" s="21"/>
      <c r="F94" s="21"/>
      <c r="G94" s="21"/>
      <c r="H94" s="22">
        <v>0</v>
      </c>
      <c r="I94" s="22">
        <v>0</v>
      </c>
      <c r="J94" s="22">
        <v>0</v>
      </c>
      <c r="K94" s="22">
        <v>0</v>
      </c>
      <c r="L94" s="22">
        <v>0</v>
      </c>
      <c r="M94" s="22">
        <v>0</v>
      </c>
      <c r="N94" s="22">
        <v>0</v>
      </c>
      <c r="O94" s="23">
        <f t="shared" si="4"/>
        <v>0</v>
      </c>
      <c r="P94" s="24"/>
    </row>
    <row r="95" spans="1:16" ht="45" hidden="1" customHeight="1">
      <c r="A95" s="140"/>
      <c r="B95" s="39">
        <v>0</v>
      </c>
      <c r="C95" s="21"/>
      <c r="D95" s="21"/>
      <c r="E95" s="21"/>
      <c r="F95" s="21"/>
      <c r="G95" s="21"/>
      <c r="H95" s="22">
        <v>0</v>
      </c>
      <c r="I95" s="22">
        <v>0</v>
      </c>
      <c r="J95" s="22">
        <v>0</v>
      </c>
      <c r="K95" s="22">
        <v>0</v>
      </c>
      <c r="L95" s="22">
        <v>0</v>
      </c>
      <c r="M95" s="22">
        <v>0</v>
      </c>
      <c r="N95" s="22">
        <v>0</v>
      </c>
      <c r="O95" s="23">
        <f t="shared" si="4"/>
        <v>0</v>
      </c>
      <c r="P95" s="24"/>
    </row>
    <row r="96" spans="1:16" ht="45" hidden="1" customHeight="1">
      <c r="A96" s="140"/>
      <c r="B96" s="39">
        <v>0</v>
      </c>
      <c r="C96" s="21"/>
      <c r="D96" s="21"/>
      <c r="E96" s="21"/>
      <c r="F96" s="21"/>
      <c r="G96" s="21"/>
      <c r="H96" s="22">
        <v>0</v>
      </c>
      <c r="I96" s="22">
        <v>0</v>
      </c>
      <c r="J96" s="22">
        <v>0</v>
      </c>
      <c r="K96" s="22">
        <v>0</v>
      </c>
      <c r="L96" s="22">
        <v>0</v>
      </c>
      <c r="M96" s="22">
        <v>0</v>
      </c>
      <c r="N96" s="22">
        <v>0</v>
      </c>
      <c r="O96" s="23">
        <f t="shared" si="4"/>
        <v>0</v>
      </c>
      <c r="P96" s="24"/>
    </row>
    <row r="97" spans="1:16" ht="45" hidden="1" customHeight="1">
      <c r="A97" s="140"/>
      <c r="B97" s="39">
        <v>0</v>
      </c>
      <c r="C97" s="21"/>
      <c r="D97" s="21"/>
      <c r="E97" s="21"/>
      <c r="F97" s="21"/>
      <c r="G97" s="21"/>
      <c r="H97" s="22">
        <v>0</v>
      </c>
      <c r="I97" s="22">
        <v>0</v>
      </c>
      <c r="J97" s="22">
        <v>0</v>
      </c>
      <c r="K97" s="22">
        <v>0</v>
      </c>
      <c r="L97" s="22">
        <v>0</v>
      </c>
      <c r="M97" s="22">
        <v>0</v>
      </c>
      <c r="N97" s="22">
        <v>0</v>
      </c>
      <c r="O97" s="23">
        <f t="shared" si="4"/>
        <v>0</v>
      </c>
      <c r="P97" s="24"/>
    </row>
    <row r="98" spans="1:16" ht="45" hidden="1" customHeight="1">
      <c r="A98" s="140"/>
      <c r="B98" s="39">
        <v>0</v>
      </c>
      <c r="C98" s="21"/>
      <c r="D98" s="21"/>
      <c r="E98" s="21"/>
      <c r="F98" s="21"/>
      <c r="G98" s="21"/>
      <c r="H98" s="22">
        <v>0</v>
      </c>
      <c r="I98" s="22">
        <v>0</v>
      </c>
      <c r="J98" s="22">
        <v>0</v>
      </c>
      <c r="K98" s="22">
        <v>0</v>
      </c>
      <c r="L98" s="22">
        <v>0</v>
      </c>
      <c r="M98" s="22">
        <v>0</v>
      </c>
      <c r="N98" s="22">
        <v>0</v>
      </c>
      <c r="O98" s="23">
        <f t="shared" si="4"/>
        <v>0</v>
      </c>
      <c r="P98" s="24"/>
    </row>
    <row r="99" spans="1:16" ht="45" hidden="1" customHeight="1">
      <c r="A99" s="140"/>
      <c r="B99" s="39">
        <v>0</v>
      </c>
      <c r="C99" s="21"/>
      <c r="D99" s="21"/>
      <c r="E99" s="21"/>
      <c r="F99" s="21"/>
      <c r="G99" s="21"/>
      <c r="H99" s="22">
        <v>0</v>
      </c>
      <c r="I99" s="22">
        <v>0</v>
      </c>
      <c r="J99" s="22">
        <v>0</v>
      </c>
      <c r="K99" s="22">
        <v>0</v>
      </c>
      <c r="L99" s="22">
        <v>0</v>
      </c>
      <c r="M99" s="22">
        <v>0</v>
      </c>
      <c r="N99" s="22">
        <v>0</v>
      </c>
      <c r="O99" s="23">
        <f t="shared" si="4"/>
        <v>0</v>
      </c>
      <c r="P99" s="24"/>
    </row>
    <row r="100" spans="1:16" ht="45" hidden="1" customHeight="1">
      <c r="A100" s="140"/>
      <c r="B100" s="39">
        <v>0</v>
      </c>
      <c r="C100" s="21"/>
      <c r="D100" s="21"/>
      <c r="E100" s="21"/>
      <c r="F100" s="21"/>
      <c r="G100" s="21"/>
      <c r="H100" s="22">
        <v>0</v>
      </c>
      <c r="I100" s="22">
        <v>0</v>
      </c>
      <c r="J100" s="22">
        <v>0</v>
      </c>
      <c r="K100" s="22">
        <v>0</v>
      </c>
      <c r="L100" s="22">
        <v>0</v>
      </c>
      <c r="M100" s="22">
        <v>0</v>
      </c>
      <c r="N100" s="22">
        <v>0</v>
      </c>
      <c r="O100" s="23">
        <f t="shared" si="4"/>
        <v>0</v>
      </c>
      <c r="P100" s="24"/>
    </row>
    <row r="101" spans="1:16" ht="45" hidden="1" customHeight="1">
      <c r="A101" s="140"/>
      <c r="B101" s="39">
        <v>0</v>
      </c>
      <c r="C101" s="21"/>
      <c r="D101" s="21"/>
      <c r="E101" s="21"/>
      <c r="F101" s="21"/>
      <c r="G101" s="21"/>
      <c r="H101" s="22">
        <v>0</v>
      </c>
      <c r="I101" s="22">
        <v>0</v>
      </c>
      <c r="J101" s="22">
        <v>0</v>
      </c>
      <c r="K101" s="22">
        <v>0</v>
      </c>
      <c r="L101" s="22">
        <v>0</v>
      </c>
      <c r="M101" s="22">
        <v>0</v>
      </c>
      <c r="N101" s="22">
        <v>0</v>
      </c>
      <c r="O101" s="23">
        <f t="shared" si="4"/>
        <v>0</v>
      </c>
      <c r="P101" s="24"/>
    </row>
    <row r="102" spans="1:16" ht="45" hidden="1" customHeight="1">
      <c r="A102" s="140"/>
      <c r="B102" s="39">
        <v>0</v>
      </c>
      <c r="C102" s="21"/>
      <c r="D102" s="21"/>
      <c r="E102" s="21"/>
      <c r="F102" s="21"/>
      <c r="G102" s="21"/>
      <c r="H102" s="22">
        <v>0</v>
      </c>
      <c r="I102" s="22">
        <v>0</v>
      </c>
      <c r="J102" s="22">
        <v>0</v>
      </c>
      <c r="K102" s="22">
        <v>0</v>
      </c>
      <c r="L102" s="22">
        <v>0</v>
      </c>
      <c r="M102" s="22">
        <v>0</v>
      </c>
      <c r="N102" s="22">
        <v>0</v>
      </c>
      <c r="O102" s="23">
        <f t="shared" si="4"/>
        <v>0</v>
      </c>
      <c r="P102" s="24"/>
    </row>
    <row r="103" spans="1:16" ht="45" hidden="1" customHeight="1">
      <c r="A103" s="140"/>
      <c r="B103" s="39">
        <v>0</v>
      </c>
      <c r="C103" s="21"/>
      <c r="D103" s="21"/>
      <c r="E103" s="21"/>
      <c r="F103" s="21"/>
      <c r="G103" s="21"/>
      <c r="H103" s="22">
        <v>0</v>
      </c>
      <c r="I103" s="22">
        <v>0</v>
      </c>
      <c r="J103" s="22">
        <v>0</v>
      </c>
      <c r="K103" s="22">
        <v>0</v>
      </c>
      <c r="L103" s="22">
        <v>0</v>
      </c>
      <c r="M103" s="22">
        <v>0</v>
      </c>
      <c r="N103" s="22">
        <v>0</v>
      </c>
      <c r="O103" s="23">
        <f t="shared" si="4"/>
        <v>0</v>
      </c>
      <c r="P103" s="24"/>
    </row>
    <row r="104" spans="1:16" ht="45" hidden="1" customHeight="1">
      <c r="A104" s="140"/>
      <c r="B104" s="39">
        <v>0</v>
      </c>
      <c r="C104" s="21"/>
      <c r="D104" s="21"/>
      <c r="E104" s="21"/>
      <c r="F104" s="21"/>
      <c r="G104" s="21"/>
      <c r="H104" s="22">
        <v>0</v>
      </c>
      <c r="I104" s="22">
        <v>0</v>
      </c>
      <c r="J104" s="22">
        <v>0</v>
      </c>
      <c r="K104" s="22">
        <v>0</v>
      </c>
      <c r="L104" s="22">
        <v>0</v>
      </c>
      <c r="M104" s="22">
        <v>0</v>
      </c>
      <c r="N104" s="22">
        <v>0</v>
      </c>
      <c r="O104" s="23">
        <f t="shared" si="4"/>
        <v>0</v>
      </c>
      <c r="P104" s="24"/>
    </row>
    <row r="105" spans="1:16" ht="45" hidden="1" customHeight="1">
      <c r="A105" s="140"/>
      <c r="B105" s="39">
        <v>0</v>
      </c>
      <c r="C105" s="21"/>
      <c r="D105" s="21"/>
      <c r="E105" s="21"/>
      <c r="F105" s="21"/>
      <c r="G105" s="21"/>
      <c r="H105" s="22">
        <v>0</v>
      </c>
      <c r="I105" s="22">
        <v>0</v>
      </c>
      <c r="J105" s="22">
        <v>0</v>
      </c>
      <c r="K105" s="22">
        <v>0</v>
      </c>
      <c r="L105" s="22">
        <v>0</v>
      </c>
      <c r="M105" s="22">
        <v>0</v>
      </c>
      <c r="N105" s="22">
        <v>0</v>
      </c>
      <c r="O105" s="23">
        <f t="shared" si="4"/>
        <v>0</v>
      </c>
      <c r="P105" s="24"/>
    </row>
    <row r="106" spans="1:16" ht="45" hidden="1" customHeight="1">
      <c r="A106" s="140"/>
      <c r="B106" s="39">
        <v>0</v>
      </c>
      <c r="C106" s="21"/>
      <c r="D106" s="21"/>
      <c r="E106" s="21"/>
      <c r="F106" s="21"/>
      <c r="G106" s="21"/>
      <c r="H106" s="22">
        <v>0</v>
      </c>
      <c r="I106" s="22">
        <v>0</v>
      </c>
      <c r="J106" s="22">
        <v>0</v>
      </c>
      <c r="K106" s="22">
        <v>0</v>
      </c>
      <c r="L106" s="22">
        <v>0</v>
      </c>
      <c r="M106" s="22">
        <v>0</v>
      </c>
      <c r="N106" s="22">
        <v>0</v>
      </c>
      <c r="O106" s="23">
        <f t="shared" si="4"/>
        <v>0</v>
      </c>
      <c r="P106" s="24"/>
    </row>
    <row r="107" spans="1:16" ht="45" hidden="1" customHeight="1">
      <c r="A107" s="140"/>
      <c r="B107" s="39">
        <v>0</v>
      </c>
      <c r="C107" s="21"/>
      <c r="D107" s="21"/>
      <c r="E107" s="21"/>
      <c r="F107" s="21"/>
      <c r="G107" s="21"/>
      <c r="H107" s="22">
        <v>0</v>
      </c>
      <c r="I107" s="22">
        <v>0</v>
      </c>
      <c r="J107" s="22">
        <v>0</v>
      </c>
      <c r="K107" s="22">
        <v>0</v>
      </c>
      <c r="L107" s="22">
        <v>0</v>
      </c>
      <c r="M107" s="22">
        <v>0</v>
      </c>
      <c r="N107" s="22">
        <v>0</v>
      </c>
      <c r="O107" s="23">
        <f t="shared" si="4"/>
        <v>0</v>
      </c>
      <c r="P107" s="24"/>
    </row>
    <row r="108" spans="1:16" ht="45" hidden="1" customHeight="1">
      <c r="A108" s="140"/>
      <c r="B108" s="39">
        <v>0</v>
      </c>
      <c r="C108" s="21"/>
      <c r="D108" s="21"/>
      <c r="E108" s="21"/>
      <c r="F108" s="21"/>
      <c r="G108" s="21"/>
      <c r="H108" s="22">
        <v>0</v>
      </c>
      <c r="I108" s="22">
        <v>0</v>
      </c>
      <c r="J108" s="22">
        <v>0</v>
      </c>
      <c r="K108" s="22">
        <v>0</v>
      </c>
      <c r="L108" s="22">
        <v>0</v>
      </c>
      <c r="M108" s="22">
        <v>0</v>
      </c>
      <c r="N108" s="22">
        <v>0</v>
      </c>
      <c r="O108" s="23">
        <f t="shared" si="4"/>
        <v>0</v>
      </c>
      <c r="P108" s="24"/>
    </row>
    <row r="109" spans="1:16" ht="45" hidden="1" customHeight="1">
      <c r="A109" s="140"/>
      <c r="B109" s="39">
        <v>0</v>
      </c>
      <c r="C109" s="21"/>
      <c r="D109" s="21"/>
      <c r="E109" s="21"/>
      <c r="F109" s="21"/>
      <c r="G109" s="21"/>
      <c r="H109" s="22">
        <v>0</v>
      </c>
      <c r="I109" s="22">
        <v>0</v>
      </c>
      <c r="J109" s="22">
        <v>0</v>
      </c>
      <c r="K109" s="22">
        <v>0</v>
      </c>
      <c r="L109" s="22">
        <v>0</v>
      </c>
      <c r="M109" s="22">
        <v>0</v>
      </c>
      <c r="N109" s="22">
        <v>0</v>
      </c>
      <c r="O109" s="23">
        <f t="shared" si="4"/>
        <v>0</v>
      </c>
      <c r="P109" s="24"/>
    </row>
    <row r="110" spans="1:16" ht="45" hidden="1" customHeight="1">
      <c r="A110" s="140"/>
      <c r="B110" s="39">
        <v>0</v>
      </c>
      <c r="C110" s="21"/>
      <c r="D110" s="21"/>
      <c r="E110" s="21"/>
      <c r="F110" s="21"/>
      <c r="G110" s="21"/>
      <c r="H110" s="22">
        <v>0</v>
      </c>
      <c r="I110" s="22">
        <v>0</v>
      </c>
      <c r="J110" s="22">
        <v>0</v>
      </c>
      <c r="K110" s="22">
        <v>0</v>
      </c>
      <c r="L110" s="22">
        <v>0</v>
      </c>
      <c r="M110" s="22">
        <v>0</v>
      </c>
      <c r="N110" s="22">
        <v>0</v>
      </c>
      <c r="O110" s="23">
        <f t="shared" si="4"/>
        <v>0</v>
      </c>
      <c r="P110" s="24"/>
    </row>
    <row r="111" spans="1:16" ht="45" hidden="1" customHeight="1">
      <c r="A111" s="140"/>
      <c r="B111" s="39">
        <v>0</v>
      </c>
      <c r="C111" s="21"/>
      <c r="D111" s="21"/>
      <c r="E111" s="21"/>
      <c r="F111" s="21"/>
      <c r="G111" s="21"/>
      <c r="H111" s="22">
        <v>0</v>
      </c>
      <c r="I111" s="22">
        <v>0</v>
      </c>
      <c r="J111" s="22">
        <v>0</v>
      </c>
      <c r="K111" s="22">
        <v>0</v>
      </c>
      <c r="L111" s="22">
        <v>0</v>
      </c>
      <c r="M111" s="22">
        <v>0</v>
      </c>
      <c r="N111" s="22">
        <v>0</v>
      </c>
      <c r="O111" s="23">
        <f t="shared" si="4"/>
        <v>0</v>
      </c>
      <c r="P111" s="24"/>
    </row>
    <row r="112" spans="1:16" ht="45" hidden="1" customHeight="1">
      <c r="A112" s="140"/>
      <c r="B112" s="39">
        <v>0</v>
      </c>
      <c r="C112" s="21"/>
      <c r="D112" s="21"/>
      <c r="E112" s="21"/>
      <c r="F112" s="21"/>
      <c r="G112" s="21"/>
      <c r="H112" s="22">
        <v>0</v>
      </c>
      <c r="I112" s="22">
        <v>0</v>
      </c>
      <c r="J112" s="22">
        <v>0</v>
      </c>
      <c r="K112" s="22">
        <v>0</v>
      </c>
      <c r="L112" s="22">
        <v>0</v>
      </c>
      <c r="M112" s="22">
        <v>0</v>
      </c>
      <c r="N112" s="22">
        <v>0</v>
      </c>
      <c r="O112" s="23">
        <f t="shared" si="4"/>
        <v>0</v>
      </c>
      <c r="P112" s="24"/>
    </row>
    <row r="113" spans="1:16"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4"/>
    </row>
    <row r="114" spans="1:16"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4"/>
    </row>
    <row r="115" spans="1:16"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4"/>
    </row>
    <row r="116" spans="1:16"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4"/>
    </row>
    <row r="117" spans="1:16" ht="45" hidden="1" customHeight="1">
      <c r="A117" s="140"/>
      <c r="B117" s="39">
        <v>0</v>
      </c>
      <c r="C117" s="21"/>
      <c r="D117" s="21"/>
      <c r="E117" s="21"/>
      <c r="F117" s="21"/>
      <c r="G117" s="21"/>
      <c r="H117" s="22">
        <v>0</v>
      </c>
      <c r="I117" s="22">
        <v>0</v>
      </c>
      <c r="J117" s="22">
        <v>0</v>
      </c>
      <c r="K117" s="22">
        <v>0</v>
      </c>
      <c r="L117" s="22">
        <v>0</v>
      </c>
      <c r="M117" s="22">
        <v>0</v>
      </c>
      <c r="N117" s="22">
        <v>0</v>
      </c>
      <c r="O117" s="23">
        <f t="shared" ref="O117:O148" si="5">AVERAGE(H117:N119)</f>
        <v>0</v>
      </c>
      <c r="P117" s="24"/>
    </row>
    <row r="118" spans="1:16" ht="45" hidden="1" customHeight="1">
      <c r="A118" s="140"/>
      <c r="B118" s="39">
        <v>0</v>
      </c>
      <c r="C118" s="21"/>
      <c r="D118" s="21"/>
      <c r="E118" s="21"/>
      <c r="F118" s="21"/>
      <c r="G118" s="21"/>
      <c r="H118" s="22">
        <v>0</v>
      </c>
      <c r="I118" s="22">
        <v>0</v>
      </c>
      <c r="J118" s="22">
        <v>0</v>
      </c>
      <c r="K118" s="22">
        <v>0</v>
      </c>
      <c r="L118" s="22">
        <v>0</v>
      </c>
      <c r="M118" s="22">
        <v>0</v>
      </c>
      <c r="N118" s="22">
        <v>0</v>
      </c>
      <c r="O118" s="23">
        <f t="shared" si="5"/>
        <v>0</v>
      </c>
      <c r="P118" s="24"/>
    </row>
    <row r="119" spans="1:16" ht="45" hidden="1" customHeight="1">
      <c r="A119" s="140"/>
      <c r="B119" s="39">
        <v>0</v>
      </c>
      <c r="C119" s="21"/>
      <c r="D119" s="21"/>
      <c r="E119" s="21"/>
      <c r="F119" s="21"/>
      <c r="G119" s="21"/>
      <c r="H119" s="22">
        <v>0</v>
      </c>
      <c r="I119" s="22">
        <v>0</v>
      </c>
      <c r="J119" s="22">
        <v>0</v>
      </c>
      <c r="K119" s="22">
        <v>0</v>
      </c>
      <c r="L119" s="22">
        <v>0</v>
      </c>
      <c r="M119" s="22">
        <v>0</v>
      </c>
      <c r="N119" s="22">
        <v>0</v>
      </c>
      <c r="O119" s="23">
        <f t="shared" si="5"/>
        <v>0</v>
      </c>
      <c r="P119" s="24"/>
    </row>
    <row r="120" spans="1:16" ht="45" hidden="1" customHeight="1">
      <c r="A120" s="140"/>
      <c r="B120" s="39">
        <v>0</v>
      </c>
      <c r="C120" s="21"/>
      <c r="D120" s="21"/>
      <c r="E120" s="21"/>
      <c r="F120" s="21"/>
      <c r="G120" s="21"/>
      <c r="H120" s="22">
        <v>0</v>
      </c>
      <c r="I120" s="22">
        <v>0</v>
      </c>
      <c r="J120" s="22">
        <v>0</v>
      </c>
      <c r="K120" s="22">
        <v>0</v>
      </c>
      <c r="L120" s="22">
        <v>0</v>
      </c>
      <c r="M120" s="22">
        <v>0</v>
      </c>
      <c r="N120" s="22">
        <v>0</v>
      </c>
      <c r="O120" s="23">
        <f t="shared" si="5"/>
        <v>0</v>
      </c>
      <c r="P120" s="24"/>
    </row>
    <row r="121" spans="1:16" ht="45" hidden="1" customHeight="1">
      <c r="A121" s="140"/>
      <c r="B121" s="39">
        <v>0</v>
      </c>
      <c r="C121" s="21"/>
      <c r="D121" s="21"/>
      <c r="E121" s="21"/>
      <c r="F121" s="21"/>
      <c r="G121" s="21"/>
      <c r="H121" s="22">
        <v>0</v>
      </c>
      <c r="I121" s="22">
        <v>0</v>
      </c>
      <c r="J121" s="22">
        <v>0</v>
      </c>
      <c r="K121" s="22">
        <v>0</v>
      </c>
      <c r="L121" s="22">
        <v>0</v>
      </c>
      <c r="M121" s="22">
        <v>0</v>
      </c>
      <c r="N121" s="22">
        <v>0</v>
      </c>
      <c r="O121" s="23">
        <f t="shared" si="5"/>
        <v>0</v>
      </c>
      <c r="P121" s="24"/>
    </row>
    <row r="122" spans="1:16" ht="45" hidden="1" customHeight="1">
      <c r="A122" s="140"/>
      <c r="B122" s="39">
        <v>0</v>
      </c>
      <c r="C122" s="21"/>
      <c r="D122" s="21"/>
      <c r="E122" s="21"/>
      <c r="F122" s="21"/>
      <c r="G122" s="21"/>
      <c r="H122" s="22">
        <v>0</v>
      </c>
      <c r="I122" s="22">
        <v>0</v>
      </c>
      <c r="J122" s="22">
        <v>0</v>
      </c>
      <c r="K122" s="22">
        <v>0</v>
      </c>
      <c r="L122" s="22">
        <v>0</v>
      </c>
      <c r="M122" s="22">
        <v>0</v>
      </c>
      <c r="N122" s="22">
        <v>0</v>
      </c>
      <c r="O122" s="23">
        <f t="shared" si="5"/>
        <v>0</v>
      </c>
      <c r="P122" s="24"/>
    </row>
    <row r="123" spans="1:16" ht="45" hidden="1" customHeight="1">
      <c r="A123" s="140"/>
      <c r="B123" s="39">
        <v>0</v>
      </c>
      <c r="C123" s="21"/>
      <c r="D123" s="21"/>
      <c r="E123" s="21"/>
      <c r="F123" s="21"/>
      <c r="G123" s="21"/>
      <c r="H123" s="22">
        <v>0</v>
      </c>
      <c r="I123" s="22">
        <v>0</v>
      </c>
      <c r="J123" s="22">
        <v>0</v>
      </c>
      <c r="K123" s="22">
        <v>0</v>
      </c>
      <c r="L123" s="22">
        <v>0</v>
      </c>
      <c r="M123" s="22">
        <v>0</v>
      </c>
      <c r="N123" s="22">
        <v>0</v>
      </c>
      <c r="O123" s="23">
        <f t="shared" si="5"/>
        <v>0</v>
      </c>
      <c r="P123" s="24"/>
    </row>
    <row r="124" spans="1:16" ht="45" hidden="1" customHeight="1">
      <c r="A124" s="140"/>
      <c r="B124" s="39">
        <v>0</v>
      </c>
      <c r="C124" s="21"/>
      <c r="D124" s="21"/>
      <c r="E124" s="21"/>
      <c r="F124" s="21"/>
      <c r="G124" s="21"/>
      <c r="H124" s="22">
        <v>0</v>
      </c>
      <c r="I124" s="22">
        <v>0</v>
      </c>
      <c r="J124" s="22">
        <v>0</v>
      </c>
      <c r="K124" s="22">
        <v>0</v>
      </c>
      <c r="L124" s="22">
        <v>0</v>
      </c>
      <c r="M124" s="22">
        <v>0</v>
      </c>
      <c r="N124" s="22">
        <v>0</v>
      </c>
      <c r="O124" s="23">
        <f t="shared" si="5"/>
        <v>0</v>
      </c>
      <c r="P124" s="24"/>
    </row>
    <row r="125" spans="1:16" ht="45" hidden="1" customHeight="1">
      <c r="A125" s="140"/>
      <c r="B125" s="39">
        <v>0</v>
      </c>
      <c r="C125" s="21"/>
      <c r="D125" s="21"/>
      <c r="E125" s="21"/>
      <c r="F125" s="21"/>
      <c r="G125" s="21"/>
      <c r="H125" s="22">
        <v>0</v>
      </c>
      <c r="I125" s="22">
        <v>0</v>
      </c>
      <c r="J125" s="22">
        <v>0</v>
      </c>
      <c r="K125" s="22">
        <v>0</v>
      </c>
      <c r="L125" s="22">
        <v>0</v>
      </c>
      <c r="M125" s="22">
        <v>0</v>
      </c>
      <c r="N125" s="22">
        <v>0</v>
      </c>
      <c r="O125" s="23">
        <f t="shared" si="5"/>
        <v>0</v>
      </c>
      <c r="P125" s="24"/>
    </row>
    <row r="126" spans="1:16" ht="45" hidden="1" customHeight="1">
      <c r="A126" s="140"/>
      <c r="B126" s="39">
        <v>0</v>
      </c>
      <c r="C126" s="21"/>
      <c r="D126" s="21"/>
      <c r="E126" s="21"/>
      <c r="F126" s="21"/>
      <c r="G126" s="21"/>
      <c r="H126" s="22">
        <v>0</v>
      </c>
      <c r="I126" s="22">
        <v>0</v>
      </c>
      <c r="J126" s="22">
        <v>0</v>
      </c>
      <c r="K126" s="22">
        <v>0</v>
      </c>
      <c r="L126" s="22">
        <v>0</v>
      </c>
      <c r="M126" s="22">
        <v>0</v>
      </c>
      <c r="N126" s="22">
        <v>0</v>
      </c>
      <c r="O126" s="23">
        <f t="shared" si="5"/>
        <v>0</v>
      </c>
      <c r="P126" s="24"/>
    </row>
    <row r="127" spans="1:16" ht="45" hidden="1" customHeight="1">
      <c r="A127" s="140"/>
      <c r="B127" s="39">
        <v>0</v>
      </c>
      <c r="C127" s="21"/>
      <c r="D127" s="21"/>
      <c r="E127" s="21"/>
      <c r="F127" s="21"/>
      <c r="G127" s="21"/>
      <c r="H127" s="22">
        <v>0</v>
      </c>
      <c r="I127" s="22">
        <v>0</v>
      </c>
      <c r="J127" s="22">
        <v>0</v>
      </c>
      <c r="K127" s="22">
        <v>0</v>
      </c>
      <c r="L127" s="22">
        <v>0</v>
      </c>
      <c r="M127" s="22">
        <v>0</v>
      </c>
      <c r="N127" s="22">
        <v>0</v>
      </c>
      <c r="O127" s="23">
        <f t="shared" si="5"/>
        <v>0</v>
      </c>
      <c r="P127" s="24"/>
    </row>
    <row r="128" spans="1:16" ht="45" hidden="1" customHeight="1">
      <c r="A128" s="140"/>
      <c r="B128" s="39">
        <v>0</v>
      </c>
      <c r="C128" s="21"/>
      <c r="D128" s="21"/>
      <c r="E128" s="21"/>
      <c r="F128" s="21"/>
      <c r="G128" s="21"/>
      <c r="H128" s="22">
        <v>0</v>
      </c>
      <c r="I128" s="22">
        <v>0</v>
      </c>
      <c r="J128" s="22">
        <v>0</v>
      </c>
      <c r="K128" s="22">
        <v>0</v>
      </c>
      <c r="L128" s="22">
        <v>0</v>
      </c>
      <c r="M128" s="22">
        <v>0</v>
      </c>
      <c r="N128" s="22">
        <v>0</v>
      </c>
      <c r="O128" s="23">
        <f t="shared" si="5"/>
        <v>0</v>
      </c>
      <c r="P128" s="24"/>
    </row>
    <row r="129" spans="1:16" ht="45" hidden="1" customHeight="1">
      <c r="A129" s="140"/>
      <c r="B129" s="39">
        <v>0</v>
      </c>
      <c r="C129" s="21"/>
      <c r="D129" s="21"/>
      <c r="E129" s="21"/>
      <c r="F129" s="21"/>
      <c r="G129" s="21"/>
      <c r="H129" s="22">
        <v>0</v>
      </c>
      <c r="I129" s="22">
        <v>0</v>
      </c>
      <c r="J129" s="22">
        <v>0</v>
      </c>
      <c r="K129" s="22">
        <v>0</v>
      </c>
      <c r="L129" s="22">
        <v>0</v>
      </c>
      <c r="M129" s="22">
        <v>0</v>
      </c>
      <c r="N129" s="22">
        <v>0</v>
      </c>
      <c r="O129" s="23">
        <f t="shared" si="5"/>
        <v>0</v>
      </c>
      <c r="P129" s="24"/>
    </row>
    <row r="130" spans="1:16" ht="45" hidden="1" customHeight="1">
      <c r="A130" s="140"/>
      <c r="B130" s="39">
        <v>0</v>
      </c>
      <c r="C130" s="21"/>
      <c r="D130" s="21"/>
      <c r="E130" s="21"/>
      <c r="F130" s="21"/>
      <c r="G130" s="21"/>
      <c r="H130" s="22">
        <v>0</v>
      </c>
      <c r="I130" s="22">
        <v>0</v>
      </c>
      <c r="J130" s="22">
        <v>0</v>
      </c>
      <c r="K130" s="22">
        <v>0</v>
      </c>
      <c r="L130" s="22">
        <v>0</v>
      </c>
      <c r="M130" s="22">
        <v>0</v>
      </c>
      <c r="N130" s="22">
        <v>0</v>
      </c>
      <c r="O130" s="23">
        <f t="shared" si="5"/>
        <v>0</v>
      </c>
      <c r="P130" s="24"/>
    </row>
    <row r="131" spans="1:16" ht="45" hidden="1" customHeight="1">
      <c r="A131" s="140"/>
      <c r="B131" s="39">
        <v>0</v>
      </c>
      <c r="C131" s="21"/>
      <c r="D131" s="21"/>
      <c r="E131" s="21"/>
      <c r="F131" s="21"/>
      <c r="G131" s="21"/>
      <c r="H131" s="22">
        <v>0</v>
      </c>
      <c r="I131" s="22">
        <v>0</v>
      </c>
      <c r="J131" s="22">
        <v>0</v>
      </c>
      <c r="K131" s="22">
        <v>0</v>
      </c>
      <c r="L131" s="22">
        <v>0</v>
      </c>
      <c r="M131" s="22">
        <v>0</v>
      </c>
      <c r="N131" s="22">
        <v>0</v>
      </c>
      <c r="O131" s="23">
        <f t="shared" si="5"/>
        <v>0</v>
      </c>
      <c r="P131" s="24"/>
    </row>
    <row r="132" spans="1:16" ht="45" hidden="1" customHeight="1">
      <c r="A132" s="140"/>
      <c r="B132" s="39">
        <v>0</v>
      </c>
      <c r="C132" s="21"/>
      <c r="D132" s="21"/>
      <c r="E132" s="21"/>
      <c r="F132" s="21"/>
      <c r="G132" s="21"/>
      <c r="H132" s="22">
        <v>0</v>
      </c>
      <c r="I132" s="22">
        <v>0</v>
      </c>
      <c r="J132" s="22">
        <v>0</v>
      </c>
      <c r="K132" s="22">
        <v>0</v>
      </c>
      <c r="L132" s="22">
        <v>0</v>
      </c>
      <c r="M132" s="22">
        <v>0</v>
      </c>
      <c r="N132" s="22">
        <v>0</v>
      </c>
      <c r="O132" s="23">
        <f t="shared" si="5"/>
        <v>0</v>
      </c>
      <c r="P132" s="24"/>
    </row>
    <row r="133" spans="1:16" ht="45" hidden="1" customHeight="1">
      <c r="A133" s="140"/>
      <c r="B133" s="39">
        <v>0</v>
      </c>
      <c r="C133" s="21"/>
      <c r="D133" s="21"/>
      <c r="E133" s="21"/>
      <c r="F133" s="21"/>
      <c r="G133" s="21"/>
      <c r="H133" s="22">
        <v>0</v>
      </c>
      <c r="I133" s="22">
        <v>0</v>
      </c>
      <c r="J133" s="22">
        <v>0</v>
      </c>
      <c r="K133" s="22">
        <v>0</v>
      </c>
      <c r="L133" s="22">
        <v>0</v>
      </c>
      <c r="M133" s="22">
        <v>0</v>
      </c>
      <c r="N133" s="22">
        <v>0</v>
      </c>
      <c r="O133" s="23">
        <f t="shared" si="5"/>
        <v>0</v>
      </c>
      <c r="P133" s="24"/>
    </row>
    <row r="134" spans="1:16" ht="45" hidden="1" customHeight="1">
      <c r="A134" s="140"/>
      <c r="B134" s="39">
        <v>0</v>
      </c>
      <c r="C134" s="21"/>
      <c r="D134" s="21"/>
      <c r="E134" s="21"/>
      <c r="F134" s="21"/>
      <c r="G134" s="21"/>
      <c r="H134" s="22">
        <v>0</v>
      </c>
      <c r="I134" s="22">
        <v>0</v>
      </c>
      <c r="J134" s="22">
        <v>0</v>
      </c>
      <c r="K134" s="22">
        <v>0</v>
      </c>
      <c r="L134" s="22">
        <v>0</v>
      </c>
      <c r="M134" s="22">
        <v>0</v>
      </c>
      <c r="N134" s="22">
        <v>0</v>
      </c>
      <c r="O134" s="23">
        <f t="shared" si="5"/>
        <v>0</v>
      </c>
      <c r="P134" s="24"/>
    </row>
    <row r="135" spans="1:16" ht="45" hidden="1" customHeight="1">
      <c r="A135" s="140"/>
      <c r="B135" s="39">
        <v>0</v>
      </c>
      <c r="C135" s="21"/>
      <c r="D135" s="21"/>
      <c r="E135" s="21"/>
      <c r="F135" s="21"/>
      <c r="G135" s="21"/>
      <c r="H135" s="22">
        <v>0</v>
      </c>
      <c r="I135" s="22">
        <v>0</v>
      </c>
      <c r="J135" s="22">
        <v>0</v>
      </c>
      <c r="K135" s="22">
        <v>0</v>
      </c>
      <c r="L135" s="22">
        <v>0</v>
      </c>
      <c r="M135" s="22">
        <v>0</v>
      </c>
      <c r="N135" s="22">
        <v>0</v>
      </c>
      <c r="O135" s="23">
        <f t="shared" si="5"/>
        <v>0</v>
      </c>
      <c r="P135" s="24"/>
    </row>
    <row r="136" spans="1:16" ht="45" hidden="1" customHeight="1">
      <c r="A136" s="140"/>
      <c r="B136" s="39">
        <v>0</v>
      </c>
      <c r="C136" s="21"/>
      <c r="D136" s="21"/>
      <c r="E136" s="21"/>
      <c r="F136" s="21"/>
      <c r="G136" s="21"/>
      <c r="H136" s="22">
        <v>0</v>
      </c>
      <c r="I136" s="22">
        <v>0</v>
      </c>
      <c r="J136" s="22">
        <v>0</v>
      </c>
      <c r="K136" s="22">
        <v>0</v>
      </c>
      <c r="L136" s="22">
        <v>0</v>
      </c>
      <c r="M136" s="22">
        <v>0</v>
      </c>
      <c r="N136" s="22">
        <v>0</v>
      </c>
      <c r="O136" s="23">
        <f t="shared" si="5"/>
        <v>0</v>
      </c>
      <c r="P136" s="24"/>
    </row>
    <row r="137" spans="1:16" ht="45" hidden="1" customHeight="1">
      <c r="A137" s="140"/>
      <c r="B137" s="39">
        <v>0</v>
      </c>
      <c r="C137" s="21"/>
      <c r="D137" s="21"/>
      <c r="E137" s="21"/>
      <c r="F137" s="21"/>
      <c r="G137" s="21"/>
      <c r="H137" s="22">
        <v>0</v>
      </c>
      <c r="I137" s="22">
        <v>0</v>
      </c>
      <c r="J137" s="22">
        <v>0</v>
      </c>
      <c r="K137" s="22">
        <v>0</v>
      </c>
      <c r="L137" s="22">
        <v>0</v>
      </c>
      <c r="M137" s="22">
        <v>0</v>
      </c>
      <c r="N137" s="22">
        <v>0</v>
      </c>
      <c r="O137" s="23">
        <f t="shared" si="5"/>
        <v>0</v>
      </c>
      <c r="P137" s="24"/>
    </row>
    <row r="138" spans="1:16" ht="45" hidden="1" customHeight="1">
      <c r="A138" s="140"/>
      <c r="B138" s="39">
        <v>0</v>
      </c>
      <c r="C138" s="21"/>
      <c r="D138" s="21"/>
      <c r="E138" s="21"/>
      <c r="F138" s="21"/>
      <c r="G138" s="21"/>
      <c r="H138" s="22">
        <v>0</v>
      </c>
      <c r="I138" s="22">
        <v>0</v>
      </c>
      <c r="J138" s="22">
        <v>0</v>
      </c>
      <c r="K138" s="22">
        <v>0</v>
      </c>
      <c r="L138" s="22">
        <v>0</v>
      </c>
      <c r="M138" s="22">
        <v>0</v>
      </c>
      <c r="N138" s="22">
        <v>0</v>
      </c>
      <c r="O138" s="23">
        <f t="shared" si="5"/>
        <v>0</v>
      </c>
      <c r="P138" s="24"/>
    </row>
    <row r="139" spans="1:16" ht="45" hidden="1" customHeight="1">
      <c r="A139" s="140"/>
      <c r="B139" s="39">
        <v>0</v>
      </c>
      <c r="C139" s="21"/>
      <c r="D139" s="21"/>
      <c r="E139" s="21"/>
      <c r="F139" s="21"/>
      <c r="G139" s="21"/>
      <c r="H139" s="22">
        <v>0</v>
      </c>
      <c r="I139" s="22">
        <v>0</v>
      </c>
      <c r="J139" s="22">
        <v>0</v>
      </c>
      <c r="K139" s="22">
        <v>0</v>
      </c>
      <c r="L139" s="22">
        <v>0</v>
      </c>
      <c r="M139" s="22">
        <v>0</v>
      </c>
      <c r="N139" s="22">
        <v>0</v>
      </c>
      <c r="O139" s="23">
        <f t="shared" si="5"/>
        <v>0</v>
      </c>
      <c r="P139" s="24"/>
    </row>
    <row r="140" spans="1:16" ht="45" hidden="1" customHeight="1">
      <c r="A140" s="140"/>
      <c r="B140" s="39">
        <v>0</v>
      </c>
      <c r="C140" s="21"/>
      <c r="D140" s="21"/>
      <c r="E140" s="21"/>
      <c r="F140" s="21"/>
      <c r="G140" s="21"/>
      <c r="H140" s="22">
        <v>0</v>
      </c>
      <c r="I140" s="22">
        <v>0</v>
      </c>
      <c r="J140" s="22">
        <v>0</v>
      </c>
      <c r="K140" s="22">
        <v>0</v>
      </c>
      <c r="L140" s="22">
        <v>0</v>
      </c>
      <c r="M140" s="22">
        <v>0</v>
      </c>
      <c r="N140" s="22">
        <v>0</v>
      </c>
      <c r="O140" s="23">
        <f t="shared" si="5"/>
        <v>0</v>
      </c>
      <c r="P140" s="24"/>
    </row>
    <row r="141" spans="1:16" ht="45" hidden="1" customHeight="1">
      <c r="A141" s="140"/>
      <c r="B141" s="39">
        <v>0</v>
      </c>
      <c r="C141" s="21"/>
      <c r="D141" s="21"/>
      <c r="E141" s="21"/>
      <c r="F141" s="21"/>
      <c r="G141" s="21"/>
      <c r="H141" s="22">
        <v>0</v>
      </c>
      <c r="I141" s="22">
        <v>0</v>
      </c>
      <c r="J141" s="22">
        <v>0</v>
      </c>
      <c r="K141" s="22">
        <v>0</v>
      </c>
      <c r="L141" s="22">
        <v>0</v>
      </c>
      <c r="M141" s="22">
        <v>0</v>
      </c>
      <c r="N141" s="22">
        <v>0</v>
      </c>
      <c r="O141" s="23">
        <f t="shared" si="5"/>
        <v>0</v>
      </c>
      <c r="P141" s="24"/>
    </row>
    <row r="142" spans="1:16" ht="45" hidden="1" customHeight="1">
      <c r="A142" s="140"/>
      <c r="B142" s="39">
        <v>0</v>
      </c>
      <c r="C142" s="21"/>
      <c r="D142" s="21"/>
      <c r="E142" s="21"/>
      <c r="F142" s="21"/>
      <c r="G142" s="21"/>
      <c r="H142" s="22">
        <v>0</v>
      </c>
      <c r="I142" s="22">
        <v>0</v>
      </c>
      <c r="J142" s="22">
        <v>0</v>
      </c>
      <c r="K142" s="22">
        <v>0</v>
      </c>
      <c r="L142" s="22">
        <v>0</v>
      </c>
      <c r="M142" s="22">
        <v>0</v>
      </c>
      <c r="N142" s="22">
        <v>0</v>
      </c>
      <c r="O142" s="23">
        <f t="shared" si="5"/>
        <v>0</v>
      </c>
      <c r="P142" s="24"/>
    </row>
    <row r="143" spans="1:16" ht="45" hidden="1" customHeight="1">
      <c r="A143" s="152"/>
      <c r="B143" s="39">
        <v>0</v>
      </c>
      <c r="C143" s="25"/>
      <c r="D143" s="25"/>
      <c r="E143" s="25"/>
      <c r="F143" s="25"/>
      <c r="G143" s="25"/>
      <c r="H143" s="36">
        <v>0</v>
      </c>
      <c r="I143" s="37">
        <v>0</v>
      </c>
      <c r="J143" s="37">
        <v>0</v>
      </c>
      <c r="K143" s="37">
        <v>0</v>
      </c>
      <c r="L143" s="37">
        <v>0</v>
      </c>
      <c r="M143" s="37">
        <v>0</v>
      </c>
      <c r="N143" s="37">
        <v>0</v>
      </c>
      <c r="O143" s="38">
        <f t="shared" si="5"/>
        <v>0</v>
      </c>
      <c r="P143" s="19"/>
    </row>
    <row r="144" spans="1:16" ht="45" hidden="1" customHeight="1">
      <c r="A144" s="153"/>
      <c r="B144" s="39">
        <v>0</v>
      </c>
      <c r="C144" s="21"/>
      <c r="D144" s="21"/>
      <c r="E144" s="21"/>
      <c r="F144" s="21"/>
      <c r="G144" s="21"/>
      <c r="H144" s="32">
        <v>0</v>
      </c>
      <c r="I144" s="22">
        <v>0</v>
      </c>
      <c r="J144" s="22">
        <v>0</v>
      </c>
      <c r="K144" s="22">
        <v>0</v>
      </c>
      <c r="L144" s="22">
        <v>0</v>
      </c>
      <c r="M144" s="22">
        <v>0</v>
      </c>
      <c r="N144" s="22">
        <v>0</v>
      </c>
      <c r="O144" s="23">
        <f t="shared" si="5"/>
        <v>0</v>
      </c>
      <c r="P144" s="24"/>
    </row>
    <row r="145" spans="1:16" ht="45" hidden="1" customHeight="1">
      <c r="A145" s="153"/>
      <c r="B145" s="39">
        <v>0</v>
      </c>
      <c r="C145" s="21"/>
      <c r="D145" s="21"/>
      <c r="E145" s="21"/>
      <c r="F145" s="21"/>
      <c r="G145" s="21"/>
      <c r="H145" s="32">
        <v>0</v>
      </c>
      <c r="I145" s="22">
        <v>0</v>
      </c>
      <c r="J145" s="22">
        <v>0</v>
      </c>
      <c r="K145" s="22">
        <v>0</v>
      </c>
      <c r="L145" s="22">
        <v>0</v>
      </c>
      <c r="M145" s="22">
        <v>0</v>
      </c>
      <c r="N145" s="22">
        <v>0</v>
      </c>
      <c r="O145" s="23">
        <f t="shared" si="5"/>
        <v>0.23809523809523808</v>
      </c>
      <c r="P145" s="24"/>
    </row>
    <row r="146" spans="1:16" ht="45" hidden="1" customHeight="1">
      <c r="A146" s="153"/>
      <c r="B146" s="39">
        <v>0</v>
      </c>
      <c r="C146" s="21"/>
      <c r="D146" s="21"/>
      <c r="E146" s="21"/>
      <c r="F146" s="21"/>
      <c r="G146" s="21"/>
      <c r="H146" s="32">
        <v>0</v>
      </c>
      <c r="I146" s="22">
        <v>0</v>
      </c>
      <c r="J146" s="22">
        <v>0</v>
      </c>
      <c r="K146" s="22">
        <v>0</v>
      </c>
      <c r="L146" s="22">
        <v>0</v>
      </c>
      <c r="M146" s="22">
        <v>0</v>
      </c>
      <c r="N146" s="22">
        <v>0</v>
      </c>
      <c r="O146" s="23">
        <f t="shared" si="5"/>
        <v>0.35714285714285715</v>
      </c>
      <c r="P146" s="24"/>
    </row>
    <row r="147" spans="1:16" ht="45" hidden="1" customHeight="1">
      <c r="A147" s="153"/>
      <c r="B147" s="39">
        <v>5</v>
      </c>
      <c r="C147" s="21"/>
      <c r="D147" s="21"/>
      <c r="E147" s="21"/>
      <c r="F147" s="21"/>
      <c r="G147" s="21"/>
      <c r="H147" s="32">
        <v>0</v>
      </c>
      <c r="I147" s="22">
        <v>0</v>
      </c>
      <c r="J147" s="22">
        <v>0</v>
      </c>
      <c r="K147" s="22">
        <v>0</v>
      </c>
      <c r="L147" s="22">
        <v>0</v>
      </c>
      <c r="M147" s="22">
        <v>0</v>
      </c>
      <c r="N147" s="22">
        <v>5</v>
      </c>
      <c r="O147" s="23">
        <f t="shared" si="5"/>
        <v>0.7142857142857143</v>
      </c>
      <c r="P147" s="24"/>
    </row>
  </sheetData>
  <autoFilter ref="A2:P147" xr:uid="{6831539B-1EF2-456C-A99A-6624932F8169}">
    <filterColumn colId="2">
      <filters>
        <filter val="Benjamin D"/>
      </filters>
    </filterColumn>
    <sortState xmlns:xlrd2="http://schemas.microsoft.com/office/spreadsheetml/2017/richdata2" ref="A3:P147">
      <sortCondition ref="A2:A147"/>
    </sortState>
  </autoFilter>
  <mergeCells count="2">
    <mergeCell ref="J1:K1"/>
    <mergeCell ref="L1:N1"/>
  </mergeCells>
  <conditionalFormatting sqref="B3:B147">
    <cfRule type="iconSet" priority="1">
      <iconSet iconSet="5Rating">
        <cfvo type="percent" val="0"/>
        <cfvo type="percent" val="20"/>
        <cfvo type="percent" val="40"/>
        <cfvo type="percent" val="60"/>
        <cfvo type="percent" val="80"/>
      </iconSet>
    </cfRule>
  </conditionalFormatting>
  <conditionalFormatting sqref="H76:O887 J75:O75 H75 H3:O74">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7" xr:uid="{D872543E-36D1-4A04-B00C-833FB1661A91}"/>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45EFED8-5876-44CB-9069-8AA6C72F8A2A}">
          <x14:formula1>
            <xm:f>'Guide suivi GDP '!$E$3:$E$8</xm:f>
          </x14:formula1>
          <xm:sqref>D3:D147</xm:sqref>
        </x14:dataValidation>
        <x14:dataValidation type="list" allowBlank="1" showInputMessage="1" showErrorMessage="1" xr:uid="{8AF60D20-AF5F-41A5-9CEF-E3C467B00106}">
          <x14:formula1>
            <xm:f>'Guide suivi GDP '!$E$20:$E$24</xm:f>
          </x14:formula1>
          <xm:sqref>E3:E147</xm:sqref>
        </x14:dataValidation>
        <x14:dataValidation type="list" allowBlank="1" showInputMessage="1" showErrorMessage="1" xr:uid="{31E048AB-AB75-4491-986F-85696A252256}">
          <x14:formula1>
            <xm:f>'Guide suivi GDP '!$E$14:$E$19</xm:f>
          </x14:formula1>
          <xm:sqref>F3:F147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AF81-2451-4559-B567-B7DAD91748B4}">
  <sheetPr filterMode="1">
    <tabColor rgb="FF92D050"/>
  </sheetPr>
  <dimension ref="A1:R148"/>
  <sheetViews>
    <sheetView topLeftCell="A47" workbookViewId="0">
      <selection activeCell="R54" sqref="R54"/>
    </sheetView>
  </sheetViews>
  <sheetFormatPr baseColWidth="10" defaultColWidth="9.140625" defaultRowHeight="12.75" outlineLevelCol="1"/>
  <cols>
    <col min="1" max="1" width="20.42578125" style="26" customWidth="1"/>
    <col min="2" max="2" width="9.85546875" style="26" customWidth="1"/>
    <col min="3" max="3" width="12.28515625" style="5" customWidth="1"/>
    <col min="4" max="4" width="11.7109375" style="5" customWidth="1"/>
    <col min="5" max="5" width="18.28515625" style="5" customWidth="1"/>
    <col min="6" max="6" width="12.5703125" style="27" customWidth="1"/>
    <col min="7" max="7" width="14.28515625" style="27" customWidth="1"/>
    <col min="8" max="8" width="14.5703125" style="26" hidden="1" customWidth="1" outlineLevel="1" collapsed="1"/>
    <col min="9" max="9" width="12.7109375" style="26" hidden="1" customWidth="1" outlineLevel="1"/>
    <col min="10" max="10" width="11" style="26" hidden="1" customWidth="1" outlineLevel="1"/>
    <col min="11" max="11" width="8.85546875" style="26" hidden="1" customWidth="1" outlineLevel="1"/>
    <col min="12" max="12" width="11.7109375" style="26" hidden="1" customWidth="1" outlineLevel="1"/>
    <col min="13" max="13" width="12.28515625" style="26" hidden="1" customWidth="1" outlineLevel="1"/>
    <col min="14" max="14" width="15.7109375" style="26" hidden="1" customWidth="1" outlineLevel="1"/>
    <col min="15" max="15" width="10.5703125" style="13" bestFit="1" customWidth="1" collapsed="1"/>
    <col min="16" max="16" width="24.5703125" style="13" customWidth="1"/>
    <col min="17" max="17" width="42" style="26" customWidth="1"/>
    <col min="18" max="16384" width="9.140625" style="13"/>
  </cols>
  <sheetData>
    <row r="1" spans="1:17" ht="13.5" customHeight="1">
      <c r="F1" s="5"/>
      <c r="G1" s="5"/>
      <c r="H1" s="9" t="s">
        <v>68</v>
      </c>
      <c r="I1" s="12" t="s">
        <v>69</v>
      </c>
      <c r="J1" s="199" t="s">
        <v>71</v>
      </c>
      <c r="K1" s="200"/>
      <c r="L1" s="196" t="s">
        <v>76</v>
      </c>
      <c r="M1" s="197"/>
      <c r="N1" s="198"/>
    </row>
    <row r="2" spans="1:17"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3" t="s">
        <v>567</v>
      </c>
      <c r="Q2" s="2" t="s">
        <v>97</v>
      </c>
    </row>
    <row r="3" spans="1:17"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c r="Q3" s="143" t="s">
        <v>568</v>
      </c>
    </row>
    <row r="4" spans="1:17"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60"/>
      <c r="Q4" s="143" t="s">
        <v>317</v>
      </c>
    </row>
    <row r="5" spans="1:17" ht="45"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c r="Q5" s="143" t="s">
        <v>407</v>
      </c>
    </row>
    <row r="6" spans="1:17"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59"/>
      <c r="Q6" s="143" t="s">
        <v>523</v>
      </c>
    </row>
    <row r="7" spans="1:17"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c r="Q7" s="143" t="s">
        <v>349</v>
      </c>
    </row>
    <row r="8" spans="1:17"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59"/>
      <c r="Q8" s="143" t="s">
        <v>116</v>
      </c>
    </row>
    <row r="9" spans="1:17"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59"/>
      <c r="Q9" s="143" t="s">
        <v>524</v>
      </c>
    </row>
    <row r="10" spans="1:17"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59"/>
      <c r="Q10" s="143" t="s">
        <v>558</v>
      </c>
    </row>
    <row r="11" spans="1:17" ht="45" hidden="1" customHeight="1">
      <c r="A11" s="153" t="s">
        <v>275</v>
      </c>
      <c r="B11" s="39">
        <v>0</v>
      </c>
      <c r="C11" s="141" t="s">
        <v>409</v>
      </c>
      <c r="D11" s="141"/>
      <c r="E11" s="141"/>
      <c r="F11" s="141"/>
      <c r="G11" s="141"/>
      <c r="H11" s="29"/>
      <c r="I11" s="145"/>
      <c r="J11" s="145"/>
      <c r="K11" s="145"/>
      <c r="L11" s="145"/>
      <c r="M11" s="145"/>
      <c r="N11" s="145"/>
      <c r="O11" s="142" t="e">
        <f t="shared" si="0"/>
        <v>#DIV/0!</v>
      </c>
      <c r="P11" s="59"/>
      <c r="Q11" s="143" t="s">
        <v>484</v>
      </c>
    </row>
    <row r="12" spans="1:17" ht="45" hidden="1" customHeight="1">
      <c r="A12" s="153" t="s">
        <v>446</v>
      </c>
      <c r="B12" s="39">
        <v>0</v>
      </c>
      <c r="C12" s="141" t="s">
        <v>409</v>
      </c>
      <c r="D12" s="141"/>
      <c r="E12" s="141"/>
      <c r="F12" s="141"/>
      <c r="G12" s="141"/>
      <c r="H12" s="29"/>
      <c r="I12" s="145"/>
      <c r="J12" s="145"/>
      <c r="K12" s="145"/>
      <c r="L12" s="145"/>
      <c r="M12" s="145"/>
      <c r="N12" s="145"/>
      <c r="O12" s="142" t="e">
        <f t="shared" si="0"/>
        <v>#DIV/0!</v>
      </c>
      <c r="P12" s="59"/>
      <c r="Q12" s="143" t="s">
        <v>485</v>
      </c>
    </row>
    <row r="13" spans="1:17"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59"/>
      <c r="Q13" s="143" t="s">
        <v>322</v>
      </c>
    </row>
    <row r="14" spans="1:17" ht="45" hidden="1" customHeight="1">
      <c r="A14" s="153" t="s">
        <v>280</v>
      </c>
      <c r="B14" s="39">
        <v>0</v>
      </c>
      <c r="C14" s="141" t="s">
        <v>409</v>
      </c>
      <c r="D14" s="21"/>
      <c r="E14" s="21"/>
      <c r="F14" s="21"/>
      <c r="G14" s="21"/>
      <c r="H14" s="29"/>
      <c r="I14" s="145"/>
      <c r="J14" s="145"/>
      <c r="K14" s="145"/>
      <c r="L14" s="145"/>
      <c r="M14" s="145"/>
      <c r="N14" s="145"/>
      <c r="O14" s="142" t="e">
        <f t="shared" si="0"/>
        <v>#DIV/0!</v>
      </c>
      <c r="P14" s="59"/>
      <c r="Q14" s="46" t="s">
        <v>323</v>
      </c>
    </row>
    <row r="15" spans="1:17"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59"/>
      <c r="Q15" s="46" t="s">
        <v>486</v>
      </c>
    </row>
    <row r="16" spans="1:17" ht="45" hidden="1" customHeight="1">
      <c r="A16" s="153" t="s">
        <v>279</v>
      </c>
      <c r="B16" s="39">
        <v>0</v>
      </c>
      <c r="C16" s="141" t="s">
        <v>409</v>
      </c>
      <c r="D16" s="21" t="s">
        <v>6</v>
      </c>
      <c r="E16" s="21"/>
      <c r="F16" s="21"/>
      <c r="G16" s="21"/>
      <c r="H16" s="29"/>
      <c r="I16" s="145"/>
      <c r="J16" s="145"/>
      <c r="K16" s="145"/>
      <c r="L16" s="145"/>
      <c r="M16" s="145"/>
      <c r="N16" s="145"/>
      <c r="O16" s="142" t="e">
        <f t="shared" si="0"/>
        <v>#DIV/0!</v>
      </c>
      <c r="P16" s="59"/>
      <c r="Q16" s="46" t="s">
        <v>448</v>
      </c>
    </row>
    <row r="17" spans="1:17"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59"/>
      <c r="Q17" s="143" t="s">
        <v>525</v>
      </c>
    </row>
    <row r="18" spans="1:17"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59"/>
      <c r="Q18" s="143" t="s">
        <v>526</v>
      </c>
    </row>
    <row r="19" spans="1:17" ht="45" customHeight="1">
      <c r="A19" s="41" t="s">
        <v>429</v>
      </c>
      <c r="B19" s="39">
        <v>0</v>
      </c>
      <c r="C19" s="141" t="s">
        <v>51</v>
      </c>
      <c r="D19" s="141" t="s">
        <v>6</v>
      </c>
      <c r="E19" s="141"/>
      <c r="F19" s="141"/>
      <c r="G19" s="141"/>
      <c r="H19" s="29">
        <v>0</v>
      </c>
      <c r="I19" s="145">
        <v>0</v>
      </c>
      <c r="J19" s="145">
        <v>0</v>
      </c>
      <c r="K19" s="145">
        <v>0</v>
      </c>
      <c r="L19" s="145">
        <v>0</v>
      </c>
      <c r="M19" s="145">
        <v>0</v>
      </c>
      <c r="N19" s="145">
        <v>0</v>
      </c>
      <c r="O19" s="142">
        <f t="shared" si="0"/>
        <v>0</v>
      </c>
      <c r="P19" s="143"/>
      <c r="Q19" s="155" t="s">
        <v>527</v>
      </c>
    </row>
    <row r="20" spans="1:17"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59"/>
      <c r="Q20" s="143" t="s">
        <v>489</v>
      </c>
    </row>
    <row r="21" spans="1:17"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59"/>
      <c r="Q21" s="143" t="s">
        <v>528</v>
      </c>
    </row>
    <row r="22" spans="1:17" ht="45"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c r="Q22" s="143" t="s">
        <v>188</v>
      </c>
    </row>
    <row r="23" spans="1:17"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59"/>
      <c r="Q23" s="143" t="s">
        <v>451</v>
      </c>
    </row>
    <row r="24" spans="1:17"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59"/>
      <c r="Q24" s="143" t="s">
        <v>529</v>
      </c>
    </row>
    <row r="25" spans="1:17" ht="45" customHeight="1">
      <c r="A25" s="153" t="s">
        <v>415</v>
      </c>
      <c r="B25" s="39">
        <v>0</v>
      </c>
      <c r="C25" s="21" t="s">
        <v>51</v>
      </c>
      <c r="D25" s="21" t="s">
        <v>6</v>
      </c>
      <c r="E25" s="21"/>
      <c r="F25" s="21"/>
      <c r="G25" s="21"/>
      <c r="H25" s="48"/>
      <c r="I25" s="51"/>
      <c r="J25" s="51"/>
      <c r="K25" s="51"/>
      <c r="L25" s="51"/>
      <c r="M25" s="51"/>
      <c r="N25" s="51"/>
      <c r="O25" s="142" t="e">
        <f t="shared" si="0"/>
        <v>#DIV/0!</v>
      </c>
      <c r="P25" s="143"/>
      <c r="Q25" s="46" t="s">
        <v>569</v>
      </c>
    </row>
    <row r="26" spans="1:17" ht="45" customHeight="1">
      <c r="A26" s="153"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c r="Q26" s="143" t="s">
        <v>570</v>
      </c>
    </row>
    <row r="27" spans="1:17"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59"/>
      <c r="Q27" s="143" t="s">
        <v>493</v>
      </c>
    </row>
    <row r="28" spans="1:17" ht="45"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43"/>
      <c r="Q28" s="138" t="s">
        <v>494</v>
      </c>
    </row>
    <row r="29" spans="1:17"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59"/>
      <c r="Q29" s="143" t="s">
        <v>531</v>
      </c>
    </row>
    <row r="30" spans="1:17"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c r="Q30" s="143" t="s">
        <v>560</v>
      </c>
    </row>
    <row r="31" spans="1:17" ht="45" hidden="1" customHeight="1">
      <c r="A31" s="153" t="s">
        <v>283</v>
      </c>
      <c r="B31" s="39">
        <v>0</v>
      </c>
      <c r="C31" s="21" t="s">
        <v>174</v>
      </c>
      <c r="D31" s="21" t="s">
        <v>6</v>
      </c>
      <c r="E31" s="21"/>
      <c r="F31" s="21"/>
      <c r="G31" s="21"/>
      <c r="H31" s="48"/>
      <c r="I31" s="51"/>
      <c r="J31" s="51"/>
      <c r="K31" s="51"/>
      <c r="L31" s="51"/>
      <c r="M31" s="51"/>
      <c r="N31" s="51"/>
      <c r="O31" s="142" t="e">
        <f t="shared" si="0"/>
        <v>#DIV/0!</v>
      </c>
      <c r="P31" s="59"/>
      <c r="Q31" s="46" t="s">
        <v>532</v>
      </c>
    </row>
    <row r="32" spans="1:17"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c r="Q32" s="143" t="s">
        <v>561</v>
      </c>
    </row>
    <row r="33" spans="1:18"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59"/>
      <c r="Q33" s="46" t="s">
        <v>533</v>
      </c>
    </row>
    <row r="34" spans="1:18"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59"/>
      <c r="Q34" s="143" t="s">
        <v>226</v>
      </c>
    </row>
    <row r="35" spans="1:18"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59"/>
      <c r="Q35" s="143" t="s">
        <v>534</v>
      </c>
    </row>
    <row r="36" spans="1:18"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59"/>
      <c r="Q36" s="143" t="s">
        <v>245</v>
      </c>
    </row>
    <row r="37" spans="1:18"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59"/>
      <c r="Q37" s="143" t="s">
        <v>535</v>
      </c>
    </row>
    <row r="38" spans="1:18"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59"/>
      <c r="Q38" s="143" t="s">
        <v>536</v>
      </c>
    </row>
    <row r="39" spans="1:18"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59"/>
      <c r="Q39" s="143" t="s">
        <v>500</v>
      </c>
    </row>
    <row r="40" spans="1:18"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59"/>
      <c r="Q40" s="143" t="s">
        <v>107</v>
      </c>
      <c r="R40" s="13" t="s">
        <v>259</v>
      </c>
    </row>
    <row r="41" spans="1:18"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59"/>
      <c r="Q41" s="143" t="s">
        <v>537</v>
      </c>
      <c r="R41" s="13" t="s">
        <v>259</v>
      </c>
    </row>
    <row r="42" spans="1:18"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59"/>
      <c r="Q42" s="143" t="s">
        <v>538</v>
      </c>
    </row>
    <row r="43" spans="1:18"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59"/>
      <c r="Q43" s="138" t="s">
        <v>502</v>
      </c>
    </row>
    <row r="44" spans="1:18"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3"/>
      <c r="Q44" s="144" t="s">
        <v>571</v>
      </c>
    </row>
    <row r="45" spans="1:18"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43"/>
      <c r="Q45" s="138" t="s">
        <v>504</v>
      </c>
    </row>
    <row r="46" spans="1:18"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59"/>
      <c r="Q46" s="138" t="s">
        <v>505</v>
      </c>
    </row>
    <row r="47" spans="1:18"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43"/>
      <c r="Q47" s="138" t="s">
        <v>539</v>
      </c>
    </row>
    <row r="48" spans="1:18"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43"/>
      <c r="Q48" s="138" t="s">
        <v>370</v>
      </c>
      <c r="R48" s="13" t="s">
        <v>268</v>
      </c>
    </row>
    <row r="49" spans="1:17"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c r="Q49" s="143" t="s">
        <v>540</v>
      </c>
    </row>
    <row r="50" spans="1:17"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59"/>
      <c r="Q50" s="138" t="s">
        <v>507</v>
      </c>
    </row>
    <row r="51" spans="1:17"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59"/>
      <c r="Q51" s="138" t="s">
        <v>541</v>
      </c>
    </row>
    <row r="52" spans="1:17"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59"/>
      <c r="Q52" s="24" t="s">
        <v>509</v>
      </c>
    </row>
    <row r="53" spans="1:17" ht="45" customHeight="1">
      <c r="A53" s="153" t="s">
        <v>315</v>
      </c>
      <c r="B53" s="39">
        <v>0</v>
      </c>
      <c r="C53" s="141" t="s">
        <v>51</v>
      </c>
      <c r="D53" s="21" t="s">
        <v>6</v>
      </c>
      <c r="E53" s="21"/>
      <c r="F53" s="21"/>
      <c r="G53" s="21"/>
      <c r="H53" s="48"/>
      <c r="I53" s="51"/>
      <c r="J53" s="51"/>
      <c r="K53" s="51"/>
      <c r="L53" s="51"/>
      <c r="M53" s="51"/>
      <c r="N53" s="51"/>
      <c r="O53" s="142" t="e">
        <f t="shared" si="1"/>
        <v>#DIV/0!</v>
      </c>
      <c r="P53" s="143"/>
      <c r="Q53" s="46" t="s">
        <v>572</v>
      </c>
    </row>
    <row r="54" spans="1:17" ht="45" customHeight="1">
      <c r="A54" s="153" t="s">
        <v>543</v>
      </c>
      <c r="B54" s="39">
        <v>0</v>
      </c>
      <c r="C54" s="141" t="s">
        <v>51</v>
      </c>
      <c r="D54" s="21"/>
      <c r="E54" s="21"/>
      <c r="F54" s="21"/>
      <c r="G54" s="21"/>
      <c r="H54" s="48"/>
      <c r="I54" s="51"/>
      <c r="J54" s="51"/>
      <c r="K54" s="51"/>
      <c r="L54" s="51"/>
      <c r="M54" s="51"/>
      <c r="N54" s="51"/>
      <c r="O54" s="142" t="e">
        <f t="shared" si="1"/>
        <v>#DIV/0!</v>
      </c>
      <c r="P54" s="143"/>
      <c r="Q54" s="46" t="s">
        <v>573</v>
      </c>
    </row>
    <row r="55" spans="1:17" ht="45" customHeight="1">
      <c r="A55" s="153" t="s">
        <v>545</v>
      </c>
      <c r="B55" s="39">
        <v>0</v>
      </c>
      <c r="C55" s="141" t="s">
        <v>51</v>
      </c>
      <c r="D55" s="21" t="s">
        <v>6</v>
      </c>
      <c r="E55" s="21"/>
      <c r="F55" s="21"/>
      <c r="G55" s="21"/>
      <c r="H55" s="48"/>
      <c r="I55" s="51"/>
      <c r="J55" s="51"/>
      <c r="K55" s="51"/>
      <c r="L55" s="51"/>
      <c r="M55" s="51"/>
      <c r="N55" s="51"/>
      <c r="O55" s="142" t="e">
        <f t="shared" si="1"/>
        <v>#DIV/0!</v>
      </c>
      <c r="P55" s="143"/>
      <c r="Q55" s="46" t="s">
        <v>574</v>
      </c>
    </row>
    <row r="56" spans="1:17" ht="45" customHeight="1">
      <c r="A56" s="153" t="s">
        <v>564</v>
      </c>
      <c r="B56" s="39">
        <v>0</v>
      </c>
      <c r="C56" s="141" t="s">
        <v>51</v>
      </c>
      <c r="D56" s="21"/>
      <c r="E56" s="21"/>
      <c r="F56" s="21"/>
      <c r="G56" s="21"/>
      <c r="H56" s="48"/>
      <c r="I56" s="51"/>
      <c r="J56" s="51"/>
      <c r="K56" s="51"/>
      <c r="L56" s="51"/>
      <c r="M56" s="51"/>
      <c r="N56" s="51"/>
      <c r="O56" s="142"/>
      <c r="P56" s="143"/>
      <c r="Q56" s="46" t="s">
        <v>575</v>
      </c>
    </row>
    <row r="57" spans="1:17" ht="45" customHeight="1">
      <c r="A57" s="153" t="s">
        <v>576</v>
      </c>
      <c r="B57" s="39">
        <v>0</v>
      </c>
      <c r="C57" s="141" t="s">
        <v>51</v>
      </c>
      <c r="D57" s="21" t="s">
        <v>6</v>
      </c>
      <c r="E57" s="21"/>
      <c r="F57" s="21"/>
      <c r="G57" s="21"/>
      <c r="H57" s="48"/>
      <c r="I57" s="51"/>
      <c r="J57" s="51"/>
      <c r="K57" s="51"/>
      <c r="L57" s="51"/>
      <c r="M57" s="51"/>
      <c r="N57" s="51"/>
      <c r="O57" s="142"/>
      <c r="P57" s="143"/>
      <c r="Q57" s="46" t="s">
        <v>577</v>
      </c>
    </row>
    <row r="58" spans="1:17" ht="45" customHeight="1">
      <c r="A58" s="153" t="s">
        <v>149</v>
      </c>
      <c r="B58" s="39">
        <v>0</v>
      </c>
      <c r="C58" s="141" t="s">
        <v>51</v>
      </c>
      <c r="D58" s="141" t="s">
        <v>26</v>
      </c>
      <c r="E58" s="141" t="s">
        <v>44</v>
      </c>
      <c r="F58" s="141" t="s">
        <v>37</v>
      </c>
      <c r="G58" s="141"/>
      <c r="H58" s="29">
        <v>5</v>
      </c>
      <c r="I58" s="145">
        <v>5</v>
      </c>
      <c r="J58" s="145">
        <v>5</v>
      </c>
      <c r="K58" s="145">
        <v>5</v>
      </c>
      <c r="L58" s="145">
        <v>5</v>
      </c>
      <c r="M58" s="145">
        <v>5</v>
      </c>
      <c r="N58" s="145">
        <v>5</v>
      </c>
      <c r="O58" s="142">
        <f t="shared" ref="O58:O76" si="2">AVERAGE(H58:N58)</f>
        <v>5</v>
      </c>
      <c r="P58" s="143"/>
      <c r="Q58" s="143" t="s">
        <v>547</v>
      </c>
    </row>
    <row r="59" spans="1:17" ht="45" hidden="1" customHeight="1">
      <c r="A59" s="153" t="s">
        <v>129</v>
      </c>
      <c r="B59" s="39">
        <v>0</v>
      </c>
      <c r="C59" s="141" t="s">
        <v>123</v>
      </c>
      <c r="D59" s="141" t="s">
        <v>26</v>
      </c>
      <c r="E59" s="141" t="s">
        <v>47</v>
      </c>
      <c r="F59" s="141" t="s">
        <v>41</v>
      </c>
      <c r="G59" s="141"/>
      <c r="H59" s="29">
        <v>0</v>
      </c>
      <c r="I59" s="145">
        <v>0</v>
      </c>
      <c r="J59" s="145">
        <v>0</v>
      </c>
      <c r="K59" s="145">
        <v>0</v>
      </c>
      <c r="L59" s="145">
        <v>0</v>
      </c>
      <c r="M59" s="145">
        <v>0</v>
      </c>
      <c r="N59" s="145">
        <v>0</v>
      </c>
      <c r="O59" s="142">
        <f t="shared" si="2"/>
        <v>0</v>
      </c>
      <c r="P59" s="59"/>
      <c r="Q59" s="143" t="s">
        <v>548</v>
      </c>
    </row>
    <row r="60" spans="1:17" ht="45" hidden="1" customHeight="1">
      <c r="A60" s="40" t="s">
        <v>134</v>
      </c>
      <c r="B60" s="39">
        <v>0</v>
      </c>
      <c r="C60" s="141" t="s">
        <v>123</v>
      </c>
      <c r="D60" s="141" t="s">
        <v>18</v>
      </c>
      <c r="E60" s="141" t="s">
        <v>44</v>
      </c>
      <c r="F60" s="141" t="s">
        <v>38</v>
      </c>
      <c r="G60" s="141"/>
      <c r="H60" s="29">
        <v>0</v>
      </c>
      <c r="I60" s="145">
        <v>0</v>
      </c>
      <c r="J60" s="145">
        <v>0</v>
      </c>
      <c r="K60" s="145">
        <v>0</v>
      </c>
      <c r="L60" s="145">
        <v>0</v>
      </c>
      <c r="M60" s="145">
        <v>0</v>
      </c>
      <c r="N60" s="145">
        <v>0</v>
      </c>
      <c r="O60" s="142">
        <f t="shared" si="2"/>
        <v>0</v>
      </c>
      <c r="P60" s="59"/>
      <c r="Q60" s="143" t="s">
        <v>512</v>
      </c>
    </row>
    <row r="61" spans="1:17" ht="45" hidden="1" customHeight="1">
      <c r="A61" s="153" t="s">
        <v>281</v>
      </c>
      <c r="B61" s="39">
        <v>0</v>
      </c>
      <c r="C61" s="21" t="s">
        <v>150</v>
      </c>
      <c r="D61" s="21" t="s">
        <v>6</v>
      </c>
      <c r="E61" s="21"/>
      <c r="F61" s="21" t="s">
        <v>38</v>
      </c>
      <c r="G61" s="21"/>
      <c r="H61" s="48">
        <v>0</v>
      </c>
      <c r="I61" s="51">
        <v>0</v>
      </c>
      <c r="J61" s="51">
        <v>0</v>
      </c>
      <c r="K61" s="51">
        <v>0</v>
      </c>
      <c r="L61" s="51">
        <v>0</v>
      </c>
      <c r="M61" s="51">
        <v>0</v>
      </c>
      <c r="N61" s="51">
        <v>0</v>
      </c>
      <c r="O61" s="142">
        <f t="shared" si="2"/>
        <v>0</v>
      </c>
      <c r="P61" s="59"/>
      <c r="Q61" s="46" t="s">
        <v>549</v>
      </c>
    </row>
    <row r="62" spans="1:17" ht="45" hidden="1" customHeight="1">
      <c r="A62" s="153" t="s">
        <v>221</v>
      </c>
      <c r="B62" s="39">
        <v>0</v>
      </c>
      <c r="C62" s="141" t="s">
        <v>267</v>
      </c>
      <c r="D62" s="141" t="s">
        <v>6</v>
      </c>
      <c r="E62" s="141"/>
      <c r="F62" s="141"/>
      <c r="G62" s="141"/>
      <c r="H62" s="29">
        <v>0</v>
      </c>
      <c r="I62" s="145">
        <v>0</v>
      </c>
      <c r="J62" s="145">
        <v>0</v>
      </c>
      <c r="K62" s="145">
        <v>0</v>
      </c>
      <c r="L62" s="145">
        <v>0</v>
      </c>
      <c r="M62" s="145">
        <v>0</v>
      </c>
      <c r="N62" s="145">
        <v>0</v>
      </c>
      <c r="O62" s="142">
        <f t="shared" si="2"/>
        <v>0</v>
      </c>
      <c r="P62" s="59"/>
      <c r="Q62" s="143" t="s">
        <v>222</v>
      </c>
    </row>
    <row r="63" spans="1:17" ht="45" hidden="1" customHeight="1">
      <c r="A63" s="153" t="s">
        <v>468</v>
      </c>
      <c r="B63" s="39">
        <v>0</v>
      </c>
      <c r="C63" s="141" t="s">
        <v>150</v>
      </c>
      <c r="D63" s="141" t="s">
        <v>10</v>
      </c>
      <c r="E63" s="141" t="s">
        <v>44</v>
      </c>
      <c r="F63" s="141" t="s">
        <v>38</v>
      </c>
      <c r="G63" s="141"/>
      <c r="H63" s="29">
        <v>0</v>
      </c>
      <c r="I63" s="29">
        <v>3</v>
      </c>
      <c r="J63" s="29">
        <v>0</v>
      </c>
      <c r="K63" s="29">
        <v>3</v>
      </c>
      <c r="L63" s="29">
        <v>0</v>
      </c>
      <c r="M63" s="29">
        <v>0</v>
      </c>
      <c r="N63" s="29" t="s">
        <v>118</v>
      </c>
      <c r="O63" s="142">
        <f t="shared" si="2"/>
        <v>1</v>
      </c>
      <c r="P63" s="59"/>
      <c r="Q63" s="143" t="s">
        <v>550</v>
      </c>
    </row>
    <row r="64" spans="1:17" ht="45" hidden="1" customHeight="1">
      <c r="A64" s="40" t="s">
        <v>130</v>
      </c>
      <c r="B64" s="39">
        <v>0</v>
      </c>
      <c r="C64" s="141" t="s">
        <v>123</v>
      </c>
      <c r="D64" s="141" t="s">
        <v>26</v>
      </c>
      <c r="E64" s="141" t="s">
        <v>44</v>
      </c>
      <c r="F64" s="141" t="s">
        <v>40</v>
      </c>
      <c r="G64" s="42"/>
      <c r="H64" s="139">
        <v>1</v>
      </c>
      <c r="I64" s="139">
        <v>1</v>
      </c>
      <c r="J64" s="139">
        <v>1</v>
      </c>
      <c r="K64" s="139">
        <v>1</v>
      </c>
      <c r="L64" s="139">
        <v>1</v>
      </c>
      <c r="M64" s="139">
        <v>0</v>
      </c>
      <c r="N64" s="139">
        <v>0</v>
      </c>
      <c r="O64" s="142">
        <f t="shared" si="2"/>
        <v>0.7142857142857143</v>
      </c>
      <c r="P64" s="59"/>
      <c r="Q64" s="138" t="s">
        <v>432</v>
      </c>
    </row>
    <row r="65" spans="1:17" ht="45" hidden="1" customHeight="1">
      <c r="A65" s="153" t="s">
        <v>173</v>
      </c>
      <c r="B65" s="39">
        <v>0</v>
      </c>
      <c r="C65" s="141" t="s">
        <v>174</v>
      </c>
      <c r="D65" s="141" t="s">
        <v>6</v>
      </c>
      <c r="E65" s="141"/>
      <c r="F65" s="141"/>
      <c r="G65" s="42"/>
      <c r="H65" s="139" t="s">
        <v>118</v>
      </c>
      <c r="I65" s="139" t="s">
        <v>118</v>
      </c>
      <c r="J65" s="139" t="s">
        <v>118</v>
      </c>
      <c r="K65" s="139" t="s">
        <v>118</v>
      </c>
      <c r="L65" s="139" t="s">
        <v>118</v>
      </c>
      <c r="M65" s="139" t="s">
        <v>118</v>
      </c>
      <c r="N65" s="139" t="s">
        <v>118</v>
      </c>
      <c r="O65" s="142" t="e">
        <f t="shared" si="2"/>
        <v>#DIV/0!</v>
      </c>
      <c r="P65" s="59"/>
      <c r="Q65" s="138" t="s">
        <v>551</v>
      </c>
    </row>
    <row r="66" spans="1:17" ht="45" hidden="1" customHeight="1">
      <c r="A66" s="28" t="s">
        <v>433</v>
      </c>
      <c r="B66" s="39">
        <v>0</v>
      </c>
      <c r="C66" s="141" t="s">
        <v>150</v>
      </c>
      <c r="D66" s="35" t="s">
        <v>26</v>
      </c>
      <c r="E66" s="35" t="s">
        <v>48</v>
      </c>
      <c r="F66" s="35"/>
      <c r="G66" s="43"/>
      <c r="H66" s="139">
        <v>0</v>
      </c>
      <c r="I66" s="139">
        <v>0</v>
      </c>
      <c r="J66" s="139">
        <v>0</v>
      </c>
      <c r="K66" s="139">
        <v>0</v>
      </c>
      <c r="L66" s="139">
        <v>0</v>
      </c>
      <c r="M66" s="139">
        <v>0</v>
      </c>
      <c r="N66" s="139">
        <v>0</v>
      </c>
      <c r="O66" s="142">
        <f t="shared" si="2"/>
        <v>0</v>
      </c>
      <c r="P66" s="59"/>
      <c r="Q66" s="138" t="s">
        <v>552</v>
      </c>
    </row>
    <row r="67" spans="1:17" ht="45" hidden="1" customHeight="1">
      <c r="A67" s="140" t="s">
        <v>176</v>
      </c>
      <c r="B67" s="39">
        <v>0</v>
      </c>
      <c r="C67" s="141" t="s">
        <v>174</v>
      </c>
      <c r="D67" s="141"/>
      <c r="E67" s="141"/>
      <c r="F67" s="141"/>
      <c r="G67" s="42"/>
      <c r="H67" s="139" t="s">
        <v>118</v>
      </c>
      <c r="I67" s="139" t="s">
        <v>118</v>
      </c>
      <c r="J67" s="139" t="s">
        <v>118</v>
      </c>
      <c r="K67" s="139" t="s">
        <v>118</v>
      </c>
      <c r="L67" s="139" t="s">
        <v>118</v>
      </c>
      <c r="M67" s="139" t="s">
        <v>118</v>
      </c>
      <c r="N67" s="139" t="s">
        <v>118</v>
      </c>
      <c r="O67" s="142" t="e">
        <f t="shared" si="2"/>
        <v>#DIV/0!</v>
      </c>
      <c r="P67" s="59"/>
      <c r="Q67" s="138" t="s">
        <v>553</v>
      </c>
    </row>
    <row r="68" spans="1:17" ht="45" hidden="1" customHeight="1">
      <c r="A68" s="140" t="s">
        <v>246</v>
      </c>
      <c r="B68" s="39">
        <v>0</v>
      </c>
      <c r="C68" s="141" t="s">
        <v>150</v>
      </c>
      <c r="D68" s="141" t="s">
        <v>6</v>
      </c>
      <c r="E68" s="141"/>
      <c r="F68" s="141"/>
      <c r="G68" s="42"/>
      <c r="H68" s="139" t="s">
        <v>118</v>
      </c>
      <c r="I68" s="139" t="s">
        <v>118</v>
      </c>
      <c r="J68" s="139" t="s">
        <v>118</v>
      </c>
      <c r="K68" s="139" t="s">
        <v>118</v>
      </c>
      <c r="L68" s="139" t="s">
        <v>118</v>
      </c>
      <c r="M68" s="139" t="s">
        <v>118</v>
      </c>
      <c r="N68" s="139" t="s">
        <v>118</v>
      </c>
      <c r="O68" s="142" t="e">
        <f t="shared" si="2"/>
        <v>#DIV/0!</v>
      </c>
      <c r="P68" s="59"/>
      <c r="Q68" s="138" t="s">
        <v>566</v>
      </c>
    </row>
    <row r="69" spans="1:17" ht="45" hidden="1" customHeight="1">
      <c r="A69" s="140" t="s">
        <v>184</v>
      </c>
      <c r="B69" s="39">
        <v>0</v>
      </c>
      <c r="C69" s="141" t="s">
        <v>174</v>
      </c>
      <c r="D69" s="141" t="s">
        <v>14</v>
      </c>
      <c r="E69" s="141"/>
      <c r="F69" s="141"/>
      <c r="G69" s="42"/>
      <c r="H69" s="139">
        <v>0</v>
      </c>
      <c r="I69" s="139">
        <v>0</v>
      </c>
      <c r="J69" s="139">
        <v>0</v>
      </c>
      <c r="K69" s="139">
        <v>0</v>
      </c>
      <c r="L69" s="139">
        <v>0</v>
      </c>
      <c r="M69" s="139">
        <v>0</v>
      </c>
      <c r="N69" s="139">
        <v>0</v>
      </c>
      <c r="O69" s="142">
        <f t="shared" si="2"/>
        <v>0</v>
      </c>
      <c r="P69" s="59"/>
      <c r="Q69" s="138" t="s">
        <v>554</v>
      </c>
    </row>
    <row r="70" spans="1:17" ht="45" hidden="1" customHeight="1">
      <c r="A70" s="140" t="s">
        <v>182</v>
      </c>
      <c r="B70" s="39">
        <v>0</v>
      </c>
      <c r="C70" s="141" t="s">
        <v>174</v>
      </c>
      <c r="D70" s="141" t="s">
        <v>14</v>
      </c>
      <c r="E70" s="141"/>
      <c r="F70" s="141"/>
      <c r="G70" s="42"/>
      <c r="H70" s="50">
        <v>0</v>
      </c>
      <c r="I70" s="50">
        <v>0</v>
      </c>
      <c r="J70" s="50">
        <v>0</v>
      </c>
      <c r="K70" s="50">
        <v>0</v>
      </c>
      <c r="L70" s="50">
        <v>0</v>
      </c>
      <c r="M70" s="50">
        <v>0</v>
      </c>
      <c r="N70" s="50">
        <v>0</v>
      </c>
      <c r="O70" s="142">
        <f t="shared" si="2"/>
        <v>0</v>
      </c>
      <c r="P70" s="59"/>
      <c r="Q70" s="148" t="s">
        <v>555</v>
      </c>
    </row>
    <row r="71" spans="1:17" ht="45" hidden="1" customHeight="1">
      <c r="A71" s="58" t="s">
        <v>122</v>
      </c>
      <c r="B71" s="39">
        <v>0</v>
      </c>
      <c r="C71" s="141" t="s">
        <v>123</v>
      </c>
      <c r="D71" s="141" t="s">
        <v>14</v>
      </c>
      <c r="E71" s="141" t="s">
        <v>44</v>
      </c>
      <c r="F71" s="141" t="s">
        <v>40</v>
      </c>
      <c r="G71" s="141"/>
      <c r="H71" s="50">
        <v>3</v>
      </c>
      <c r="I71" s="50">
        <v>0</v>
      </c>
      <c r="J71" s="50">
        <v>4</v>
      </c>
      <c r="K71" s="50">
        <v>1</v>
      </c>
      <c r="L71" s="50" t="s">
        <v>118</v>
      </c>
      <c r="M71" s="50">
        <v>2</v>
      </c>
      <c r="N71" s="50" t="s">
        <v>118</v>
      </c>
      <c r="O71" s="142">
        <f t="shared" si="2"/>
        <v>2</v>
      </c>
      <c r="P71" s="59"/>
      <c r="Q71" s="148" t="s">
        <v>556</v>
      </c>
    </row>
    <row r="72" spans="1:17" ht="45" hidden="1" customHeight="1">
      <c r="A72" s="140" t="s">
        <v>223</v>
      </c>
      <c r="B72" s="39">
        <v>0</v>
      </c>
      <c r="C72" s="141" t="s">
        <v>267</v>
      </c>
      <c r="D72" s="141" t="s">
        <v>6</v>
      </c>
      <c r="E72" s="141"/>
      <c r="F72" s="141"/>
      <c r="G72" s="141"/>
      <c r="H72" s="139">
        <v>0</v>
      </c>
      <c r="I72" s="139">
        <v>0</v>
      </c>
      <c r="J72" s="139">
        <v>0</v>
      </c>
      <c r="K72" s="139">
        <v>0</v>
      </c>
      <c r="L72" s="139">
        <v>0</v>
      </c>
      <c r="M72" s="139">
        <v>0</v>
      </c>
      <c r="N72" s="139">
        <v>0</v>
      </c>
      <c r="O72" s="142">
        <f t="shared" si="2"/>
        <v>0</v>
      </c>
      <c r="P72" s="59"/>
      <c r="Q72" s="138" t="s">
        <v>475</v>
      </c>
    </row>
    <row r="73" spans="1:17" ht="45" hidden="1" customHeight="1">
      <c r="A73" s="140" t="s">
        <v>437</v>
      </c>
      <c r="B73" s="39">
        <v>0</v>
      </c>
      <c r="C73" s="21" t="s">
        <v>123</v>
      </c>
      <c r="D73" s="21" t="s">
        <v>6</v>
      </c>
      <c r="E73" s="21"/>
      <c r="F73" s="21"/>
      <c r="G73" s="21"/>
      <c r="H73" s="22">
        <v>0</v>
      </c>
      <c r="I73" s="22">
        <v>0</v>
      </c>
      <c r="J73" s="22">
        <v>0</v>
      </c>
      <c r="K73" s="22">
        <v>0</v>
      </c>
      <c r="L73" s="22">
        <v>0</v>
      </c>
      <c r="M73" s="22">
        <v>0</v>
      </c>
      <c r="N73" s="22">
        <v>0</v>
      </c>
      <c r="O73" s="142">
        <f t="shared" si="2"/>
        <v>0</v>
      </c>
      <c r="P73" s="59"/>
      <c r="Q73" s="24" t="s">
        <v>314</v>
      </c>
    </row>
    <row r="74" spans="1:17" ht="45" hidden="1" customHeight="1">
      <c r="A74" s="140" t="s">
        <v>138</v>
      </c>
      <c r="B74" s="39">
        <v>0</v>
      </c>
      <c r="C74" s="53" t="s">
        <v>150</v>
      </c>
      <c r="D74" s="141" t="s">
        <v>26</v>
      </c>
      <c r="E74" s="141" t="s">
        <v>48</v>
      </c>
      <c r="F74" s="141"/>
      <c r="G74" s="141"/>
      <c r="H74" s="139">
        <v>1</v>
      </c>
      <c r="I74" s="139">
        <v>0</v>
      </c>
      <c r="J74" s="139">
        <v>0</v>
      </c>
      <c r="K74" s="139">
        <v>0</v>
      </c>
      <c r="L74" s="139">
        <v>0</v>
      </c>
      <c r="M74" s="139">
        <v>1</v>
      </c>
      <c r="N74" s="139">
        <v>0</v>
      </c>
      <c r="O74" s="142">
        <f t="shared" si="2"/>
        <v>0.2857142857142857</v>
      </c>
      <c r="P74" s="59"/>
      <c r="Q74" s="138" t="s">
        <v>347</v>
      </c>
    </row>
    <row r="75" spans="1:17" ht="45" hidden="1" customHeight="1">
      <c r="A75" s="140" t="s">
        <v>217</v>
      </c>
      <c r="B75" s="39">
        <v>0</v>
      </c>
      <c r="C75" s="141" t="s">
        <v>123</v>
      </c>
      <c r="D75" s="141" t="s">
        <v>6</v>
      </c>
      <c r="E75" s="141"/>
      <c r="F75" s="141"/>
      <c r="G75" s="141"/>
      <c r="H75" s="139">
        <v>0</v>
      </c>
      <c r="I75" s="139">
        <v>0</v>
      </c>
      <c r="J75" s="139">
        <v>0</v>
      </c>
      <c r="K75" s="139">
        <v>0</v>
      </c>
      <c r="L75" s="139">
        <v>0</v>
      </c>
      <c r="M75" s="139">
        <v>0</v>
      </c>
      <c r="N75" s="139">
        <v>0</v>
      </c>
      <c r="O75" s="142">
        <f t="shared" si="2"/>
        <v>0</v>
      </c>
      <c r="P75" s="59"/>
      <c r="Q75" s="138" t="s">
        <v>557</v>
      </c>
    </row>
    <row r="76" spans="1:17" ht="45" hidden="1" customHeight="1">
      <c r="A76" s="41" t="s">
        <v>171</v>
      </c>
      <c r="B76" s="39">
        <v>0</v>
      </c>
      <c r="C76" s="141" t="s">
        <v>150</v>
      </c>
      <c r="D76" s="141" t="s">
        <v>6</v>
      </c>
      <c r="E76" s="141"/>
      <c r="F76" s="141" t="s">
        <v>41</v>
      </c>
      <c r="G76" s="141"/>
      <c r="H76" s="54">
        <v>0</v>
      </c>
      <c r="I76" s="139">
        <v>0</v>
      </c>
      <c r="J76" s="139">
        <v>0</v>
      </c>
      <c r="K76" s="139">
        <v>0</v>
      </c>
      <c r="L76" s="139">
        <v>0</v>
      </c>
      <c r="M76" s="139">
        <v>0</v>
      </c>
      <c r="N76" s="139">
        <v>0</v>
      </c>
      <c r="O76" s="142">
        <f t="shared" si="2"/>
        <v>0</v>
      </c>
      <c r="P76" s="59"/>
      <c r="Q76" s="138" t="s">
        <v>520</v>
      </c>
    </row>
    <row r="77" spans="1:17" ht="45" hidden="1" customHeight="1">
      <c r="A77" s="140" t="s">
        <v>521</v>
      </c>
      <c r="B77" s="39">
        <v>0</v>
      </c>
      <c r="C77" s="141" t="s">
        <v>150</v>
      </c>
      <c r="D77" s="141"/>
      <c r="E77" s="141"/>
      <c r="F77" s="141"/>
      <c r="G77" s="141"/>
      <c r="H77" s="139"/>
      <c r="I77" s="139"/>
      <c r="J77" s="139"/>
      <c r="K77" s="139"/>
      <c r="L77" s="139"/>
      <c r="M77" s="139"/>
      <c r="N77" s="139"/>
      <c r="O77" s="142"/>
      <c r="P77" s="59"/>
      <c r="Q77" s="138" t="s">
        <v>522</v>
      </c>
    </row>
    <row r="78" spans="1:17" ht="45" hidden="1" customHeight="1">
      <c r="A78" s="140"/>
      <c r="B78" s="39">
        <v>0</v>
      </c>
      <c r="C78" s="21"/>
      <c r="D78" s="21"/>
      <c r="E78" s="21"/>
      <c r="F78" s="21"/>
      <c r="G78" s="21"/>
      <c r="H78" s="22"/>
      <c r="I78" s="22"/>
      <c r="J78" s="22"/>
      <c r="K78" s="22"/>
      <c r="L78" s="22"/>
      <c r="M78" s="22"/>
      <c r="N78" s="22"/>
      <c r="O78" s="142" t="e">
        <f t="shared" ref="O78:O85" si="3">AVERAGE(H78:N78)</f>
        <v>#DIV/0!</v>
      </c>
      <c r="P78" s="59"/>
      <c r="Q78" s="24"/>
    </row>
    <row r="79" spans="1:17" ht="45" hidden="1" customHeight="1">
      <c r="A79" s="140"/>
      <c r="B79" s="39">
        <v>0</v>
      </c>
      <c r="C79" s="21"/>
      <c r="D79" s="21"/>
      <c r="E79" s="21"/>
      <c r="F79" s="21"/>
      <c r="G79" s="21"/>
      <c r="H79" s="22"/>
      <c r="I79" s="22"/>
      <c r="J79" s="22"/>
      <c r="K79" s="22"/>
      <c r="L79" s="22"/>
      <c r="M79" s="22"/>
      <c r="N79" s="22"/>
      <c r="O79" s="142" t="e">
        <f t="shared" si="3"/>
        <v>#DIV/0!</v>
      </c>
      <c r="P79" s="59"/>
      <c r="Q79" s="24"/>
    </row>
    <row r="80" spans="1:17" ht="45" hidden="1" customHeight="1">
      <c r="A80" s="140"/>
      <c r="B80" s="39">
        <v>0</v>
      </c>
      <c r="C80" s="21"/>
      <c r="D80" s="21"/>
      <c r="E80" s="21"/>
      <c r="F80" s="21"/>
      <c r="G80" s="21"/>
      <c r="H80" s="22">
        <v>0</v>
      </c>
      <c r="I80" s="22">
        <v>0</v>
      </c>
      <c r="J80" s="22">
        <v>0</v>
      </c>
      <c r="K80" s="22">
        <v>0</v>
      </c>
      <c r="L80" s="22">
        <v>0</v>
      </c>
      <c r="M80" s="22">
        <v>0</v>
      </c>
      <c r="N80" s="22">
        <v>0</v>
      </c>
      <c r="O80" s="142">
        <f t="shared" si="3"/>
        <v>0</v>
      </c>
      <c r="P80" s="59"/>
      <c r="Q80" s="24"/>
    </row>
    <row r="81" spans="1:17" ht="45" hidden="1" customHeight="1">
      <c r="A81" s="140"/>
      <c r="B81" s="39">
        <v>0</v>
      </c>
      <c r="C81" s="21"/>
      <c r="D81" s="21"/>
      <c r="E81" s="21"/>
      <c r="F81" s="21"/>
      <c r="G81" s="21"/>
      <c r="H81" s="22"/>
      <c r="I81" s="22"/>
      <c r="J81" s="22"/>
      <c r="K81" s="22"/>
      <c r="L81" s="22"/>
      <c r="M81" s="22"/>
      <c r="N81" s="22"/>
      <c r="O81" s="142" t="e">
        <f t="shared" si="3"/>
        <v>#DIV/0!</v>
      </c>
      <c r="P81" s="59"/>
      <c r="Q81" s="24"/>
    </row>
    <row r="82" spans="1:17" ht="45" hidden="1" customHeight="1">
      <c r="A82" s="140"/>
      <c r="B82" s="39">
        <v>0</v>
      </c>
      <c r="C82" s="21"/>
      <c r="D82" s="21"/>
      <c r="E82" s="21"/>
      <c r="F82" s="21"/>
      <c r="G82" s="21"/>
      <c r="H82" s="22"/>
      <c r="I82" s="22"/>
      <c r="J82" s="22"/>
      <c r="K82" s="22"/>
      <c r="L82" s="22"/>
      <c r="M82" s="22"/>
      <c r="N82" s="22"/>
      <c r="O82" s="142" t="e">
        <f t="shared" si="3"/>
        <v>#DIV/0!</v>
      </c>
      <c r="P82" s="59"/>
      <c r="Q82" s="24"/>
    </row>
    <row r="83" spans="1:17" ht="45" hidden="1" customHeight="1">
      <c r="A83" s="140"/>
      <c r="B83" s="39">
        <v>0</v>
      </c>
      <c r="C83" s="21"/>
      <c r="D83" s="21"/>
      <c r="E83" s="21"/>
      <c r="F83" s="21"/>
      <c r="G83" s="21"/>
      <c r="H83" s="22">
        <v>0</v>
      </c>
      <c r="I83" s="22">
        <v>0</v>
      </c>
      <c r="J83" s="22">
        <v>0</v>
      </c>
      <c r="K83" s="22">
        <v>0</v>
      </c>
      <c r="L83" s="22">
        <v>0</v>
      </c>
      <c r="M83" s="22">
        <v>0</v>
      </c>
      <c r="N83" s="22">
        <v>0</v>
      </c>
      <c r="O83" s="142">
        <f t="shared" si="3"/>
        <v>0</v>
      </c>
      <c r="P83" s="59"/>
      <c r="Q83" s="24"/>
    </row>
    <row r="84" spans="1:17" ht="45" hidden="1" customHeight="1">
      <c r="A84" s="140"/>
      <c r="B84" s="39">
        <v>0</v>
      </c>
      <c r="C84" s="21"/>
      <c r="D84" s="21"/>
      <c r="E84" s="21"/>
      <c r="F84" s="21"/>
      <c r="G84" s="21"/>
      <c r="H84" s="22" t="s">
        <v>118</v>
      </c>
      <c r="I84" s="22"/>
      <c r="J84" s="22"/>
      <c r="K84" s="22"/>
      <c r="L84" s="22"/>
      <c r="M84" s="22"/>
      <c r="N84" s="22"/>
      <c r="O84" s="142" t="e">
        <f t="shared" si="3"/>
        <v>#DIV/0!</v>
      </c>
      <c r="P84" s="59"/>
      <c r="Q84" s="24"/>
    </row>
    <row r="85" spans="1:17" ht="45" hidden="1" customHeight="1">
      <c r="A85" s="140"/>
      <c r="B85" s="39">
        <v>0</v>
      </c>
      <c r="C85" s="21"/>
      <c r="D85" s="21"/>
      <c r="E85" s="21"/>
      <c r="F85" s="21"/>
      <c r="G85" s="21"/>
      <c r="H85" s="22"/>
      <c r="I85" s="22"/>
      <c r="J85" s="22"/>
      <c r="K85" s="22"/>
      <c r="L85" s="22"/>
      <c r="M85" s="22"/>
      <c r="N85" s="22"/>
      <c r="O85" s="142" t="e">
        <f t="shared" si="3"/>
        <v>#DIV/0!</v>
      </c>
      <c r="P85" s="59"/>
      <c r="Q85" s="24"/>
    </row>
    <row r="86" spans="1:17" ht="45" hidden="1" customHeight="1">
      <c r="A86" s="140"/>
      <c r="B86" s="39">
        <v>0</v>
      </c>
      <c r="C86" s="21"/>
      <c r="D86" s="21"/>
      <c r="E86" s="21"/>
      <c r="F86" s="21"/>
      <c r="G86" s="21"/>
      <c r="H86" s="22">
        <v>0</v>
      </c>
      <c r="I86" s="22">
        <v>0</v>
      </c>
      <c r="J86" s="22">
        <v>0</v>
      </c>
      <c r="K86" s="22">
        <v>0</v>
      </c>
      <c r="L86" s="22">
        <v>0</v>
      </c>
      <c r="M86" s="22">
        <v>0</v>
      </c>
      <c r="N86" s="22">
        <v>0</v>
      </c>
      <c r="O86" s="23">
        <f t="shared" ref="O86:O117" si="4">AVERAGE(H86:N88)</f>
        <v>0</v>
      </c>
      <c r="P86" s="23"/>
      <c r="Q86" s="24"/>
    </row>
    <row r="87" spans="1:17" ht="45" hidden="1" customHeight="1">
      <c r="A87" s="140"/>
      <c r="B87" s="39">
        <v>0</v>
      </c>
      <c r="C87" s="21"/>
      <c r="D87" s="21"/>
      <c r="E87" s="21"/>
      <c r="F87" s="21"/>
      <c r="G87" s="21"/>
      <c r="H87" s="22">
        <v>0</v>
      </c>
      <c r="I87" s="22">
        <v>0</v>
      </c>
      <c r="J87" s="22">
        <v>0</v>
      </c>
      <c r="K87" s="22">
        <v>0</v>
      </c>
      <c r="L87" s="22">
        <v>0</v>
      </c>
      <c r="M87" s="22">
        <v>0</v>
      </c>
      <c r="N87" s="22">
        <v>0</v>
      </c>
      <c r="O87" s="23">
        <f t="shared" si="4"/>
        <v>0</v>
      </c>
      <c r="P87" s="23"/>
      <c r="Q87" s="24"/>
    </row>
    <row r="88" spans="1:17" ht="45" hidden="1" customHeight="1">
      <c r="A88" s="140"/>
      <c r="B88" s="39">
        <v>0</v>
      </c>
      <c r="C88" s="21"/>
      <c r="D88" s="21"/>
      <c r="E88" s="21"/>
      <c r="F88" s="21"/>
      <c r="G88" s="21"/>
      <c r="H88" s="22">
        <v>0</v>
      </c>
      <c r="I88" s="22">
        <v>0</v>
      </c>
      <c r="J88" s="22">
        <v>0</v>
      </c>
      <c r="K88" s="22">
        <v>0</v>
      </c>
      <c r="L88" s="22">
        <v>0</v>
      </c>
      <c r="M88" s="22">
        <v>0</v>
      </c>
      <c r="N88" s="22">
        <v>0</v>
      </c>
      <c r="O88" s="23">
        <f t="shared" si="4"/>
        <v>0</v>
      </c>
      <c r="P88" s="23"/>
      <c r="Q88" s="24"/>
    </row>
    <row r="89" spans="1:17" ht="45" hidden="1" customHeight="1">
      <c r="A89" s="140"/>
      <c r="B89" s="39">
        <v>0</v>
      </c>
      <c r="C89" s="21"/>
      <c r="D89" s="21"/>
      <c r="E89" s="21"/>
      <c r="F89" s="21"/>
      <c r="G89" s="21"/>
      <c r="H89" s="22">
        <v>0</v>
      </c>
      <c r="I89" s="22">
        <v>0</v>
      </c>
      <c r="J89" s="22">
        <v>0</v>
      </c>
      <c r="K89" s="22">
        <v>0</v>
      </c>
      <c r="L89" s="22">
        <v>0</v>
      </c>
      <c r="M89" s="22">
        <v>0</v>
      </c>
      <c r="N89" s="22">
        <v>0</v>
      </c>
      <c r="O89" s="23">
        <f t="shared" si="4"/>
        <v>0</v>
      </c>
      <c r="P89" s="23"/>
      <c r="Q89" s="24"/>
    </row>
    <row r="90" spans="1:17" ht="45" hidden="1" customHeight="1">
      <c r="A90" s="140"/>
      <c r="B90" s="39">
        <v>0</v>
      </c>
      <c r="C90" s="21"/>
      <c r="D90" s="21"/>
      <c r="E90" s="21"/>
      <c r="F90" s="21"/>
      <c r="G90" s="21"/>
      <c r="H90" s="22">
        <v>0</v>
      </c>
      <c r="I90" s="22">
        <v>0</v>
      </c>
      <c r="J90" s="22">
        <v>0</v>
      </c>
      <c r="K90" s="22">
        <v>0</v>
      </c>
      <c r="L90" s="22">
        <v>0</v>
      </c>
      <c r="M90" s="22">
        <v>0</v>
      </c>
      <c r="N90" s="22">
        <v>0</v>
      </c>
      <c r="O90" s="23">
        <f t="shared" si="4"/>
        <v>0</v>
      </c>
      <c r="P90" s="23"/>
      <c r="Q90" s="24"/>
    </row>
    <row r="91" spans="1:17" ht="45" hidden="1" customHeight="1">
      <c r="A91" s="140"/>
      <c r="B91" s="39">
        <v>0</v>
      </c>
      <c r="C91" s="21"/>
      <c r="D91" s="21"/>
      <c r="E91" s="21"/>
      <c r="F91" s="21"/>
      <c r="G91" s="21"/>
      <c r="H91" s="22">
        <v>0</v>
      </c>
      <c r="I91" s="22">
        <v>0</v>
      </c>
      <c r="J91" s="22">
        <v>0</v>
      </c>
      <c r="K91" s="22">
        <v>0</v>
      </c>
      <c r="L91" s="22">
        <v>0</v>
      </c>
      <c r="M91" s="22">
        <v>0</v>
      </c>
      <c r="N91" s="22">
        <v>0</v>
      </c>
      <c r="O91" s="23">
        <f t="shared" si="4"/>
        <v>0</v>
      </c>
      <c r="P91" s="23"/>
      <c r="Q91" s="24"/>
    </row>
    <row r="92" spans="1:17" ht="45" hidden="1" customHeight="1">
      <c r="A92" s="140"/>
      <c r="B92" s="39">
        <v>0</v>
      </c>
      <c r="C92" s="21"/>
      <c r="D92" s="21"/>
      <c r="E92" s="21"/>
      <c r="F92" s="21"/>
      <c r="G92" s="21"/>
      <c r="H92" s="22">
        <v>0</v>
      </c>
      <c r="I92" s="22">
        <v>0</v>
      </c>
      <c r="J92" s="22">
        <v>0</v>
      </c>
      <c r="K92" s="22">
        <v>0</v>
      </c>
      <c r="L92" s="22">
        <v>0</v>
      </c>
      <c r="M92" s="22">
        <v>0</v>
      </c>
      <c r="N92" s="22">
        <v>0</v>
      </c>
      <c r="O92" s="23">
        <f t="shared" si="4"/>
        <v>0</v>
      </c>
      <c r="P92" s="23"/>
      <c r="Q92" s="24"/>
    </row>
    <row r="93" spans="1:17" ht="45" hidden="1" customHeight="1">
      <c r="A93" s="140"/>
      <c r="B93" s="39">
        <v>0</v>
      </c>
      <c r="C93" s="21"/>
      <c r="D93" s="21"/>
      <c r="E93" s="21"/>
      <c r="F93" s="21"/>
      <c r="G93" s="21"/>
      <c r="H93" s="22">
        <v>0</v>
      </c>
      <c r="I93" s="22">
        <v>0</v>
      </c>
      <c r="J93" s="22">
        <v>0</v>
      </c>
      <c r="K93" s="22">
        <v>0</v>
      </c>
      <c r="L93" s="22">
        <v>0</v>
      </c>
      <c r="M93" s="22">
        <v>0</v>
      </c>
      <c r="N93" s="22">
        <v>0</v>
      </c>
      <c r="O93" s="23">
        <f t="shared" si="4"/>
        <v>0</v>
      </c>
      <c r="P93" s="23"/>
      <c r="Q93" s="24"/>
    </row>
    <row r="94" spans="1:17" ht="45" hidden="1" customHeight="1">
      <c r="A94" s="140"/>
      <c r="B94" s="39">
        <v>0</v>
      </c>
      <c r="C94" s="21"/>
      <c r="D94" s="21"/>
      <c r="E94" s="21"/>
      <c r="F94" s="21"/>
      <c r="G94" s="21"/>
      <c r="H94" s="22">
        <v>0</v>
      </c>
      <c r="I94" s="22">
        <v>0</v>
      </c>
      <c r="J94" s="22">
        <v>0</v>
      </c>
      <c r="K94" s="22">
        <v>0</v>
      </c>
      <c r="L94" s="22">
        <v>0</v>
      </c>
      <c r="M94" s="22">
        <v>0</v>
      </c>
      <c r="N94" s="22">
        <v>0</v>
      </c>
      <c r="O94" s="23">
        <f t="shared" si="4"/>
        <v>0</v>
      </c>
      <c r="P94" s="23"/>
      <c r="Q94" s="24"/>
    </row>
    <row r="95" spans="1:17" ht="45" hidden="1" customHeight="1">
      <c r="A95" s="140"/>
      <c r="B95" s="39">
        <v>0</v>
      </c>
      <c r="C95" s="21"/>
      <c r="D95" s="21"/>
      <c r="E95" s="21"/>
      <c r="F95" s="21"/>
      <c r="G95" s="21"/>
      <c r="H95" s="22">
        <v>0</v>
      </c>
      <c r="I95" s="22">
        <v>0</v>
      </c>
      <c r="J95" s="22">
        <v>0</v>
      </c>
      <c r="K95" s="22">
        <v>0</v>
      </c>
      <c r="L95" s="22">
        <v>0</v>
      </c>
      <c r="M95" s="22">
        <v>0</v>
      </c>
      <c r="N95" s="22">
        <v>0</v>
      </c>
      <c r="O95" s="23">
        <f t="shared" si="4"/>
        <v>0</v>
      </c>
      <c r="P95" s="23"/>
      <c r="Q95" s="24"/>
    </row>
    <row r="96" spans="1:17" ht="45" hidden="1" customHeight="1">
      <c r="A96" s="140"/>
      <c r="B96" s="39">
        <v>0</v>
      </c>
      <c r="C96" s="21"/>
      <c r="D96" s="21"/>
      <c r="E96" s="21"/>
      <c r="F96" s="21"/>
      <c r="G96" s="21"/>
      <c r="H96" s="22">
        <v>0</v>
      </c>
      <c r="I96" s="22">
        <v>0</v>
      </c>
      <c r="J96" s="22">
        <v>0</v>
      </c>
      <c r="K96" s="22">
        <v>0</v>
      </c>
      <c r="L96" s="22">
        <v>0</v>
      </c>
      <c r="M96" s="22">
        <v>0</v>
      </c>
      <c r="N96" s="22">
        <v>0</v>
      </c>
      <c r="O96" s="23">
        <f t="shared" si="4"/>
        <v>0</v>
      </c>
      <c r="P96" s="23"/>
      <c r="Q96" s="24"/>
    </row>
    <row r="97" spans="1:17" ht="45" hidden="1" customHeight="1">
      <c r="A97" s="140"/>
      <c r="B97" s="39">
        <v>0</v>
      </c>
      <c r="C97" s="21"/>
      <c r="D97" s="21"/>
      <c r="E97" s="21"/>
      <c r="F97" s="21"/>
      <c r="G97" s="21"/>
      <c r="H97" s="22">
        <v>0</v>
      </c>
      <c r="I97" s="22">
        <v>0</v>
      </c>
      <c r="J97" s="22">
        <v>0</v>
      </c>
      <c r="K97" s="22">
        <v>0</v>
      </c>
      <c r="L97" s="22">
        <v>0</v>
      </c>
      <c r="M97" s="22">
        <v>0</v>
      </c>
      <c r="N97" s="22">
        <v>0</v>
      </c>
      <c r="O97" s="23">
        <f t="shared" si="4"/>
        <v>0</v>
      </c>
      <c r="P97" s="23"/>
      <c r="Q97" s="24"/>
    </row>
    <row r="98" spans="1:17" ht="45" hidden="1" customHeight="1">
      <c r="A98" s="140"/>
      <c r="B98" s="39">
        <v>0</v>
      </c>
      <c r="C98" s="21"/>
      <c r="D98" s="21"/>
      <c r="E98" s="21"/>
      <c r="F98" s="21"/>
      <c r="G98" s="21"/>
      <c r="H98" s="22">
        <v>0</v>
      </c>
      <c r="I98" s="22">
        <v>0</v>
      </c>
      <c r="J98" s="22">
        <v>0</v>
      </c>
      <c r="K98" s="22">
        <v>0</v>
      </c>
      <c r="L98" s="22">
        <v>0</v>
      </c>
      <c r="M98" s="22">
        <v>0</v>
      </c>
      <c r="N98" s="22">
        <v>0</v>
      </c>
      <c r="O98" s="23">
        <f t="shared" si="4"/>
        <v>0</v>
      </c>
      <c r="P98" s="23"/>
      <c r="Q98" s="24"/>
    </row>
    <row r="99" spans="1:17" ht="45" hidden="1" customHeight="1">
      <c r="A99" s="140"/>
      <c r="B99" s="39">
        <v>0</v>
      </c>
      <c r="C99" s="21"/>
      <c r="D99" s="21"/>
      <c r="E99" s="21"/>
      <c r="F99" s="21"/>
      <c r="G99" s="21"/>
      <c r="H99" s="22">
        <v>0</v>
      </c>
      <c r="I99" s="22">
        <v>0</v>
      </c>
      <c r="J99" s="22">
        <v>0</v>
      </c>
      <c r="K99" s="22">
        <v>0</v>
      </c>
      <c r="L99" s="22">
        <v>0</v>
      </c>
      <c r="M99" s="22">
        <v>0</v>
      </c>
      <c r="N99" s="22">
        <v>0</v>
      </c>
      <c r="O99" s="23">
        <f t="shared" si="4"/>
        <v>0</v>
      </c>
      <c r="P99" s="23"/>
      <c r="Q99" s="24"/>
    </row>
    <row r="100" spans="1:17" ht="45" hidden="1" customHeight="1">
      <c r="A100" s="140"/>
      <c r="B100" s="39">
        <v>0</v>
      </c>
      <c r="C100" s="21"/>
      <c r="D100" s="21"/>
      <c r="E100" s="21"/>
      <c r="F100" s="21"/>
      <c r="G100" s="21"/>
      <c r="H100" s="22">
        <v>0</v>
      </c>
      <c r="I100" s="22">
        <v>0</v>
      </c>
      <c r="J100" s="22">
        <v>0</v>
      </c>
      <c r="K100" s="22">
        <v>0</v>
      </c>
      <c r="L100" s="22">
        <v>0</v>
      </c>
      <c r="M100" s="22">
        <v>0</v>
      </c>
      <c r="N100" s="22">
        <v>0</v>
      </c>
      <c r="O100" s="23">
        <f t="shared" si="4"/>
        <v>0</v>
      </c>
      <c r="P100" s="23"/>
      <c r="Q100" s="24"/>
    </row>
    <row r="101" spans="1:17" ht="45" hidden="1" customHeight="1">
      <c r="A101" s="140"/>
      <c r="B101" s="39">
        <v>0</v>
      </c>
      <c r="C101" s="21"/>
      <c r="D101" s="21"/>
      <c r="E101" s="21"/>
      <c r="F101" s="21"/>
      <c r="G101" s="21"/>
      <c r="H101" s="22">
        <v>0</v>
      </c>
      <c r="I101" s="22">
        <v>0</v>
      </c>
      <c r="J101" s="22">
        <v>0</v>
      </c>
      <c r="K101" s="22">
        <v>0</v>
      </c>
      <c r="L101" s="22">
        <v>0</v>
      </c>
      <c r="M101" s="22">
        <v>0</v>
      </c>
      <c r="N101" s="22">
        <v>0</v>
      </c>
      <c r="O101" s="23">
        <f t="shared" si="4"/>
        <v>0</v>
      </c>
      <c r="P101" s="23"/>
      <c r="Q101" s="24"/>
    </row>
    <row r="102" spans="1:17" ht="45" hidden="1" customHeight="1">
      <c r="A102" s="140"/>
      <c r="B102" s="39">
        <v>0</v>
      </c>
      <c r="C102" s="21"/>
      <c r="D102" s="21"/>
      <c r="E102" s="21"/>
      <c r="F102" s="21"/>
      <c r="G102" s="21"/>
      <c r="H102" s="22">
        <v>0</v>
      </c>
      <c r="I102" s="22">
        <v>0</v>
      </c>
      <c r="J102" s="22">
        <v>0</v>
      </c>
      <c r="K102" s="22">
        <v>0</v>
      </c>
      <c r="L102" s="22">
        <v>0</v>
      </c>
      <c r="M102" s="22">
        <v>0</v>
      </c>
      <c r="N102" s="22">
        <v>0</v>
      </c>
      <c r="O102" s="23">
        <f t="shared" si="4"/>
        <v>0</v>
      </c>
      <c r="P102" s="23"/>
      <c r="Q102" s="24"/>
    </row>
    <row r="103" spans="1:17" ht="45" hidden="1" customHeight="1">
      <c r="A103" s="140"/>
      <c r="B103" s="39">
        <v>0</v>
      </c>
      <c r="C103" s="21"/>
      <c r="D103" s="21"/>
      <c r="E103" s="21"/>
      <c r="F103" s="21"/>
      <c r="G103" s="21"/>
      <c r="H103" s="22">
        <v>0</v>
      </c>
      <c r="I103" s="22">
        <v>0</v>
      </c>
      <c r="J103" s="22">
        <v>0</v>
      </c>
      <c r="K103" s="22">
        <v>0</v>
      </c>
      <c r="L103" s="22">
        <v>0</v>
      </c>
      <c r="M103" s="22">
        <v>0</v>
      </c>
      <c r="N103" s="22">
        <v>0</v>
      </c>
      <c r="O103" s="23">
        <f t="shared" si="4"/>
        <v>0</v>
      </c>
      <c r="P103" s="23"/>
      <c r="Q103" s="24"/>
    </row>
    <row r="104" spans="1:17" ht="45" hidden="1" customHeight="1">
      <c r="A104" s="140"/>
      <c r="B104" s="39">
        <v>0</v>
      </c>
      <c r="C104" s="21"/>
      <c r="D104" s="21"/>
      <c r="E104" s="21"/>
      <c r="F104" s="21"/>
      <c r="G104" s="21"/>
      <c r="H104" s="22">
        <v>0</v>
      </c>
      <c r="I104" s="22">
        <v>0</v>
      </c>
      <c r="J104" s="22">
        <v>0</v>
      </c>
      <c r="K104" s="22">
        <v>0</v>
      </c>
      <c r="L104" s="22">
        <v>0</v>
      </c>
      <c r="M104" s="22">
        <v>0</v>
      </c>
      <c r="N104" s="22">
        <v>0</v>
      </c>
      <c r="O104" s="23">
        <f t="shared" si="4"/>
        <v>0</v>
      </c>
      <c r="P104" s="23"/>
      <c r="Q104" s="24"/>
    </row>
    <row r="105" spans="1:17" ht="45" hidden="1" customHeight="1">
      <c r="A105" s="140"/>
      <c r="B105" s="39">
        <v>0</v>
      </c>
      <c r="C105" s="21"/>
      <c r="D105" s="21"/>
      <c r="E105" s="21"/>
      <c r="F105" s="21"/>
      <c r="G105" s="21"/>
      <c r="H105" s="22">
        <v>0</v>
      </c>
      <c r="I105" s="22">
        <v>0</v>
      </c>
      <c r="J105" s="22">
        <v>0</v>
      </c>
      <c r="K105" s="22">
        <v>0</v>
      </c>
      <c r="L105" s="22">
        <v>0</v>
      </c>
      <c r="M105" s="22">
        <v>0</v>
      </c>
      <c r="N105" s="22">
        <v>0</v>
      </c>
      <c r="O105" s="23">
        <f t="shared" si="4"/>
        <v>0</v>
      </c>
      <c r="P105" s="23"/>
      <c r="Q105" s="24"/>
    </row>
    <row r="106" spans="1:17" ht="45" hidden="1" customHeight="1">
      <c r="A106" s="140"/>
      <c r="B106" s="39">
        <v>0</v>
      </c>
      <c r="C106" s="21"/>
      <c r="D106" s="21"/>
      <c r="E106" s="21"/>
      <c r="F106" s="21"/>
      <c r="G106" s="21"/>
      <c r="H106" s="22">
        <v>0</v>
      </c>
      <c r="I106" s="22">
        <v>0</v>
      </c>
      <c r="J106" s="22">
        <v>0</v>
      </c>
      <c r="K106" s="22">
        <v>0</v>
      </c>
      <c r="L106" s="22">
        <v>0</v>
      </c>
      <c r="M106" s="22">
        <v>0</v>
      </c>
      <c r="N106" s="22">
        <v>0</v>
      </c>
      <c r="O106" s="23">
        <f t="shared" si="4"/>
        <v>0</v>
      </c>
      <c r="P106" s="23"/>
      <c r="Q106" s="24"/>
    </row>
    <row r="107" spans="1:17" ht="45" hidden="1" customHeight="1">
      <c r="A107" s="140"/>
      <c r="B107" s="39">
        <v>0</v>
      </c>
      <c r="C107" s="21"/>
      <c r="D107" s="21"/>
      <c r="E107" s="21"/>
      <c r="F107" s="21"/>
      <c r="G107" s="21"/>
      <c r="H107" s="22">
        <v>0</v>
      </c>
      <c r="I107" s="22">
        <v>0</v>
      </c>
      <c r="J107" s="22">
        <v>0</v>
      </c>
      <c r="K107" s="22">
        <v>0</v>
      </c>
      <c r="L107" s="22">
        <v>0</v>
      </c>
      <c r="M107" s="22">
        <v>0</v>
      </c>
      <c r="N107" s="22">
        <v>0</v>
      </c>
      <c r="O107" s="23">
        <f t="shared" si="4"/>
        <v>0</v>
      </c>
      <c r="P107" s="23"/>
      <c r="Q107" s="24"/>
    </row>
    <row r="108" spans="1:17" ht="45" hidden="1" customHeight="1">
      <c r="A108" s="140"/>
      <c r="B108" s="39">
        <v>0</v>
      </c>
      <c r="C108" s="21"/>
      <c r="D108" s="21"/>
      <c r="E108" s="21"/>
      <c r="F108" s="21"/>
      <c r="G108" s="21"/>
      <c r="H108" s="22">
        <v>0</v>
      </c>
      <c r="I108" s="22">
        <v>0</v>
      </c>
      <c r="J108" s="22">
        <v>0</v>
      </c>
      <c r="K108" s="22">
        <v>0</v>
      </c>
      <c r="L108" s="22">
        <v>0</v>
      </c>
      <c r="M108" s="22">
        <v>0</v>
      </c>
      <c r="N108" s="22">
        <v>0</v>
      </c>
      <c r="O108" s="23">
        <f t="shared" si="4"/>
        <v>0</v>
      </c>
      <c r="P108" s="23"/>
      <c r="Q108" s="24"/>
    </row>
    <row r="109" spans="1:17" ht="45" hidden="1" customHeight="1">
      <c r="A109" s="140"/>
      <c r="B109" s="39">
        <v>0</v>
      </c>
      <c r="C109" s="21"/>
      <c r="D109" s="21"/>
      <c r="E109" s="21"/>
      <c r="F109" s="21"/>
      <c r="G109" s="21"/>
      <c r="H109" s="22">
        <v>0</v>
      </c>
      <c r="I109" s="22">
        <v>0</v>
      </c>
      <c r="J109" s="22">
        <v>0</v>
      </c>
      <c r="K109" s="22">
        <v>0</v>
      </c>
      <c r="L109" s="22">
        <v>0</v>
      </c>
      <c r="M109" s="22">
        <v>0</v>
      </c>
      <c r="N109" s="22">
        <v>0</v>
      </c>
      <c r="O109" s="23">
        <f t="shared" si="4"/>
        <v>0</v>
      </c>
      <c r="P109" s="23"/>
      <c r="Q109" s="24"/>
    </row>
    <row r="110" spans="1:17" ht="45" hidden="1" customHeight="1">
      <c r="A110" s="140"/>
      <c r="B110" s="39">
        <v>0</v>
      </c>
      <c r="C110" s="21"/>
      <c r="D110" s="21"/>
      <c r="E110" s="21"/>
      <c r="F110" s="21"/>
      <c r="G110" s="21"/>
      <c r="H110" s="22">
        <v>0</v>
      </c>
      <c r="I110" s="22">
        <v>0</v>
      </c>
      <c r="J110" s="22">
        <v>0</v>
      </c>
      <c r="K110" s="22">
        <v>0</v>
      </c>
      <c r="L110" s="22">
        <v>0</v>
      </c>
      <c r="M110" s="22">
        <v>0</v>
      </c>
      <c r="N110" s="22">
        <v>0</v>
      </c>
      <c r="O110" s="23">
        <f t="shared" si="4"/>
        <v>0</v>
      </c>
      <c r="P110" s="23"/>
      <c r="Q110" s="24"/>
    </row>
    <row r="111" spans="1:17" ht="45" hidden="1" customHeight="1">
      <c r="A111" s="140"/>
      <c r="B111" s="39">
        <v>0</v>
      </c>
      <c r="C111" s="21"/>
      <c r="D111" s="21"/>
      <c r="E111" s="21"/>
      <c r="F111" s="21"/>
      <c r="G111" s="21"/>
      <c r="H111" s="22">
        <v>0</v>
      </c>
      <c r="I111" s="22">
        <v>0</v>
      </c>
      <c r="J111" s="22">
        <v>0</v>
      </c>
      <c r="K111" s="22">
        <v>0</v>
      </c>
      <c r="L111" s="22">
        <v>0</v>
      </c>
      <c r="M111" s="22">
        <v>0</v>
      </c>
      <c r="N111" s="22">
        <v>0</v>
      </c>
      <c r="O111" s="23">
        <f t="shared" si="4"/>
        <v>0</v>
      </c>
      <c r="P111" s="23"/>
      <c r="Q111" s="24"/>
    </row>
    <row r="112" spans="1:17" ht="45" hidden="1" customHeight="1">
      <c r="A112" s="140"/>
      <c r="B112" s="39">
        <v>0</v>
      </c>
      <c r="C112" s="21"/>
      <c r="D112" s="21"/>
      <c r="E112" s="21"/>
      <c r="F112" s="21"/>
      <c r="G112" s="21"/>
      <c r="H112" s="22">
        <v>0</v>
      </c>
      <c r="I112" s="22">
        <v>0</v>
      </c>
      <c r="J112" s="22">
        <v>0</v>
      </c>
      <c r="K112" s="22">
        <v>0</v>
      </c>
      <c r="L112" s="22">
        <v>0</v>
      </c>
      <c r="M112" s="22">
        <v>0</v>
      </c>
      <c r="N112" s="22">
        <v>0</v>
      </c>
      <c r="O112" s="23">
        <f t="shared" si="4"/>
        <v>0</v>
      </c>
      <c r="P112" s="23"/>
      <c r="Q112" s="24"/>
    </row>
    <row r="113" spans="1:17"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3"/>
      <c r="Q113" s="24"/>
    </row>
    <row r="114" spans="1:17"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3"/>
      <c r="Q114" s="24"/>
    </row>
    <row r="115" spans="1:17"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3"/>
      <c r="Q115" s="24"/>
    </row>
    <row r="116" spans="1:17"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3"/>
      <c r="Q116" s="24"/>
    </row>
    <row r="117" spans="1:17"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3"/>
      <c r="Q117" s="24"/>
    </row>
    <row r="118" spans="1:17" ht="45" hidden="1" customHeight="1">
      <c r="A118" s="140"/>
      <c r="B118" s="39">
        <v>0</v>
      </c>
      <c r="C118" s="21"/>
      <c r="D118" s="21"/>
      <c r="E118" s="21"/>
      <c r="F118" s="21"/>
      <c r="G118" s="21"/>
      <c r="H118" s="22">
        <v>0</v>
      </c>
      <c r="I118" s="22">
        <v>0</v>
      </c>
      <c r="J118" s="22">
        <v>0</v>
      </c>
      <c r="K118" s="22">
        <v>0</v>
      </c>
      <c r="L118" s="22">
        <v>0</v>
      </c>
      <c r="M118" s="22">
        <v>0</v>
      </c>
      <c r="N118" s="22">
        <v>0</v>
      </c>
      <c r="O118" s="23">
        <f t="shared" ref="O118:O149" si="5">AVERAGE(H118:N120)</f>
        <v>0</v>
      </c>
      <c r="P118" s="23"/>
      <c r="Q118" s="24"/>
    </row>
    <row r="119" spans="1:17" ht="45" hidden="1" customHeight="1">
      <c r="A119" s="140"/>
      <c r="B119" s="39">
        <v>0</v>
      </c>
      <c r="C119" s="21"/>
      <c r="D119" s="21"/>
      <c r="E119" s="21"/>
      <c r="F119" s="21"/>
      <c r="G119" s="21"/>
      <c r="H119" s="22">
        <v>0</v>
      </c>
      <c r="I119" s="22">
        <v>0</v>
      </c>
      <c r="J119" s="22">
        <v>0</v>
      </c>
      <c r="K119" s="22">
        <v>0</v>
      </c>
      <c r="L119" s="22">
        <v>0</v>
      </c>
      <c r="M119" s="22">
        <v>0</v>
      </c>
      <c r="N119" s="22">
        <v>0</v>
      </c>
      <c r="O119" s="23">
        <f t="shared" si="5"/>
        <v>0</v>
      </c>
      <c r="P119" s="23"/>
      <c r="Q119" s="24"/>
    </row>
    <row r="120" spans="1:17" ht="45" hidden="1" customHeight="1">
      <c r="A120" s="140"/>
      <c r="B120" s="39">
        <v>0</v>
      </c>
      <c r="C120" s="21"/>
      <c r="D120" s="21"/>
      <c r="E120" s="21"/>
      <c r="F120" s="21"/>
      <c r="G120" s="21"/>
      <c r="H120" s="22">
        <v>0</v>
      </c>
      <c r="I120" s="22">
        <v>0</v>
      </c>
      <c r="J120" s="22">
        <v>0</v>
      </c>
      <c r="K120" s="22">
        <v>0</v>
      </c>
      <c r="L120" s="22">
        <v>0</v>
      </c>
      <c r="M120" s="22">
        <v>0</v>
      </c>
      <c r="N120" s="22">
        <v>0</v>
      </c>
      <c r="O120" s="23">
        <f t="shared" si="5"/>
        <v>0</v>
      </c>
      <c r="P120" s="23"/>
      <c r="Q120" s="24"/>
    </row>
    <row r="121" spans="1:17" ht="45" hidden="1" customHeight="1">
      <c r="A121" s="140"/>
      <c r="B121" s="39">
        <v>0</v>
      </c>
      <c r="C121" s="21"/>
      <c r="D121" s="21"/>
      <c r="E121" s="21"/>
      <c r="F121" s="21"/>
      <c r="G121" s="21"/>
      <c r="H121" s="22">
        <v>0</v>
      </c>
      <c r="I121" s="22">
        <v>0</v>
      </c>
      <c r="J121" s="22">
        <v>0</v>
      </c>
      <c r="K121" s="22">
        <v>0</v>
      </c>
      <c r="L121" s="22">
        <v>0</v>
      </c>
      <c r="M121" s="22">
        <v>0</v>
      </c>
      <c r="N121" s="22">
        <v>0</v>
      </c>
      <c r="O121" s="23">
        <f t="shared" si="5"/>
        <v>0</v>
      </c>
      <c r="P121" s="23"/>
      <c r="Q121" s="24"/>
    </row>
    <row r="122" spans="1:17" ht="45" hidden="1" customHeight="1">
      <c r="A122" s="140"/>
      <c r="B122" s="39">
        <v>0</v>
      </c>
      <c r="C122" s="21"/>
      <c r="D122" s="21"/>
      <c r="E122" s="21"/>
      <c r="F122" s="21"/>
      <c r="G122" s="21"/>
      <c r="H122" s="22">
        <v>0</v>
      </c>
      <c r="I122" s="22">
        <v>0</v>
      </c>
      <c r="J122" s="22">
        <v>0</v>
      </c>
      <c r="K122" s="22">
        <v>0</v>
      </c>
      <c r="L122" s="22">
        <v>0</v>
      </c>
      <c r="M122" s="22">
        <v>0</v>
      </c>
      <c r="N122" s="22">
        <v>0</v>
      </c>
      <c r="O122" s="23">
        <f t="shared" si="5"/>
        <v>0</v>
      </c>
      <c r="P122" s="23"/>
      <c r="Q122" s="24"/>
    </row>
    <row r="123" spans="1:17" ht="45" hidden="1" customHeight="1">
      <c r="A123" s="140"/>
      <c r="B123" s="39">
        <v>0</v>
      </c>
      <c r="C123" s="21"/>
      <c r="D123" s="21"/>
      <c r="E123" s="21"/>
      <c r="F123" s="21"/>
      <c r="G123" s="21"/>
      <c r="H123" s="22">
        <v>0</v>
      </c>
      <c r="I123" s="22">
        <v>0</v>
      </c>
      <c r="J123" s="22">
        <v>0</v>
      </c>
      <c r="K123" s="22">
        <v>0</v>
      </c>
      <c r="L123" s="22">
        <v>0</v>
      </c>
      <c r="M123" s="22">
        <v>0</v>
      </c>
      <c r="N123" s="22">
        <v>0</v>
      </c>
      <c r="O123" s="23">
        <f t="shared" si="5"/>
        <v>0</v>
      </c>
      <c r="P123" s="23"/>
      <c r="Q123" s="24"/>
    </row>
    <row r="124" spans="1:17" ht="45" hidden="1" customHeight="1">
      <c r="A124" s="140"/>
      <c r="B124" s="39">
        <v>0</v>
      </c>
      <c r="C124" s="21"/>
      <c r="D124" s="21"/>
      <c r="E124" s="21"/>
      <c r="F124" s="21"/>
      <c r="G124" s="21"/>
      <c r="H124" s="22">
        <v>0</v>
      </c>
      <c r="I124" s="22">
        <v>0</v>
      </c>
      <c r="J124" s="22">
        <v>0</v>
      </c>
      <c r="K124" s="22">
        <v>0</v>
      </c>
      <c r="L124" s="22">
        <v>0</v>
      </c>
      <c r="M124" s="22">
        <v>0</v>
      </c>
      <c r="N124" s="22">
        <v>0</v>
      </c>
      <c r="O124" s="23">
        <f t="shared" si="5"/>
        <v>0</v>
      </c>
      <c r="P124" s="23"/>
      <c r="Q124" s="24"/>
    </row>
    <row r="125" spans="1:17" ht="45" hidden="1" customHeight="1">
      <c r="A125" s="140"/>
      <c r="B125" s="39">
        <v>0</v>
      </c>
      <c r="C125" s="21"/>
      <c r="D125" s="21"/>
      <c r="E125" s="21"/>
      <c r="F125" s="21"/>
      <c r="G125" s="21"/>
      <c r="H125" s="22">
        <v>0</v>
      </c>
      <c r="I125" s="22">
        <v>0</v>
      </c>
      <c r="J125" s="22">
        <v>0</v>
      </c>
      <c r="K125" s="22">
        <v>0</v>
      </c>
      <c r="L125" s="22">
        <v>0</v>
      </c>
      <c r="M125" s="22">
        <v>0</v>
      </c>
      <c r="N125" s="22">
        <v>0</v>
      </c>
      <c r="O125" s="23">
        <f t="shared" si="5"/>
        <v>0</v>
      </c>
      <c r="P125" s="23"/>
      <c r="Q125" s="24"/>
    </row>
    <row r="126" spans="1:17" ht="45" hidden="1" customHeight="1">
      <c r="A126" s="140"/>
      <c r="B126" s="39">
        <v>0</v>
      </c>
      <c r="C126" s="21"/>
      <c r="D126" s="21"/>
      <c r="E126" s="21"/>
      <c r="F126" s="21"/>
      <c r="G126" s="21"/>
      <c r="H126" s="22">
        <v>0</v>
      </c>
      <c r="I126" s="22">
        <v>0</v>
      </c>
      <c r="J126" s="22">
        <v>0</v>
      </c>
      <c r="K126" s="22">
        <v>0</v>
      </c>
      <c r="L126" s="22">
        <v>0</v>
      </c>
      <c r="M126" s="22">
        <v>0</v>
      </c>
      <c r="N126" s="22">
        <v>0</v>
      </c>
      <c r="O126" s="23">
        <f t="shared" si="5"/>
        <v>0</v>
      </c>
      <c r="P126" s="23"/>
      <c r="Q126" s="24"/>
    </row>
    <row r="127" spans="1:17" ht="45" hidden="1" customHeight="1">
      <c r="A127" s="140"/>
      <c r="B127" s="39">
        <v>0</v>
      </c>
      <c r="C127" s="21"/>
      <c r="D127" s="21"/>
      <c r="E127" s="21"/>
      <c r="F127" s="21"/>
      <c r="G127" s="21"/>
      <c r="H127" s="22">
        <v>0</v>
      </c>
      <c r="I127" s="22">
        <v>0</v>
      </c>
      <c r="J127" s="22">
        <v>0</v>
      </c>
      <c r="K127" s="22">
        <v>0</v>
      </c>
      <c r="L127" s="22">
        <v>0</v>
      </c>
      <c r="M127" s="22">
        <v>0</v>
      </c>
      <c r="N127" s="22">
        <v>0</v>
      </c>
      <c r="O127" s="23">
        <f t="shared" si="5"/>
        <v>0</v>
      </c>
      <c r="P127" s="23"/>
      <c r="Q127" s="24"/>
    </row>
    <row r="128" spans="1:17" ht="45" hidden="1" customHeight="1">
      <c r="A128" s="140"/>
      <c r="B128" s="39">
        <v>0</v>
      </c>
      <c r="C128" s="21"/>
      <c r="D128" s="21"/>
      <c r="E128" s="21"/>
      <c r="F128" s="21"/>
      <c r="G128" s="21"/>
      <c r="H128" s="22">
        <v>0</v>
      </c>
      <c r="I128" s="22">
        <v>0</v>
      </c>
      <c r="J128" s="22">
        <v>0</v>
      </c>
      <c r="K128" s="22">
        <v>0</v>
      </c>
      <c r="L128" s="22">
        <v>0</v>
      </c>
      <c r="M128" s="22">
        <v>0</v>
      </c>
      <c r="N128" s="22">
        <v>0</v>
      </c>
      <c r="O128" s="23">
        <f t="shared" si="5"/>
        <v>0</v>
      </c>
      <c r="P128" s="23"/>
      <c r="Q128" s="24"/>
    </row>
    <row r="129" spans="1:17" ht="45" hidden="1" customHeight="1">
      <c r="A129" s="140"/>
      <c r="B129" s="39">
        <v>0</v>
      </c>
      <c r="C129" s="21"/>
      <c r="D129" s="21"/>
      <c r="E129" s="21"/>
      <c r="F129" s="21"/>
      <c r="G129" s="21"/>
      <c r="H129" s="22">
        <v>0</v>
      </c>
      <c r="I129" s="22">
        <v>0</v>
      </c>
      <c r="J129" s="22">
        <v>0</v>
      </c>
      <c r="K129" s="22">
        <v>0</v>
      </c>
      <c r="L129" s="22">
        <v>0</v>
      </c>
      <c r="M129" s="22">
        <v>0</v>
      </c>
      <c r="N129" s="22">
        <v>0</v>
      </c>
      <c r="O129" s="23">
        <f t="shared" si="5"/>
        <v>0</v>
      </c>
      <c r="P129" s="23"/>
      <c r="Q129" s="24"/>
    </row>
    <row r="130" spans="1:17" ht="45" hidden="1" customHeight="1">
      <c r="A130" s="140"/>
      <c r="B130" s="39">
        <v>0</v>
      </c>
      <c r="C130" s="21"/>
      <c r="D130" s="21"/>
      <c r="E130" s="21"/>
      <c r="F130" s="21"/>
      <c r="G130" s="21"/>
      <c r="H130" s="22">
        <v>0</v>
      </c>
      <c r="I130" s="22">
        <v>0</v>
      </c>
      <c r="J130" s="22">
        <v>0</v>
      </c>
      <c r="K130" s="22">
        <v>0</v>
      </c>
      <c r="L130" s="22">
        <v>0</v>
      </c>
      <c r="M130" s="22">
        <v>0</v>
      </c>
      <c r="N130" s="22">
        <v>0</v>
      </c>
      <c r="O130" s="23">
        <f t="shared" si="5"/>
        <v>0</v>
      </c>
      <c r="P130" s="23"/>
      <c r="Q130" s="24"/>
    </row>
    <row r="131" spans="1:17" ht="45" hidden="1" customHeight="1">
      <c r="A131" s="140"/>
      <c r="B131" s="39">
        <v>0</v>
      </c>
      <c r="C131" s="21"/>
      <c r="D131" s="21"/>
      <c r="E131" s="21"/>
      <c r="F131" s="21"/>
      <c r="G131" s="21"/>
      <c r="H131" s="22">
        <v>0</v>
      </c>
      <c r="I131" s="22">
        <v>0</v>
      </c>
      <c r="J131" s="22">
        <v>0</v>
      </c>
      <c r="K131" s="22">
        <v>0</v>
      </c>
      <c r="L131" s="22">
        <v>0</v>
      </c>
      <c r="M131" s="22">
        <v>0</v>
      </c>
      <c r="N131" s="22">
        <v>0</v>
      </c>
      <c r="O131" s="23">
        <f t="shared" si="5"/>
        <v>0</v>
      </c>
      <c r="P131" s="23"/>
      <c r="Q131" s="24"/>
    </row>
    <row r="132" spans="1:17" ht="45" hidden="1" customHeight="1">
      <c r="A132" s="140"/>
      <c r="B132" s="39">
        <v>0</v>
      </c>
      <c r="C132" s="21"/>
      <c r="D132" s="21"/>
      <c r="E132" s="21"/>
      <c r="F132" s="21"/>
      <c r="G132" s="21"/>
      <c r="H132" s="22">
        <v>0</v>
      </c>
      <c r="I132" s="22">
        <v>0</v>
      </c>
      <c r="J132" s="22">
        <v>0</v>
      </c>
      <c r="K132" s="22">
        <v>0</v>
      </c>
      <c r="L132" s="22">
        <v>0</v>
      </c>
      <c r="M132" s="22">
        <v>0</v>
      </c>
      <c r="N132" s="22">
        <v>0</v>
      </c>
      <c r="O132" s="23">
        <f t="shared" si="5"/>
        <v>0</v>
      </c>
      <c r="P132" s="23"/>
      <c r="Q132" s="24"/>
    </row>
    <row r="133" spans="1:17" ht="45" hidden="1" customHeight="1">
      <c r="A133" s="140"/>
      <c r="B133" s="39">
        <v>0</v>
      </c>
      <c r="C133" s="21"/>
      <c r="D133" s="21"/>
      <c r="E133" s="21"/>
      <c r="F133" s="21"/>
      <c r="G133" s="21"/>
      <c r="H133" s="22">
        <v>0</v>
      </c>
      <c r="I133" s="22">
        <v>0</v>
      </c>
      <c r="J133" s="22">
        <v>0</v>
      </c>
      <c r="K133" s="22">
        <v>0</v>
      </c>
      <c r="L133" s="22">
        <v>0</v>
      </c>
      <c r="M133" s="22">
        <v>0</v>
      </c>
      <c r="N133" s="22">
        <v>0</v>
      </c>
      <c r="O133" s="23">
        <f t="shared" si="5"/>
        <v>0</v>
      </c>
      <c r="P133" s="23"/>
      <c r="Q133" s="24"/>
    </row>
    <row r="134" spans="1:17" ht="45" hidden="1" customHeight="1">
      <c r="A134" s="140"/>
      <c r="B134" s="39">
        <v>0</v>
      </c>
      <c r="C134" s="21"/>
      <c r="D134" s="21"/>
      <c r="E134" s="21"/>
      <c r="F134" s="21"/>
      <c r="G134" s="21"/>
      <c r="H134" s="22">
        <v>0</v>
      </c>
      <c r="I134" s="22">
        <v>0</v>
      </c>
      <c r="J134" s="22">
        <v>0</v>
      </c>
      <c r="K134" s="22">
        <v>0</v>
      </c>
      <c r="L134" s="22">
        <v>0</v>
      </c>
      <c r="M134" s="22">
        <v>0</v>
      </c>
      <c r="N134" s="22">
        <v>0</v>
      </c>
      <c r="O134" s="23">
        <f t="shared" si="5"/>
        <v>0</v>
      </c>
      <c r="P134" s="23"/>
      <c r="Q134" s="24"/>
    </row>
    <row r="135" spans="1:17" ht="45" hidden="1" customHeight="1">
      <c r="A135" s="140"/>
      <c r="B135" s="39">
        <v>0</v>
      </c>
      <c r="C135" s="21"/>
      <c r="D135" s="21"/>
      <c r="E135" s="21"/>
      <c r="F135" s="21"/>
      <c r="G135" s="21"/>
      <c r="H135" s="22">
        <v>0</v>
      </c>
      <c r="I135" s="22">
        <v>0</v>
      </c>
      <c r="J135" s="22">
        <v>0</v>
      </c>
      <c r="K135" s="22">
        <v>0</v>
      </c>
      <c r="L135" s="22">
        <v>0</v>
      </c>
      <c r="M135" s="22">
        <v>0</v>
      </c>
      <c r="N135" s="22">
        <v>0</v>
      </c>
      <c r="O135" s="23">
        <f t="shared" si="5"/>
        <v>0</v>
      </c>
      <c r="P135" s="23"/>
      <c r="Q135" s="24"/>
    </row>
    <row r="136" spans="1:17" ht="45" hidden="1" customHeight="1">
      <c r="A136" s="140"/>
      <c r="B136" s="39">
        <v>0</v>
      </c>
      <c r="C136" s="21"/>
      <c r="D136" s="21"/>
      <c r="E136" s="21"/>
      <c r="F136" s="21"/>
      <c r="G136" s="21"/>
      <c r="H136" s="22">
        <v>0</v>
      </c>
      <c r="I136" s="22">
        <v>0</v>
      </c>
      <c r="J136" s="22">
        <v>0</v>
      </c>
      <c r="K136" s="22">
        <v>0</v>
      </c>
      <c r="L136" s="22">
        <v>0</v>
      </c>
      <c r="M136" s="22">
        <v>0</v>
      </c>
      <c r="N136" s="22">
        <v>0</v>
      </c>
      <c r="O136" s="23">
        <f t="shared" si="5"/>
        <v>0</v>
      </c>
      <c r="P136" s="23"/>
      <c r="Q136" s="24"/>
    </row>
    <row r="137" spans="1:17" ht="45" hidden="1" customHeight="1">
      <c r="A137" s="140"/>
      <c r="B137" s="39">
        <v>0</v>
      </c>
      <c r="C137" s="21"/>
      <c r="D137" s="21"/>
      <c r="E137" s="21"/>
      <c r="F137" s="21"/>
      <c r="G137" s="21"/>
      <c r="H137" s="22">
        <v>0</v>
      </c>
      <c r="I137" s="22">
        <v>0</v>
      </c>
      <c r="J137" s="22">
        <v>0</v>
      </c>
      <c r="K137" s="22">
        <v>0</v>
      </c>
      <c r="L137" s="22">
        <v>0</v>
      </c>
      <c r="M137" s="22">
        <v>0</v>
      </c>
      <c r="N137" s="22">
        <v>0</v>
      </c>
      <c r="O137" s="23">
        <f t="shared" si="5"/>
        <v>0</v>
      </c>
      <c r="P137" s="23"/>
      <c r="Q137" s="24"/>
    </row>
    <row r="138" spans="1:17" ht="45" hidden="1" customHeight="1">
      <c r="A138" s="140"/>
      <c r="B138" s="39">
        <v>0</v>
      </c>
      <c r="C138" s="21"/>
      <c r="D138" s="21"/>
      <c r="E138" s="21"/>
      <c r="F138" s="21"/>
      <c r="G138" s="21"/>
      <c r="H138" s="22">
        <v>0</v>
      </c>
      <c r="I138" s="22">
        <v>0</v>
      </c>
      <c r="J138" s="22">
        <v>0</v>
      </c>
      <c r="K138" s="22">
        <v>0</v>
      </c>
      <c r="L138" s="22">
        <v>0</v>
      </c>
      <c r="M138" s="22">
        <v>0</v>
      </c>
      <c r="N138" s="22">
        <v>0</v>
      </c>
      <c r="O138" s="23">
        <f t="shared" si="5"/>
        <v>0</v>
      </c>
      <c r="P138" s="23"/>
      <c r="Q138" s="24"/>
    </row>
    <row r="139" spans="1:17" ht="45" hidden="1" customHeight="1">
      <c r="A139" s="140"/>
      <c r="B139" s="39">
        <v>0</v>
      </c>
      <c r="C139" s="21"/>
      <c r="D139" s="21"/>
      <c r="E139" s="21"/>
      <c r="F139" s="21"/>
      <c r="G139" s="21"/>
      <c r="H139" s="22">
        <v>0</v>
      </c>
      <c r="I139" s="22">
        <v>0</v>
      </c>
      <c r="J139" s="22">
        <v>0</v>
      </c>
      <c r="K139" s="22">
        <v>0</v>
      </c>
      <c r="L139" s="22">
        <v>0</v>
      </c>
      <c r="M139" s="22">
        <v>0</v>
      </c>
      <c r="N139" s="22">
        <v>0</v>
      </c>
      <c r="O139" s="23">
        <f t="shared" si="5"/>
        <v>0</v>
      </c>
      <c r="P139" s="23"/>
      <c r="Q139" s="24"/>
    </row>
    <row r="140" spans="1:17" ht="45" hidden="1" customHeight="1">
      <c r="A140" s="140"/>
      <c r="B140" s="39">
        <v>0</v>
      </c>
      <c r="C140" s="21"/>
      <c r="D140" s="21"/>
      <c r="E140" s="21"/>
      <c r="F140" s="21"/>
      <c r="G140" s="21"/>
      <c r="H140" s="22">
        <v>0</v>
      </c>
      <c r="I140" s="22">
        <v>0</v>
      </c>
      <c r="J140" s="22">
        <v>0</v>
      </c>
      <c r="K140" s="22">
        <v>0</v>
      </c>
      <c r="L140" s="22">
        <v>0</v>
      </c>
      <c r="M140" s="22">
        <v>0</v>
      </c>
      <c r="N140" s="22">
        <v>0</v>
      </c>
      <c r="O140" s="23">
        <f t="shared" si="5"/>
        <v>0</v>
      </c>
      <c r="P140" s="23"/>
      <c r="Q140" s="24"/>
    </row>
    <row r="141" spans="1:17" ht="45" hidden="1" customHeight="1">
      <c r="A141" s="140"/>
      <c r="B141" s="39">
        <v>0</v>
      </c>
      <c r="C141" s="21"/>
      <c r="D141" s="21"/>
      <c r="E141" s="21"/>
      <c r="F141" s="21"/>
      <c r="G141" s="21"/>
      <c r="H141" s="22">
        <v>0</v>
      </c>
      <c r="I141" s="22">
        <v>0</v>
      </c>
      <c r="J141" s="22">
        <v>0</v>
      </c>
      <c r="K141" s="22">
        <v>0</v>
      </c>
      <c r="L141" s="22">
        <v>0</v>
      </c>
      <c r="M141" s="22">
        <v>0</v>
      </c>
      <c r="N141" s="22">
        <v>0</v>
      </c>
      <c r="O141" s="23">
        <f t="shared" si="5"/>
        <v>0</v>
      </c>
      <c r="P141" s="23"/>
      <c r="Q141" s="24"/>
    </row>
    <row r="142" spans="1:17" ht="45" hidden="1" customHeight="1">
      <c r="A142" s="140"/>
      <c r="B142" s="39">
        <v>0</v>
      </c>
      <c r="C142" s="21"/>
      <c r="D142" s="21"/>
      <c r="E142" s="21"/>
      <c r="F142" s="21"/>
      <c r="G142" s="21"/>
      <c r="H142" s="22">
        <v>0</v>
      </c>
      <c r="I142" s="22">
        <v>0</v>
      </c>
      <c r="J142" s="22">
        <v>0</v>
      </c>
      <c r="K142" s="22">
        <v>0</v>
      </c>
      <c r="L142" s="22">
        <v>0</v>
      </c>
      <c r="M142" s="22">
        <v>0</v>
      </c>
      <c r="N142" s="22">
        <v>0</v>
      </c>
      <c r="O142" s="23">
        <f t="shared" si="5"/>
        <v>0</v>
      </c>
      <c r="P142" s="23"/>
      <c r="Q142" s="24"/>
    </row>
    <row r="143" spans="1:17" ht="45" hidden="1" customHeight="1">
      <c r="A143" s="140"/>
      <c r="B143" s="39">
        <v>0</v>
      </c>
      <c r="C143" s="21"/>
      <c r="D143" s="21"/>
      <c r="E143" s="21"/>
      <c r="F143" s="21"/>
      <c r="G143" s="21"/>
      <c r="H143" s="22">
        <v>0</v>
      </c>
      <c r="I143" s="22">
        <v>0</v>
      </c>
      <c r="J143" s="22">
        <v>0</v>
      </c>
      <c r="K143" s="22">
        <v>0</v>
      </c>
      <c r="L143" s="22">
        <v>0</v>
      </c>
      <c r="M143" s="22">
        <v>0</v>
      </c>
      <c r="N143" s="22">
        <v>0</v>
      </c>
      <c r="O143" s="23">
        <f t="shared" si="5"/>
        <v>0</v>
      </c>
      <c r="P143" s="23"/>
      <c r="Q143" s="24"/>
    </row>
    <row r="144" spans="1:17" ht="45" hidden="1" customHeight="1">
      <c r="A144" s="152"/>
      <c r="B144" s="39">
        <v>0</v>
      </c>
      <c r="C144" s="25"/>
      <c r="D144" s="25"/>
      <c r="E144" s="25"/>
      <c r="F144" s="25"/>
      <c r="G144" s="25"/>
      <c r="H144" s="36">
        <v>0</v>
      </c>
      <c r="I144" s="37">
        <v>0</v>
      </c>
      <c r="J144" s="37">
        <v>0</v>
      </c>
      <c r="K144" s="37">
        <v>0</v>
      </c>
      <c r="L144" s="37">
        <v>0</v>
      </c>
      <c r="M144" s="37">
        <v>0</v>
      </c>
      <c r="N144" s="37">
        <v>0</v>
      </c>
      <c r="O144" s="38">
        <f t="shared" si="5"/>
        <v>0</v>
      </c>
      <c r="P144" s="38"/>
      <c r="Q144" s="19"/>
    </row>
    <row r="145" spans="1:17" ht="45" hidden="1" customHeight="1">
      <c r="A145" s="153"/>
      <c r="B145" s="39">
        <v>0</v>
      </c>
      <c r="C145" s="21"/>
      <c r="D145" s="21"/>
      <c r="E145" s="21"/>
      <c r="F145" s="21"/>
      <c r="G145" s="21"/>
      <c r="H145" s="32">
        <v>0</v>
      </c>
      <c r="I145" s="22">
        <v>0</v>
      </c>
      <c r="J145" s="22">
        <v>0</v>
      </c>
      <c r="K145" s="22">
        <v>0</v>
      </c>
      <c r="L145" s="22">
        <v>0</v>
      </c>
      <c r="M145" s="22">
        <v>0</v>
      </c>
      <c r="N145" s="22">
        <v>0</v>
      </c>
      <c r="O145" s="23">
        <f t="shared" si="5"/>
        <v>0</v>
      </c>
      <c r="P145" s="23"/>
      <c r="Q145" s="24"/>
    </row>
    <row r="146" spans="1:17" ht="45" hidden="1" customHeight="1">
      <c r="A146" s="153"/>
      <c r="B146" s="39">
        <v>0</v>
      </c>
      <c r="C146" s="21"/>
      <c r="D146" s="21"/>
      <c r="E146" s="21"/>
      <c r="F146" s="21"/>
      <c r="G146" s="21"/>
      <c r="H146" s="32">
        <v>0</v>
      </c>
      <c r="I146" s="22">
        <v>0</v>
      </c>
      <c r="J146" s="22">
        <v>0</v>
      </c>
      <c r="K146" s="22">
        <v>0</v>
      </c>
      <c r="L146" s="22">
        <v>0</v>
      </c>
      <c r="M146" s="22">
        <v>0</v>
      </c>
      <c r="N146" s="22">
        <v>0</v>
      </c>
      <c r="O146" s="23">
        <f t="shared" si="5"/>
        <v>0.23809523809523808</v>
      </c>
      <c r="P146" s="23"/>
      <c r="Q146" s="24"/>
    </row>
    <row r="147" spans="1:17" ht="45" hidden="1" customHeight="1">
      <c r="A147" s="153"/>
      <c r="B147" s="39">
        <v>0</v>
      </c>
      <c r="C147" s="21"/>
      <c r="D147" s="21"/>
      <c r="E147" s="21"/>
      <c r="F147" s="21"/>
      <c r="G147" s="21"/>
      <c r="H147" s="32">
        <v>0</v>
      </c>
      <c r="I147" s="22">
        <v>0</v>
      </c>
      <c r="J147" s="22">
        <v>0</v>
      </c>
      <c r="K147" s="22">
        <v>0</v>
      </c>
      <c r="L147" s="22">
        <v>0</v>
      </c>
      <c r="M147" s="22">
        <v>0</v>
      </c>
      <c r="N147" s="22">
        <v>0</v>
      </c>
      <c r="O147" s="23">
        <f t="shared" si="5"/>
        <v>0.35714285714285715</v>
      </c>
      <c r="P147" s="23"/>
      <c r="Q147" s="24"/>
    </row>
    <row r="148" spans="1:17" ht="45" hidden="1" customHeight="1">
      <c r="A148" s="153"/>
      <c r="B148" s="39">
        <v>5</v>
      </c>
      <c r="C148" s="21"/>
      <c r="D148" s="21"/>
      <c r="E148" s="21"/>
      <c r="F148" s="21"/>
      <c r="G148" s="21"/>
      <c r="H148" s="32">
        <v>0</v>
      </c>
      <c r="I148" s="22">
        <v>0</v>
      </c>
      <c r="J148" s="22">
        <v>0</v>
      </c>
      <c r="K148" s="22">
        <v>0</v>
      </c>
      <c r="L148" s="22">
        <v>0</v>
      </c>
      <c r="M148" s="22">
        <v>0</v>
      </c>
      <c r="N148" s="22">
        <v>5</v>
      </c>
      <c r="O148" s="23">
        <f t="shared" si="5"/>
        <v>0.7142857142857143</v>
      </c>
      <c r="P148" s="23"/>
      <c r="Q148" s="24"/>
    </row>
  </sheetData>
  <autoFilter ref="A2:Q148" xr:uid="{6831539B-1EF2-456C-A99A-6624932F8169}">
    <filterColumn colId="2">
      <filters>
        <filter val="Benjamin D"/>
      </filters>
    </filterColumn>
    <sortState xmlns:xlrd2="http://schemas.microsoft.com/office/spreadsheetml/2017/richdata2" ref="A3:Q148">
      <sortCondition ref="A2:A148"/>
    </sortState>
  </autoFilter>
  <mergeCells count="2">
    <mergeCell ref="J1:K1"/>
    <mergeCell ref="L1:N1"/>
  </mergeCells>
  <conditionalFormatting sqref="B3:B148">
    <cfRule type="iconSet" priority="1">
      <iconSet iconSet="5Rating">
        <cfvo type="percent" val="0"/>
        <cfvo type="percent" val="20"/>
        <cfvo type="percent" val="40"/>
        <cfvo type="percent" val="60"/>
        <cfvo type="percent" val="80"/>
      </iconSet>
    </cfRule>
  </conditionalFormatting>
  <conditionalFormatting sqref="H77:P888 J76:P76 H76 H4:P4 H3:O3 H6:P6 H5:O5 H8:P18 H7:O7 H20:P21 H19:O19 H23:P24 H22:O22 H27:P27 H25:O26 H29:P29 H28:O28 H31:P31 H30:O30 H33:P43 H32:O32 H46:P46 H44:O45 H50:P52 H47:O49 H59:P75 H53:O58">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8" xr:uid="{3C6B410B-F423-49A7-88C0-29D7001B97C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4908BC0-66BD-4FC3-B248-39B4C8841C4D}">
          <x14:formula1>
            <xm:f>'Guide suivi GDP '!$E$14:$E$19</xm:f>
          </x14:formula1>
          <xm:sqref>F3:F148</xm:sqref>
        </x14:dataValidation>
        <x14:dataValidation type="list" allowBlank="1" showInputMessage="1" showErrorMessage="1" xr:uid="{6B8F92D9-7246-4519-9DFE-F23777BAF15C}">
          <x14:formula1>
            <xm:f>'Guide suivi GDP '!$E$20:$E$24</xm:f>
          </x14:formula1>
          <xm:sqref>E3:E148</xm:sqref>
        </x14:dataValidation>
        <x14:dataValidation type="list" allowBlank="1" showInputMessage="1" showErrorMessage="1" xr:uid="{C24A1E8B-9AEF-4193-977D-1F94808B00A4}">
          <x14:formula1>
            <xm:f>'Guide suivi GDP '!$E$3:$E$8</xm:f>
          </x14:formula1>
          <xm:sqref>D3:D148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7D4E-EE77-4B63-B05A-4727F5D7596B}">
  <sheetPr filterMode="1">
    <tabColor rgb="FF92D050"/>
  </sheetPr>
  <dimension ref="A1:R148"/>
  <sheetViews>
    <sheetView topLeftCell="A48" workbookViewId="0">
      <selection activeCell="S151" sqref="S151"/>
    </sheetView>
  </sheetViews>
  <sheetFormatPr baseColWidth="10" defaultColWidth="9.140625" defaultRowHeight="12.75" outlineLevelCol="1"/>
  <cols>
    <col min="1" max="1" width="20.42578125" style="26" customWidth="1"/>
    <col min="2" max="2" width="9.85546875" style="26" customWidth="1"/>
    <col min="3" max="3" width="12.28515625" style="5" customWidth="1"/>
    <col min="4" max="4" width="11.7109375" style="5" customWidth="1"/>
    <col min="5" max="5" width="18.28515625" style="5" customWidth="1"/>
    <col min="6" max="6" width="12.5703125" style="27" customWidth="1"/>
    <col min="7" max="7" width="14.28515625" style="27" customWidth="1"/>
    <col min="8" max="8" width="14.5703125" style="26" hidden="1" customWidth="1" outlineLevel="1" collapsed="1"/>
    <col min="9" max="9" width="12.7109375" style="26" hidden="1" customWidth="1" outlineLevel="1"/>
    <col min="10" max="10" width="11" style="26" hidden="1" customWidth="1" outlineLevel="1"/>
    <col min="11" max="11" width="8.85546875" style="26" hidden="1" customWidth="1" outlineLevel="1"/>
    <col min="12" max="12" width="11.7109375" style="26" hidden="1" customWidth="1" outlineLevel="1"/>
    <col min="13" max="13" width="12.28515625" style="26" hidden="1" customWidth="1" outlineLevel="1"/>
    <col min="14" max="14" width="15.7109375" style="26" hidden="1" customWidth="1" outlineLevel="1"/>
    <col min="15" max="15" width="10.5703125" style="13" bestFit="1" customWidth="1" collapsed="1"/>
    <col min="16" max="16" width="24.5703125" style="13" customWidth="1"/>
    <col min="17" max="17" width="42" style="26" customWidth="1"/>
    <col min="18" max="16384" width="9.140625" style="13"/>
  </cols>
  <sheetData>
    <row r="1" spans="1:17" ht="13.5" customHeight="1">
      <c r="F1" s="5"/>
      <c r="G1" s="5"/>
      <c r="H1" s="9" t="s">
        <v>68</v>
      </c>
      <c r="I1" s="12" t="s">
        <v>69</v>
      </c>
      <c r="J1" s="199" t="s">
        <v>71</v>
      </c>
      <c r="K1" s="200"/>
      <c r="L1" s="196" t="s">
        <v>76</v>
      </c>
      <c r="M1" s="197"/>
      <c r="N1" s="198"/>
    </row>
    <row r="2" spans="1:17"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3" t="s">
        <v>567</v>
      </c>
      <c r="Q2" s="2" t="s">
        <v>97</v>
      </c>
    </row>
    <row r="3" spans="1:17"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c r="Q3" s="143" t="s">
        <v>568</v>
      </c>
    </row>
    <row r="4" spans="1:17"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60"/>
      <c r="Q4" s="143" t="s">
        <v>317</v>
      </c>
    </row>
    <row r="5" spans="1:17" ht="45"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c r="Q5" s="143" t="s">
        <v>407</v>
      </c>
    </row>
    <row r="6" spans="1:17"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59"/>
      <c r="Q6" s="143" t="s">
        <v>523</v>
      </c>
    </row>
    <row r="7" spans="1:17"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c r="Q7" s="143" t="s">
        <v>349</v>
      </c>
    </row>
    <row r="8" spans="1:17"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59"/>
      <c r="Q8" s="143" t="s">
        <v>116</v>
      </c>
    </row>
    <row r="9" spans="1:17"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59"/>
      <c r="Q9" s="143" t="s">
        <v>524</v>
      </c>
    </row>
    <row r="10" spans="1:17"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59"/>
      <c r="Q10" s="143" t="s">
        <v>558</v>
      </c>
    </row>
    <row r="11" spans="1:17" ht="45" hidden="1" customHeight="1">
      <c r="A11" s="153" t="s">
        <v>275</v>
      </c>
      <c r="B11" s="39">
        <v>0</v>
      </c>
      <c r="C11" s="141" t="s">
        <v>409</v>
      </c>
      <c r="D11" s="141"/>
      <c r="E11" s="141"/>
      <c r="F11" s="141"/>
      <c r="G11" s="141"/>
      <c r="H11" s="29"/>
      <c r="I11" s="145"/>
      <c r="J11" s="145"/>
      <c r="K11" s="145"/>
      <c r="L11" s="145"/>
      <c r="M11" s="145"/>
      <c r="N11" s="145"/>
      <c r="O11" s="142" t="e">
        <f t="shared" si="0"/>
        <v>#DIV/0!</v>
      </c>
      <c r="P11" s="59"/>
      <c r="Q11" s="143" t="s">
        <v>484</v>
      </c>
    </row>
    <row r="12" spans="1:17" ht="45" hidden="1" customHeight="1">
      <c r="A12" s="153" t="s">
        <v>446</v>
      </c>
      <c r="B12" s="39">
        <v>0</v>
      </c>
      <c r="C12" s="141" t="s">
        <v>409</v>
      </c>
      <c r="D12" s="141"/>
      <c r="E12" s="141"/>
      <c r="F12" s="141"/>
      <c r="G12" s="141"/>
      <c r="H12" s="29"/>
      <c r="I12" s="145"/>
      <c r="J12" s="145"/>
      <c r="K12" s="145"/>
      <c r="L12" s="145"/>
      <c r="M12" s="145"/>
      <c r="N12" s="145"/>
      <c r="O12" s="142" t="e">
        <f t="shared" si="0"/>
        <v>#DIV/0!</v>
      </c>
      <c r="P12" s="59"/>
      <c r="Q12" s="143" t="s">
        <v>485</v>
      </c>
    </row>
    <row r="13" spans="1:17"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59"/>
      <c r="Q13" s="143" t="s">
        <v>322</v>
      </c>
    </row>
    <row r="14" spans="1:17" ht="45" hidden="1" customHeight="1">
      <c r="A14" s="153" t="s">
        <v>280</v>
      </c>
      <c r="B14" s="39">
        <v>0</v>
      </c>
      <c r="C14" s="141" t="s">
        <v>409</v>
      </c>
      <c r="D14" s="21"/>
      <c r="E14" s="21"/>
      <c r="F14" s="21"/>
      <c r="G14" s="21"/>
      <c r="H14" s="29"/>
      <c r="I14" s="145"/>
      <c r="J14" s="145"/>
      <c r="K14" s="145"/>
      <c r="L14" s="145"/>
      <c r="M14" s="145"/>
      <c r="N14" s="145"/>
      <c r="O14" s="142" t="e">
        <f t="shared" si="0"/>
        <v>#DIV/0!</v>
      </c>
      <c r="P14" s="59"/>
      <c r="Q14" s="46" t="s">
        <v>323</v>
      </c>
    </row>
    <row r="15" spans="1:17"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59"/>
      <c r="Q15" s="46" t="s">
        <v>486</v>
      </c>
    </row>
    <row r="16" spans="1:17" ht="45" hidden="1" customHeight="1">
      <c r="A16" s="153" t="s">
        <v>279</v>
      </c>
      <c r="B16" s="39">
        <v>0</v>
      </c>
      <c r="C16" s="141" t="s">
        <v>409</v>
      </c>
      <c r="D16" s="21" t="s">
        <v>6</v>
      </c>
      <c r="E16" s="21"/>
      <c r="F16" s="21"/>
      <c r="G16" s="21"/>
      <c r="H16" s="29"/>
      <c r="I16" s="145"/>
      <c r="J16" s="145"/>
      <c r="K16" s="145"/>
      <c r="L16" s="145"/>
      <c r="M16" s="145"/>
      <c r="N16" s="145"/>
      <c r="O16" s="142" t="e">
        <f t="shared" si="0"/>
        <v>#DIV/0!</v>
      </c>
      <c r="P16" s="59"/>
      <c r="Q16" s="46" t="s">
        <v>448</v>
      </c>
    </row>
    <row r="17" spans="1:18"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59"/>
      <c r="Q17" s="143" t="s">
        <v>525</v>
      </c>
    </row>
    <row r="18" spans="1:18"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59"/>
      <c r="Q18" s="143" t="s">
        <v>526</v>
      </c>
    </row>
    <row r="19" spans="1:18" ht="45" customHeight="1">
      <c r="A19" s="41" t="s">
        <v>429</v>
      </c>
      <c r="B19" s="39">
        <v>0</v>
      </c>
      <c r="C19" s="141" t="s">
        <v>51</v>
      </c>
      <c r="D19" s="141" t="s">
        <v>6</v>
      </c>
      <c r="E19" s="141"/>
      <c r="F19" s="141"/>
      <c r="G19" s="141"/>
      <c r="H19" s="29">
        <v>0</v>
      </c>
      <c r="I19" s="145">
        <v>0</v>
      </c>
      <c r="J19" s="145">
        <v>0</v>
      </c>
      <c r="K19" s="145">
        <v>0</v>
      </c>
      <c r="L19" s="145">
        <v>0</v>
      </c>
      <c r="M19" s="145">
        <v>0</v>
      </c>
      <c r="N19" s="145">
        <v>0</v>
      </c>
      <c r="O19" s="142">
        <f t="shared" si="0"/>
        <v>0</v>
      </c>
      <c r="P19" s="143"/>
      <c r="Q19" s="155" t="s">
        <v>527</v>
      </c>
    </row>
    <row r="20" spans="1:18"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59"/>
      <c r="Q20" s="143" t="s">
        <v>489</v>
      </c>
    </row>
    <row r="21" spans="1:18"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59"/>
      <c r="Q21" s="143" t="s">
        <v>528</v>
      </c>
    </row>
    <row r="22" spans="1:18" ht="45"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c r="Q22" s="143" t="s">
        <v>188</v>
      </c>
    </row>
    <row r="23" spans="1:18"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59"/>
      <c r="Q23" s="143" t="s">
        <v>451</v>
      </c>
    </row>
    <row r="24" spans="1:18"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59"/>
      <c r="Q24" s="143" t="s">
        <v>529</v>
      </c>
    </row>
    <row r="25" spans="1:18" ht="45" customHeight="1">
      <c r="A25" s="153" t="s">
        <v>415</v>
      </c>
      <c r="B25" s="39">
        <v>0</v>
      </c>
      <c r="C25" s="21" t="s">
        <v>51</v>
      </c>
      <c r="D25" s="21" t="s">
        <v>6</v>
      </c>
      <c r="E25" s="21"/>
      <c r="F25" s="21"/>
      <c r="G25" s="21"/>
      <c r="H25" s="48"/>
      <c r="I25" s="51"/>
      <c r="J25" s="51"/>
      <c r="K25" s="51"/>
      <c r="L25" s="51"/>
      <c r="M25" s="51"/>
      <c r="N25" s="51"/>
      <c r="O25" s="142" t="e">
        <f t="shared" si="0"/>
        <v>#DIV/0!</v>
      </c>
      <c r="P25" s="143"/>
      <c r="Q25" s="46" t="s">
        <v>569</v>
      </c>
    </row>
    <row r="26" spans="1:18" ht="45" customHeight="1">
      <c r="A26" s="153"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c r="Q26" s="143" t="s">
        <v>570</v>
      </c>
    </row>
    <row r="27" spans="1:18"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59"/>
      <c r="Q27" s="143" t="s">
        <v>493</v>
      </c>
    </row>
    <row r="28" spans="1:18" ht="45"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43"/>
      <c r="Q28" s="138" t="s">
        <v>494</v>
      </c>
      <c r="R28" s="13" t="s">
        <v>578</v>
      </c>
    </row>
    <row r="29" spans="1:18"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59"/>
      <c r="Q29" s="143" t="s">
        <v>531</v>
      </c>
    </row>
    <row r="30" spans="1:18"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c r="Q30" s="143" t="s">
        <v>560</v>
      </c>
    </row>
    <row r="31" spans="1:18" ht="45" hidden="1" customHeight="1">
      <c r="A31" s="153" t="s">
        <v>283</v>
      </c>
      <c r="B31" s="39">
        <v>0</v>
      </c>
      <c r="C31" s="21" t="s">
        <v>174</v>
      </c>
      <c r="D31" s="21" t="s">
        <v>6</v>
      </c>
      <c r="E31" s="21"/>
      <c r="F31" s="21"/>
      <c r="G31" s="21"/>
      <c r="H31" s="48"/>
      <c r="I31" s="51"/>
      <c r="J31" s="51"/>
      <c r="K31" s="51"/>
      <c r="L31" s="51"/>
      <c r="M31" s="51"/>
      <c r="N31" s="51"/>
      <c r="O31" s="142" t="e">
        <f t="shared" si="0"/>
        <v>#DIV/0!</v>
      </c>
      <c r="P31" s="59"/>
      <c r="Q31" s="46" t="s">
        <v>532</v>
      </c>
    </row>
    <row r="32" spans="1:18"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c r="Q32" s="143" t="s">
        <v>561</v>
      </c>
    </row>
    <row r="33" spans="1:18"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59"/>
      <c r="Q33" s="46" t="s">
        <v>533</v>
      </c>
    </row>
    <row r="34" spans="1:18"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59"/>
      <c r="Q34" s="143" t="s">
        <v>226</v>
      </c>
    </row>
    <row r="35" spans="1:18"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59"/>
      <c r="Q35" s="143" t="s">
        <v>534</v>
      </c>
    </row>
    <row r="36" spans="1:18"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59"/>
      <c r="Q36" s="143" t="s">
        <v>245</v>
      </c>
    </row>
    <row r="37" spans="1:18"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59"/>
      <c r="Q37" s="143" t="s">
        <v>535</v>
      </c>
    </row>
    <row r="38" spans="1:18"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59"/>
      <c r="Q38" s="143" t="s">
        <v>536</v>
      </c>
    </row>
    <row r="39" spans="1:18"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59"/>
      <c r="Q39" s="143" t="s">
        <v>500</v>
      </c>
    </row>
    <row r="40" spans="1:18"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59"/>
      <c r="Q40" s="143" t="s">
        <v>107</v>
      </c>
      <c r="R40" s="13" t="s">
        <v>259</v>
      </c>
    </row>
    <row r="41" spans="1:18"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59"/>
      <c r="Q41" s="143" t="s">
        <v>537</v>
      </c>
      <c r="R41" s="13" t="s">
        <v>259</v>
      </c>
    </row>
    <row r="42" spans="1:18"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59"/>
      <c r="Q42" s="143" t="s">
        <v>538</v>
      </c>
    </row>
    <row r="43" spans="1:18"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59"/>
      <c r="Q43" s="138" t="s">
        <v>502</v>
      </c>
    </row>
    <row r="44" spans="1:18"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3"/>
      <c r="Q44" s="144" t="s">
        <v>571</v>
      </c>
      <c r="R44" s="13" t="s">
        <v>579</v>
      </c>
    </row>
    <row r="45" spans="1:18"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43"/>
      <c r="Q45" s="138" t="s">
        <v>504</v>
      </c>
    </row>
    <row r="46" spans="1:18"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59"/>
      <c r="Q46" s="138" t="s">
        <v>505</v>
      </c>
    </row>
    <row r="47" spans="1:18"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43"/>
      <c r="Q47" s="138" t="s">
        <v>539</v>
      </c>
    </row>
    <row r="48" spans="1:18"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43"/>
      <c r="Q48" s="138" t="s">
        <v>370</v>
      </c>
      <c r="R48" s="13" t="s">
        <v>268</v>
      </c>
    </row>
    <row r="49" spans="1:17"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c r="Q49" s="143" t="s">
        <v>540</v>
      </c>
    </row>
    <row r="50" spans="1:17"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59"/>
      <c r="Q50" s="138" t="s">
        <v>507</v>
      </c>
    </row>
    <row r="51" spans="1:17"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59"/>
      <c r="Q51" s="138" t="s">
        <v>541</v>
      </c>
    </row>
    <row r="52" spans="1:17"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59"/>
      <c r="Q52" s="24" t="s">
        <v>509</v>
      </c>
    </row>
    <row r="53" spans="1:17" ht="45" customHeight="1">
      <c r="A53" s="153" t="s">
        <v>315</v>
      </c>
      <c r="B53" s="39">
        <v>0</v>
      </c>
      <c r="C53" s="141" t="s">
        <v>51</v>
      </c>
      <c r="D53" s="21" t="s">
        <v>6</v>
      </c>
      <c r="E53" s="21"/>
      <c r="F53" s="21"/>
      <c r="G53" s="21"/>
      <c r="H53" s="48"/>
      <c r="I53" s="51"/>
      <c r="J53" s="51"/>
      <c r="K53" s="51"/>
      <c r="L53" s="51"/>
      <c r="M53" s="51"/>
      <c r="N53" s="51"/>
      <c r="O53" s="142" t="e">
        <f t="shared" si="1"/>
        <v>#DIV/0!</v>
      </c>
      <c r="P53" s="143"/>
      <c r="Q53" s="46" t="s">
        <v>572</v>
      </c>
    </row>
    <row r="54" spans="1:17" ht="45" customHeight="1">
      <c r="A54" s="153" t="s">
        <v>543</v>
      </c>
      <c r="B54" s="39">
        <v>0</v>
      </c>
      <c r="C54" s="141" t="s">
        <v>51</v>
      </c>
      <c r="D54" s="21"/>
      <c r="E54" s="21"/>
      <c r="F54" s="21"/>
      <c r="G54" s="21"/>
      <c r="H54" s="48"/>
      <c r="I54" s="51"/>
      <c r="J54" s="51"/>
      <c r="K54" s="51"/>
      <c r="L54" s="51"/>
      <c r="M54" s="51"/>
      <c r="N54" s="51"/>
      <c r="O54" s="142" t="e">
        <f t="shared" si="1"/>
        <v>#DIV/0!</v>
      </c>
      <c r="P54" s="143"/>
      <c r="Q54" s="46" t="s">
        <v>573</v>
      </c>
    </row>
    <row r="55" spans="1:17" ht="45" customHeight="1">
      <c r="A55" s="153" t="s">
        <v>545</v>
      </c>
      <c r="B55" s="39">
        <v>0</v>
      </c>
      <c r="C55" s="141" t="s">
        <v>51</v>
      </c>
      <c r="D55" s="21" t="s">
        <v>6</v>
      </c>
      <c r="E55" s="21"/>
      <c r="F55" s="21"/>
      <c r="G55" s="21"/>
      <c r="H55" s="48"/>
      <c r="I55" s="51"/>
      <c r="J55" s="51"/>
      <c r="K55" s="51"/>
      <c r="L55" s="51"/>
      <c r="M55" s="51"/>
      <c r="N55" s="51"/>
      <c r="O55" s="142" t="e">
        <f t="shared" si="1"/>
        <v>#DIV/0!</v>
      </c>
      <c r="P55" s="143"/>
      <c r="Q55" s="46" t="s">
        <v>574</v>
      </c>
    </row>
    <row r="56" spans="1:17" ht="45" customHeight="1">
      <c r="A56" s="153" t="s">
        <v>564</v>
      </c>
      <c r="B56" s="39">
        <v>0</v>
      </c>
      <c r="C56" s="141" t="s">
        <v>51</v>
      </c>
      <c r="D56" s="21"/>
      <c r="E56" s="21"/>
      <c r="F56" s="21"/>
      <c r="G56" s="21"/>
      <c r="H56" s="48"/>
      <c r="I56" s="51"/>
      <c r="J56" s="51"/>
      <c r="K56" s="51"/>
      <c r="L56" s="51"/>
      <c r="M56" s="51"/>
      <c r="N56" s="51"/>
      <c r="O56" s="142"/>
      <c r="P56" s="143"/>
      <c r="Q56" s="46" t="s">
        <v>575</v>
      </c>
    </row>
    <row r="57" spans="1:17" ht="45" customHeight="1">
      <c r="A57" s="153" t="s">
        <v>576</v>
      </c>
      <c r="B57" s="39">
        <v>0</v>
      </c>
      <c r="C57" s="141" t="s">
        <v>51</v>
      </c>
      <c r="D57" s="21" t="s">
        <v>6</v>
      </c>
      <c r="E57" s="21"/>
      <c r="F57" s="21"/>
      <c r="G57" s="21"/>
      <c r="H57" s="48"/>
      <c r="I57" s="51"/>
      <c r="J57" s="51"/>
      <c r="K57" s="51"/>
      <c r="L57" s="51"/>
      <c r="M57" s="51"/>
      <c r="N57" s="51"/>
      <c r="O57" s="142"/>
      <c r="P57" s="143"/>
      <c r="Q57" s="46" t="s">
        <v>580</v>
      </c>
    </row>
    <row r="58" spans="1:17" ht="45" customHeight="1">
      <c r="A58" s="153" t="s">
        <v>149</v>
      </c>
      <c r="B58" s="39">
        <v>0</v>
      </c>
      <c r="C58" s="141" t="s">
        <v>51</v>
      </c>
      <c r="D58" s="141" t="s">
        <v>26</v>
      </c>
      <c r="E58" s="141" t="s">
        <v>44</v>
      </c>
      <c r="F58" s="141" t="s">
        <v>37</v>
      </c>
      <c r="G58" s="141"/>
      <c r="H58" s="29">
        <v>5</v>
      </c>
      <c r="I58" s="145">
        <v>5</v>
      </c>
      <c r="J58" s="145">
        <v>5</v>
      </c>
      <c r="K58" s="145">
        <v>5</v>
      </c>
      <c r="L58" s="145">
        <v>5</v>
      </c>
      <c r="M58" s="145">
        <v>5</v>
      </c>
      <c r="N58" s="145">
        <v>5</v>
      </c>
      <c r="O58" s="142">
        <f t="shared" ref="O58:O76" si="2">AVERAGE(H58:N58)</f>
        <v>5</v>
      </c>
      <c r="P58" s="143"/>
      <c r="Q58" s="143" t="s">
        <v>581</v>
      </c>
    </row>
    <row r="59" spans="1:17" ht="45" hidden="1" customHeight="1">
      <c r="A59" s="153" t="s">
        <v>129</v>
      </c>
      <c r="B59" s="39">
        <v>0</v>
      </c>
      <c r="C59" s="141" t="s">
        <v>123</v>
      </c>
      <c r="D59" s="141" t="s">
        <v>26</v>
      </c>
      <c r="E59" s="141" t="s">
        <v>47</v>
      </c>
      <c r="F59" s="141" t="s">
        <v>41</v>
      </c>
      <c r="G59" s="141"/>
      <c r="H59" s="29">
        <v>0</v>
      </c>
      <c r="I59" s="145">
        <v>0</v>
      </c>
      <c r="J59" s="145">
        <v>0</v>
      </c>
      <c r="K59" s="145">
        <v>0</v>
      </c>
      <c r="L59" s="145">
        <v>0</v>
      </c>
      <c r="M59" s="145">
        <v>0</v>
      </c>
      <c r="N59" s="145">
        <v>0</v>
      </c>
      <c r="O59" s="142">
        <f t="shared" si="2"/>
        <v>0</v>
      </c>
      <c r="P59" s="59"/>
      <c r="Q59" s="143" t="s">
        <v>548</v>
      </c>
    </row>
    <row r="60" spans="1:17" ht="45" hidden="1" customHeight="1">
      <c r="A60" s="40" t="s">
        <v>134</v>
      </c>
      <c r="B60" s="39">
        <v>0</v>
      </c>
      <c r="C60" s="141" t="s">
        <v>123</v>
      </c>
      <c r="D60" s="141" t="s">
        <v>18</v>
      </c>
      <c r="E60" s="141" t="s">
        <v>44</v>
      </c>
      <c r="F60" s="141" t="s">
        <v>38</v>
      </c>
      <c r="G60" s="141"/>
      <c r="H60" s="29">
        <v>0</v>
      </c>
      <c r="I60" s="145">
        <v>0</v>
      </c>
      <c r="J60" s="145">
        <v>0</v>
      </c>
      <c r="K60" s="145">
        <v>0</v>
      </c>
      <c r="L60" s="145">
        <v>0</v>
      </c>
      <c r="M60" s="145">
        <v>0</v>
      </c>
      <c r="N60" s="145">
        <v>0</v>
      </c>
      <c r="O60" s="142">
        <f t="shared" si="2"/>
        <v>0</v>
      </c>
      <c r="P60" s="59"/>
      <c r="Q60" s="143" t="s">
        <v>512</v>
      </c>
    </row>
    <row r="61" spans="1:17" ht="45" hidden="1" customHeight="1">
      <c r="A61" s="153" t="s">
        <v>281</v>
      </c>
      <c r="B61" s="39">
        <v>0</v>
      </c>
      <c r="C61" s="21" t="s">
        <v>150</v>
      </c>
      <c r="D61" s="21" t="s">
        <v>6</v>
      </c>
      <c r="E61" s="21"/>
      <c r="F61" s="21" t="s">
        <v>38</v>
      </c>
      <c r="G61" s="21"/>
      <c r="H61" s="48">
        <v>0</v>
      </c>
      <c r="I61" s="51">
        <v>0</v>
      </c>
      <c r="J61" s="51">
        <v>0</v>
      </c>
      <c r="K61" s="51">
        <v>0</v>
      </c>
      <c r="L61" s="51">
        <v>0</v>
      </c>
      <c r="M61" s="51">
        <v>0</v>
      </c>
      <c r="N61" s="51">
        <v>0</v>
      </c>
      <c r="O61" s="142">
        <f t="shared" si="2"/>
        <v>0</v>
      </c>
      <c r="P61" s="59"/>
      <c r="Q61" s="46" t="s">
        <v>549</v>
      </c>
    </row>
    <row r="62" spans="1:17" ht="45" hidden="1" customHeight="1">
      <c r="A62" s="153" t="s">
        <v>221</v>
      </c>
      <c r="B62" s="39">
        <v>0</v>
      </c>
      <c r="C62" s="141" t="s">
        <v>267</v>
      </c>
      <c r="D62" s="141" t="s">
        <v>6</v>
      </c>
      <c r="E62" s="141"/>
      <c r="F62" s="141"/>
      <c r="G62" s="141"/>
      <c r="H62" s="29">
        <v>0</v>
      </c>
      <c r="I62" s="145">
        <v>0</v>
      </c>
      <c r="J62" s="145">
        <v>0</v>
      </c>
      <c r="K62" s="145">
        <v>0</v>
      </c>
      <c r="L62" s="145">
        <v>0</v>
      </c>
      <c r="M62" s="145">
        <v>0</v>
      </c>
      <c r="N62" s="145">
        <v>0</v>
      </c>
      <c r="O62" s="142">
        <f t="shared" si="2"/>
        <v>0</v>
      </c>
      <c r="P62" s="59"/>
      <c r="Q62" s="143" t="s">
        <v>222</v>
      </c>
    </row>
    <row r="63" spans="1:17" ht="45" hidden="1" customHeight="1">
      <c r="A63" s="153" t="s">
        <v>468</v>
      </c>
      <c r="B63" s="39">
        <v>0</v>
      </c>
      <c r="C63" s="141" t="s">
        <v>150</v>
      </c>
      <c r="D63" s="141" t="s">
        <v>10</v>
      </c>
      <c r="E63" s="141" t="s">
        <v>44</v>
      </c>
      <c r="F63" s="141" t="s">
        <v>38</v>
      </c>
      <c r="G63" s="141"/>
      <c r="H63" s="29">
        <v>0</v>
      </c>
      <c r="I63" s="29">
        <v>3</v>
      </c>
      <c r="J63" s="29">
        <v>0</v>
      </c>
      <c r="K63" s="29">
        <v>3</v>
      </c>
      <c r="L63" s="29">
        <v>0</v>
      </c>
      <c r="M63" s="29">
        <v>0</v>
      </c>
      <c r="N63" s="29" t="s">
        <v>118</v>
      </c>
      <c r="O63" s="142">
        <f t="shared" si="2"/>
        <v>1</v>
      </c>
      <c r="P63" s="59"/>
      <c r="Q63" s="143" t="s">
        <v>550</v>
      </c>
    </row>
    <row r="64" spans="1:17" ht="45" hidden="1" customHeight="1">
      <c r="A64" s="40" t="s">
        <v>130</v>
      </c>
      <c r="B64" s="39">
        <v>0</v>
      </c>
      <c r="C64" s="141" t="s">
        <v>123</v>
      </c>
      <c r="D64" s="141" t="s">
        <v>26</v>
      </c>
      <c r="E64" s="141" t="s">
        <v>44</v>
      </c>
      <c r="F64" s="141" t="s">
        <v>40</v>
      </c>
      <c r="G64" s="42"/>
      <c r="H64" s="139">
        <v>1</v>
      </c>
      <c r="I64" s="139">
        <v>1</v>
      </c>
      <c r="J64" s="139">
        <v>1</v>
      </c>
      <c r="K64" s="139">
        <v>1</v>
      </c>
      <c r="L64" s="139">
        <v>1</v>
      </c>
      <c r="M64" s="139">
        <v>0</v>
      </c>
      <c r="N64" s="139">
        <v>0</v>
      </c>
      <c r="O64" s="142">
        <f t="shared" si="2"/>
        <v>0.7142857142857143</v>
      </c>
      <c r="P64" s="59"/>
      <c r="Q64" s="138" t="s">
        <v>432</v>
      </c>
    </row>
    <row r="65" spans="1:17" ht="45" hidden="1" customHeight="1">
      <c r="A65" s="153" t="s">
        <v>173</v>
      </c>
      <c r="B65" s="39">
        <v>0</v>
      </c>
      <c r="C65" s="141" t="s">
        <v>174</v>
      </c>
      <c r="D65" s="141" t="s">
        <v>6</v>
      </c>
      <c r="E65" s="141"/>
      <c r="F65" s="141"/>
      <c r="G65" s="42"/>
      <c r="H65" s="139" t="s">
        <v>118</v>
      </c>
      <c r="I65" s="139" t="s">
        <v>118</v>
      </c>
      <c r="J65" s="139" t="s">
        <v>118</v>
      </c>
      <c r="K65" s="139" t="s">
        <v>118</v>
      </c>
      <c r="L65" s="139" t="s">
        <v>118</v>
      </c>
      <c r="M65" s="139" t="s">
        <v>118</v>
      </c>
      <c r="N65" s="139" t="s">
        <v>118</v>
      </c>
      <c r="O65" s="142" t="e">
        <f t="shared" si="2"/>
        <v>#DIV/0!</v>
      </c>
      <c r="P65" s="59"/>
      <c r="Q65" s="138" t="s">
        <v>551</v>
      </c>
    </row>
    <row r="66" spans="1:17" ht="45" hidden="1" customHeight="1">
      <c r="A66" s="28" t="s">
        <v>433</v>
      </c>
      <c r="B66" s="39">
        <v>0</v>
      </c>
      <c r="C66" s="141" t="s">
        <v>150</v>
      </c>
      <c r="D66" s="35" t="s">
        <v>26</v>
      </c>
      <c r="E66" s="35" t="s">
        <v>48</v>
      </c>
      <c r="F66" s="35"/>
      <c r="G66" s="43"/>
      <c r="H66" s="139">
        <v>0</v>
      </c>
      <c r="I66" s="139">
        <v>0</v>
      </c>
      <c r="J66" s="139">
        <v>0</v>
      </c>
      <c r="K66" s="139">
        <v>0</v>
      </c>
      <c r="L66" s="139">
        <v>0</v>
      </c>
      <c r="M66" s="139">
        <v>0</v>
      </c>
      <c r="N66" s="139">
        <v>0</v>
      </c>
      <c r="O66" s="142">
        <f t="shared" si="2"/>
        <v>0</v>
      </c>
      <c r="P66" s="59"/>
      <c r="Q66" s="138" t="s">
        <v>552</v>
      </c>
    </row>
    <row r="67" spans="1:17" ht="45" hidden="1" customHeight="1">
      <c r="A67" s="140" t="s">
        <v>176</v>
      </c>
      <c r="B67" s="39">
        <v>0</v>
      </c>
      <c r="C67" s="141" t="s">
        <v>174</v>
      </c>
      <c r="D67" s="141"/>
      <c r="E67" s="141"/>
      <c r="F67" s="141"/>
      <c r="G67" s="42"/>
      <c r="H67" s="139" t="s">
        <v>118</v>
      </c>
      <c r="I67" s="139" t="s">
        <v>118</v>
      </c>
      <c r="J67" s="139" t="s">
        <v>118</v>
      </c>
      <c r="K67" s="139" t="s">
        <v>118</v>
      </c>
      <c r="L67" s="139" t="s">
        <v>118</v>
      </c>
      <c r="M67" s="139" t="s">
        <v>118</v>
      </c>
      <c r="N67" s="139" t="s">
        <v>118</v>
      </c>
      <c r="O67" s="142" t="e">
        <f t="shared" si="2"/>
        <v>#DIV/0!</v>
      </c>
      <c r="P67" s="59"/>
      <c r="Q67" s="138" t="s">
        <v>553</v>
      </c>
    </row>
    <row r="68" spans="1:17" ht="45" hidden="1" customHeight="1">
      <c r="A68" s="140" t="s">
        <v>246</v>
      </c>
      <c r="B68" s="39">
        <v>0</v>
      </c>
      <c r="C68" s="141" t="s">
        <v>150</v>
      </c>
      <c r="D68" s="141" t="s">
        <v>6</v>
      </c>
      <c r="E68" s="141"/>
      <c r="F68" s="141"/>
      <c r="G68" s="42"/>
      <c r="H68" s="139" t="s">
        <v>118</v>
      </c>
      <c r="I68" s="139" t="s">
        <v>118</v>
      </c>
      <c r="J68" s="139" t="s">
        <v>118</v>
      </c>
      <c r="K68" s="139" t="s">
        <v>118</v>
      </c>
      <c r="L68" s="139" t="s">
        <v>118</v>
      </c>
      <c r="M68" s="139" t="s">
        <v>118</v>
      </c>
      <c r="N68" s="139" t="s">
        <v>118</v>
      </c>
      <c r="O68" s="142" t="e">
        <f t="shared" si="2"/>
        <v>#DIV/0!</v>
      </c>
      <c r="P68" s="59"/>
      <c r="Q68" s="138" t="s">
        <v>566</v>
      </c>
    </row>
    <row r="69" spans="1:17" ht="45" hidden="1" customHeight="1">
      <c r="A69" s="140" t="s">
        <v>184</v>
      </c>
      <c r="B69" s="39">
        <v>0</v>
      </c>
      <c r="C69" s="141" t="s">
        <v>174</v>
      </c>
      <c r="D69" s="141" t="s">
        <v>14</v>
      </c>
      <c r="E69" s="141"/>
      <c r="F69" s="141"/>
      <c r="G69" s="42"/>
      <c r="H69" s="139">
        <v>0</v>
      </c>
      <c r="I69" s="139">
        <v>0</v>
      </c>
      <c r="J69" s="139">
        <v>0</v>
      </c>
      <c r="K69" s="139">
        <v>0</v>
      </c>
      <c r="L69" s="139">
        <v>0</v>
      </c>
      <c r="M69" s="139">
        <v>0</v>
      </c>
      <c r="N69" s="139">
        <v>0</v>
      </c>
      <c r="O69" s="142">
        <f t="shared" si="2"/>
        <v>0</v>
      </c>
      <c r="P69" s="59"/>
      <c r="Q69" s="138" t="s">
        <v>554</v>
      </c>
    </row>
    <row r="70" spans="1:17" ht="45" hidden="1" customHeight="1">
      <c r="A70" s="140" t="s">
        <v>182</v>
      </c>
      <c r="B70" s="39">
        <v>0</v>
      </c>
      <c r="C70" s="141" t="s">
        <v>174</v>
      </c>
      <c r="D70" s="141" t="s">
        <v>14</v>
      </c>
      <c r="E70" s="141"/>
      <c r="F70" s="141"/>
      <c r="G70" s="42"/>
      <c r="H70" s="50">
        <v>0</v>
      </c>
      <c r="I70" s="50">
        <v>0</v>
      </c>
      <c r="J70" s="50">
        <v>0</v>
      </c>
      <c r="K70" s="50">
        <v>0</v>
      </c>
      <c r="L70" s="50">
        <v>0</v>
      </c>
      <c r="M70" s="50">
        <v>0</v>
      </c>
      <c r="N70" s="50">
        <v>0</v>
      </c>
      <c r="O70" s="142">
        <f t="shared" si="2"/>
        <v>0</v>
      </c>
      <c r="P70" s="59"/>
      <c r="Q70" s="148" t="s">
        <v>555</v>
      </c>
    </row>
    <row r="71" spans="1:17" ht="45" hidden="1" customHeight="1">
      <c r="A71" s="58" t="s">
        <v>122</v>
      </c>
      <c r="B71" s="39">
        <v>0</v>
      </c>
      <c r="C71" s="141" t="s">
        <v>123</v>
      </c>
      <c r="D71" s="141" t="s">
        <v>14</v>
      </c>
      <c r="E71" s="141" t="s">
        <v>44</v>
      </c>
      <c r="F71" s="141" t="s">
        <v>40</v>
      </c>
      <c r="G71" s="141"/>
      <c r="H71" s="50">
        <v>3</v>
      </c>
      <c r="I71" s="50">
        <v>0</v>
      </c>
      <c r="J71" s="50">
        <v>4</v>
      </c>
      <c r="K71" s="50">
        <v>1</v>
      </c>
      <c r="L71" s="50" t="s">
        <v>118</v>
      </c>
      <c r="M71" s="50">
        <v>2</v>
      </c>
      <c r="N71" s="50" t="s">
        <v>118</v>
      </c>
      <c r="O71" s="142">
        <f t="shared" si="2"/>
        <v>2</v>
      </c>
      <c r="P71" s="59"/>
      <c r="Q71" s="148" t="s">
        <v>556</v>
      </c>
    </row>
    <row r="72" spans="1:17" ht="45" hidden="1" customHeight="1">
      <c r="A72" s="140" t="s">
        <v>223</v>
      </c>
      <c r="B72" s="39">
        <v>0</v>
      </c>
      <c r="C72" s="141" t="s">
        <v>267</v>
      </c>
      <c r="D72" s="141" t="s">
        <v>6</v>
      </c>
      <c r="E72" s="141"/>
      <c r="F72" s="141"/>
      <c r="G72" s="141"/>
      <c r="H72" s="139">
        <v>0</v>
      </c>
      <c r="I72" s="139">
        <v>0</v>
      </c>
      <c r="J72" s="139">
        <v>0</v>
      </c>
      <c r="K72" s="139">
        <v>0</v>
      </c>
      <c r="L72" s="139">
        <v>0</v>
      </c>
      <c r="M72" s="139">
        <v>0</v>
      </c>
      <c r="N72" s="139">
        <v>0</v>
      </c>
      <c r="O72" s="142">
        <f t="shared" si="2"/>
        <v>0</v>
      </c>
      <c r="P72" s="59"/>
      <c r="Q72" s="138" t="s">
        <v>475</v>
      </c>
    </row>
    <row r="73" spans="1:17" ht="45" hidden="1" customHeight="1">
      <c r="A73" s="140" t="s">
        <v>437</v>
      </c>
      <c r="B73" s="39">
        <v>0</v>
      </c>
      <c r="C73" s="21" t="s">
        <v>123</v>
      </c>
      <c r="D73" s="21" t="s">
        <v>6</v>
      </c>
      <c r="E73" s="21"/>
      <c r="F73" s="21"/>
      <c r="G73" s="21"/>
      <c r="H73" s="22">
        <v>0</v>
      </c>
      <c r="I73" s="22">
        <v>0</v>
      </c>
      <c r="J73" s="22">
        <v>0</v>
      </c>
      <c r="K73" s="22">
        <v>0</v>
      </c>
      <c r="L73" s="22">
        <v>0</v>
      </c>
      <c r="M73" s="22">
        <v>0</v>
      </c>
      <c r="N73" s="22">
        <v>0</v>
      </c>
      <c r="O73" s="142">
        <f t="shared" si="2"/>
        <v>0</v>
      </c>
      <c r="P73" s="59"/>
      <c r="Q73" s="24" t="s">
        <v>314</v>
      </c>
    </row>
    <row r="74" spans="1:17" ht="45" hidden="1" customHeight="1">
      <c r="A74" s="140" t="s">
        <v>138</v>
      </c>
      <c r="B74" s="39">
        <v>0</v>
      </c>
      <c r="C74" s="53" t="s">
        <v>150</v>
      </c>
      <c r="D74" s="141" t="s">
        <v>26</v>
      </c>
      <c r="E74" s="141" t="s">
        <v>48</v>
      </c>
      <c r="F74" s="141"/>
      <c r="G74" s="141"/>
      <c r="H74" s="139">
        <v>1</v>
      </c>
      <c r="I74" s="139">
        <v>0</v>
      </c>
      <c r="J74" s="139">
        <v>0</v>
      </c>
      <c r="K74" s="139">
        <v>0</v>
      </c>
      <c r="L74" s="139">
        <v>0</v>
      </c>
      <c r="M74" s="139">
        <v>1</v>
      </c>
      <c r="N74" s="139">
        <v>0</v>
      </c>
      <c r="O74" s="142">
        <f t="shared" si="2"/>
        <v>0.2857142857142857</v>
      </c>
      <c r="P74" s="59"/>
      <c r="Q74" s="138" t="s">
        <v>347</v>
      </c>
    </row>
    <row r="75" spans="1:17" ht="45" hidden="1" customHeight="1">
      <c r="A75" s="140" t="s">
        <v>217</v>
      </c>
      <c r="B75" s="39">
        <v>0</v>
      </c>
      <c r="C75" s="141" t="s">
        <v>123</v>
      </c>
      <c r="D75" s="141" t="s">
        <v>6</v>
      </c>
      <c r="E75" s="141"/>
      <c r="F75" s="141"/>
      <c r="G75" s="141"/>
      <c r="H75" s="139">
        <v>0</v>
      </c>
      <c r="I75" s="139">
        <v>0</v>
      </c>
      <c r="J75" s="139">
        <v>0</v>
      </c>
      <c r="K75" s="139">
        <v>0</v>
      </c>
      <c r="L75" s="139">
        <v>0</v>
      </c>
      <c r="M75" s="139">
        <v>0</v>
      </c>
      <c r="N75" s="139">
        <v>0</v>
      </c>
      <c r="O75" s="142">
        <f t="shared" si="2"/>
        <v>0</v>
      </c>
      <c r="P75" s="59"/>
      <c r="Q75" s="138" t="s">
        <v>557</v>
      </c>
    </row>
    <row r="76" spans="1:17" ht="45" hidden="1" customHeight="1">
      <c r="A76" s="41" t="s">
        <v>171</v>
      </c>
      <c r="B76" s="39">
        <v>0</v>
      </c>
      <c r="C76" s="141" t="s">
        <v>150</v>
      </c>
      <c r="D76" s="141" t="s">
        <v>6</v>
      </c>
      <c r="E76" s="141"/>
      <c r="F76" s="141" t="s">
        <v>41</v>
      </c>
      <c r="G76" s="141"/>
      <c r="H76" s="54">
        <v>0</v>
      </c>
      <c r="I76" s="139">
        <v>0</v>
      </c>
      <c r="J76" s="139">
        <v>0</v>
      </c>
      <c r="K76" s="139">
        <v>0</v>
      </c>
      <c r="L76" s="139">
        <v>0</v>
      </c>
      <c r="M76" s="139">
        <v>0</v>
      </c>
      <c r="N76" s="139">
        <v>0</v>
      </c>
      <c r="O76" s="142">
        <f t="shared" si="2"/>
        <v>0</v>
      </c>
      <c r="P76" s="59"/>
      <c r="Q76" s="138" t="s">
        <v>520</v>
      </c>
    </row>
    <row r="77" spans="1:17" ht="45" hidden="1" customHeight="1">
      <c r="A77" s="140" t="s">
        <v>521</v>
      </c>
      <c r="B77" s="39">
        <v>0</v>
      </c>
      <c r="C77" s="141" t="s">
        <v>150</v>
      </c>
      <c r="D77" s="141"/>
      <c r="E77" s="141"/>
      <c r="F77" s="141"/>
      <c r="G77" s="141"/>
      <c r="H77" s="139"/>
      <c r="I77" s="139"/>
      <c r="J77" s="139"/>
      <c r="K77" s="139"/>
      <c r="L77" s="139"/>
      <c r="M77" s="139"/>
      <c r="N77" s="139"/>
      <c r="O77" s="142"/>
      <c r="P77" s="59"/>
      <c r="Q77" s="138" t="s">
        <v>522</v>
      </c>
    </row>
    <row r="78" spans="1:17" ht="45" hidden="1" customHeight="1">
      <c r="A78" s="140"/>
      <c r="B78" s="39">
        <v>0</v>
      </c>
      <c r="C78" s="21"/>
      <c r="D78" s="21"/>
      <c r="E78" s="21"/>
      <c r="F78" s="21"/>
      <c r="G78" s="21"/>
      <c r="H78" s="22"/>
      <c r="I78" s="22"/>
      <c r="J78" s="22"/>
      <c r="K78" s="22"/>
      <c r="L78" s="22"/>
      <c r="M78" s="22"/>
      <c r="N78" s="22"/>
      <c r="O78" s="142" t="e">
        <f t="shared" ref="O78:O85" si="3">AVERAGE(H78:N78)</f>
        <v>#DIV/0!</v>
      </c>
      <c r="P78" s="59"/>
      <c r="Q78" s="24"/>
    </row>
    <row r="79" spans="1:17" ht="45" hidden="1" customHeight="1">
      <c r="A79" s="140"/>
      <c r="B79" s="39">
        <v>0</v>
      </c>
      <c r="C79" s="21"/>
      <c r="D79" s="21"/>
      <c r="E79" s="21"/>
      <c r="F79" s="21"/>
      <c r="G79" s="21"/>
      <c r="H79" s="22"/>
      <c r="I79" s="22"/>
      <c r="J79" s="22"/>
      <c r="K79" s="22"/>
      <c r="L79" s="22"/>
      <c r="M79" s="22"/>
      <c r="N79" s="22"/>
      <c r="O79" s="142" t="e">
        <f t="shared" si="3"/>
        <v>#DIV/0!</v>
      </c>
      <c r="P79" s="59"/>
      <c r="Q79" s="24"/>
    </row>
    <row r="80" spans="1:17" ht="45" hidden="1" customHeight="1">
      <c r="A80" s="140"/>
      <c r="B80" s="39">
        <v>0</v>
      </c>
      <c r="C80" s="21"/>
      <c r="D80" s="21"/>
      <c r="E80" s="21"/>
      <c r="F80" s="21"/>
      <c r="G80" s="21"/>
      <c r="H80" s="22">
        <v>0</v>
      </c>
      <c r="I80" s="22">
        <v>0</v>
      </c>
      <c r="J80" s="22">
        <v>0</v>
      </c>
      <c r="K80" s="22">
        <v>0</v>
      </c>
      <c r="L80" s="22">
        <v>0</v>
      </c>
      <c r="M80" s="22">
        <v>0</v>
      </c>
      <c r="N80" s="22">
        <v>0</v>
      </c>
      <c r="O80" s="142">
        <f t="shared" si="3"/>
        <v>0</v>
      </c>
      <c r="P80" s="59"/>
      <c r="Q80" s="24"/>
    </row>
    <row r="81" spans="1:17" ht="45" hidden="1" customHeight="1">
      <c r="A81" s="140"/>
      <c r="B81" s="39">
        <v>0</v>
      </c>
      <c r="C81" s="21"/>
      <c r="D81" s="21"/>
      <c r="E81" s="21"/>
      <c r="F81" s="21"/>
      <c r="G81" s="21"/>
      <c r="H81" s="22"/>
      <c r="I81" s="22"/>
      <c r="J81" s="22"/>
      <c r="K81" s="22"/>
      <c r="L81" s="22"/>
      <c r="M81" s="22"/>
      <c r="N81" s="22"/>
      <c r="O81" s="142" t="e">
        <f t="shared" si="3"/>
        <v>#DIV/0!</v>
      </c>
      <c r="P81" s="59"/>
      <c r="Q81" s="24"/>
    </row>
    <row r="82" spans="1:17" ht="45" hidden="1" customHeight="1">
      <c r="A82" s="140"/>
      <c r="B82" s="39">
        <v>0</v>
      </c>
      <c r="C82" s="21"/>
      <c r="D82" s="21"/>
      <c r="E82" s="21"/>
      <c r="F82" s="21"/>
      <c r="G82" s="21"/>
      <c r="H82" s="22"/>
      <c r="I82" s="22"/>
      <c r="J82" s="22"/>
      <c r="K82" s="22"/>
      <c r="L82" s="22"/>
      <c r="M82" s="22"/>
      <c r="N82" s="22"/>
      <c r="O82" s="142" t="e">
        <f t="shared" si="3"/>
        <v>#DIV/0!</v>
      </c>
      <c r="P82" s="59"/>
      <c r="Q82" s="24"/>
    </row>
    <row r="83" spans="1:17" ht="45" hidden="1" customHeight="1">
      <c r="A83" s="140"/>
      <c r="B83" s="39">
        <v>0</v>
      </c>
      <c r="C83" s="21"/>
      <c r="D83" s="21"/>
      <c r="E83" s="21"/>
      <c r="F83" s="21"/>
      <c r="G83" s="21"/>
      <c r="H83" s="22">
        <v>0</v>
      </c>
      <c r="I83" s="22">
        <v>0</v>
      </c>
      <c r="J83" s="22">
        <v>0</v>
      </c>
      <c r="K83" s="22">
        <v>0</v>
      </c>
      <c r="L83" s="22">
        <v>0</v>
      </c>
      <c r="M83" s="22">
        <v>0</v>
      </c>
      <c r="N83" s="22">
        <v>0</v>
      </c>
      <c r="O83" s="142">
        <f t="shared" si="3"/>
        <v>0</v>
      </c>
      <c r="P83" s="59"/>
      <c r="Q83" s="24"/>
    </row>
    <row r="84" spans="1:17" ht="45" hidden="1" customHeight="1">
      <c r="A84" s="140"/>
      <c r="B84" s="39">
        <v>0</v>
      </c>
      <c r="C84" s="21"/>
      <c r="D84" s="21"/>
      <c r="E84" s="21"/>
      <c r="F84" s="21"/>
      <c r="G84" s="21"/>
      <c r="H84" s="22" t="s">
        <v>118</v>
      </c>
      <c r="I84" s="22"/>
      <c r="J84" s="22"/>
      <c r="K84" s="22"/>
      <c r="L84" s="22"/>
      <c r="M84" s="22"/>
      <c r="N84" s="22"/>
      <c r="O84" s="142" t="e">
        <f t="shared" si="3"/>
        <v>#DIV/0!</v>
      </c>
      <c r="P84" s="59"/>
      <c r="Q84" s="24"/>
    </row>
    <row r="85" spans="1:17" ht="45" hidden="1" customHeight="1">
      <c r="A85" s="140"/>
      <c r="B85" s="39">
        <v>0</v>
      </c>
      <c r="C85" s="21"/>
      <c r="D85" s="21"/>
      <c r="E85" s="21"/>
      <c r="F85" s="21"/>
      <c r="G85" s="21"/>
      <c r="H85" s="22"/>
      <c r="I85" s="22"/>
      <c r="J85" s="22"/>
      <c r="K85" s="22"/>
      <c r="L85" s="22"/>
      <c r="M85" s="22"/>
      <c r="N85" s="22"/>
      <c r="O85" s="142" t="e">
        <f t="shared" si="3"/>
        <v>#DIV/0!</v>
      </c>
      <c r="P85" s="59"/>
      <c r="Q85" s="24"/>
    </row>
    <row r="86" spans="1:17" ht="45" hidden="1" customHeight="1">
      <c r="A86" s="140"/>
      <c r="B86" s="39">
        <v>0</v>
      </c>
      <c r="C86" s="21"/>
      <c r="D86" s="21"/>
      <c r="E86" s="21"/>
      <c r="F86" s="21"/>
      <c r="G86" s="21"/>
      <c r="H86" s="22">
        <v>0</v>
      </c>
      <c r="I86" s="22">
        <v>0</v>
      </c>
      <c r="J86" s="22">
        <v>0</v>
      </c>
      <c r="K86" s="22">
        <v>0</v>
      </c>
      <c r="L86" s="22">
        <v>0</v>
      </c>
      <c r="M86" s="22">
        <v>0</v>
      </c>
      <c r="N86" s="22">
        <v>0</v>
      </c>
      <c r="O86" s="23">
        <f t="shared" ref="O86:O117" si="4">AVERAGE(H86:N88)</f>
        <v>0</v>
      </c>
      <c r="P86" s="23"/>
      <c r="Q86" s="24"/>
    </row>
    <row r="87" spans="1:17" ht="45" hidden="1" customHeight="1">
      <c r="A87" s="140"/>
      <c r="B87" s="39">
        <v>0</v>
      </c>
      <c r="C87" s="21"/>
      <c r="D87" s="21"/>
      <c r="E87" s="21"/>
      <c r="F87" s="21"/>
      <c r="G87" s="21"/>
      <c r="H87" s="22">
        <v>0</v>
      </c>
      <c r="I87" s="22">
        <v>0</v>
      </c>
      <c r="J87" s="22">
        <v>0</v>
      </c>
      <c r="K87" s="22">
        <v>0</v>
      </c>
      <c r="L87" s="22">
        <v>0</v>
      </c>
      <c r="M87" s="22">
        <v>0</v>
      </c>
      <c r="N87" s="22">
        <v>0</v>
      </c>
      <c r="O87" s="23">
        <f t="shared" si="4"/>
        <v>0</v>
      </c>
      <c r="P87" s="23"/>
      <c r="Q87" s="24"/>
    </row>
    <row r="88" spans="1:17" ht="45" hidden="1" customHeight="1">
      <c r="A88" s="140"/>
      <c r="B88" s="39">
        <v>0</v>
      </c>
      <c r="C88" s="21"/>
      <c r="D88" s="21"/>
      <c r="E88" s="21"/>
      <c r="F88" s="21"/>
      <c r="G88" s="21"/>
      <c r="H88" s="22">
        <v>0</v>
      </c>
      <c r="I88" s="22">
        <v>0</v>
      </c>
      <c r="J88" s="22">
        <v>0</v>
      </c>
      <c r="K88" s="22">
        <v>0</v>
      </c>
      <c r="L88" s="22">
        <v>0</v>
      </c>
      <c r="M88" s="22">
        <v>0</v>
      </c>
      <c r="N88" s="22">
        <v>0</v>
      </c>
      <c r="O88" s="23">
        <f t="shared" si="4"/>
        <v>0</v>
      </c>
      <c r="P88" s="23"/>
      <c r="Q88" s="24"/>
    </row>
    <row r="89" spans="1:17" ht="45" hidden="1" customHeight="1">
      <c r="A89" s="140"/>
      <c r="B89" s="39">
        <v>0</v>
      </c>
      <c r="C89" s="21"/>
      <c r="D89" s="21"/>
      <c r="E89" s="21"/>
      <c r="F89" s="21"/>
      <c r="G89" s="21"/>
      <c r="H89" s="22">
        <v>0</v>
      </c>
      <c r="I89" s="22">
        <v>0</v>
      </c>
      <c r="J89" s="22">
        <v>0</v>
      </c>
      <c r="K89" s="22">
        <v>0</v>
      </c>
      <c r="L89" s="22">
        <v>0</v>
      </c>
      <c r="M89" s="22">
        <v>0</v>
      </c>
      <c r="N89" s="22">
        <v>0</v>
      </c>
      <c r="O89" s="23">
        <f t="shared" si="4"/>
        <v>0</v>
      </c>
      <c r="P89" s="23"/>
      <c r="Q89" s="24"/>
    </row>
    <row r="90" spans="1:17" ht="45" hidden="1" customHeight="1">
      <c r="A90" s="140"/>
      <c r="B90" s="39">
        <v>0</v>
      </c>
      <c r="C90" s="21"/>
      <c r="D90" s="21"/>
      <c r="E90" s="21"/>
      <c r="F90" s="21"/>
      <c r="G90" s="21"/>
      <c r="H90" s="22">
        <v>0</v>
      </c>
      <c r="I90" s="22">
        <v>0</v>
      </c>
      <c r="J90" s="22">
        <v>0</v>
      </c>
      <c r="K90" s="22">
        <v>0</v>
      </c>
      <c r="L90" s="22">
        <v>0</v>
      </c>
      <c r="M90" s="22">
        <v>0</v>
      </c>
      <c r="N90" s="22">
        <v>0</v>
      </c>
      <c r="O90" s="23">
        <f t="shared" si="4"/>
        <v>0</v>
      </c>
      <c r="P90" s="23"/>
      <c r="Q90" s="24"/>
    </row>
    <row r="91" spans="1:17" ht="45" hidden="1" customHeight="1">
      <c r="A91" s="140"/>
      <c r="B91" s="39">
        <v>0</v>
      </c>
      <c r="C91" s="21"/>
      <c r="D91" s="21"/>
      <c r="E91" s="21"/>
      <c r="F91" s="21"/>
      <c r="G91" s="21"/>
      <c r="H91" s="22">
        <v>0</v>
      </c>
      <c r="I91" s="22">
        <v>0</v>
      </c>
      <c r="J91" s="22">
        <v>0</v>
      </c>
      <c r="K91" s="22">
        <v>0</v>
      </c>
      <c r="L91" s="22">
        <v>0</v>
      </c>
      <c r="M91" s="22">
        <v>0</v>
      </c>
      <c r="N91" s="22">
        <v>0</v>
      </c>
      <c r="O91" s="23">
        <f t="shared" si="4"/>
        <v>0</v>
      </c>
      <c r="P91" s="23"/>
      <c r="Q91" s="24"/>
    </row>
    <row r="92" spans="1:17" ht="45" hidden="1" customHeight="1">
      <c r="A92" s="140"/>
      <c r="B92" s="39">
        <v>0</v>
      </c>
      <c r="C92" s="21"/>
      <c r="D92" s="21"/>
      <c r="E92" s="21"/>
      <c r="F92" s="21"/>
      <c r="G92" s="21"/>
      <c r="H92" s="22">
        <v>0</v>
      </c>
      <c r="I92" s="22">
        <v>0</v>
      </c>
      <c r="J92" s="22">
        <v>0</v>
      </c>
      <c r="K92" s="22">
        <v>0</v>
      </c>
      <c r="L92" s="22">
        <v>0</v>
      </c>
      <c r="M92" s="22">
        <v>0</v>
      </c>
      <c r="N92" s="22">
        <v>0</v>
      </c>
      <c r="O92" s="23">
        <f t="shared" si="4"/>
        <v>0</v>
      </c>
      <c r="P92" s="23"/>
      <c r="Q92" s="24"/>
    </row>
    <row r="93" spans="1:17" ht="45" hidden="1" customHeight="1">
      <c r="A93" s="140"/>
      <c r="B93" s="39">
        <v>0</v>
      </c>
      <c r="C93" s="21"/>
      <c r="D93" s="21"/>
      <c r="E93" s="21"/>
      <c r="F93" s="21"/>
      <c r="G93" s="21"/>
      <c r="H93" s="22">
        <v>0</v>
      </c>
      <c r="I93" s="22">
        <v>0</v>
      </c>
      <c r="J93" s="22">
        <v>0</v>
      </c>
      <c r="K93" s="22">
        <v>0</v>
      </c>
      <c r="L93" s="22">
        <v>0</v>
      </c>
      <c r="M93" s="22">
        <v>0</v>
      </c>
      <c r="N93" s="22">
        <v>0</v>
      </c>
      <c r="O93" s="23">
        <f t="shared" si="4"/>
        <v>0</v>
      </c>
      <c r="P93" s="23"/>
      <c r="Q93" s="24"/>
    </row>
    <row r="94" spans="1:17" ht="45" hidden="1" customHeight="1">
      <c r="A94" s="140"/>
      <c r="B94" s="39">
        <v>0</v>
      </c>
      <c r="C94" s="21"/>
      <c r="D94" s="21"/>
      <c r="E94" s="21"/>
      <c r="F94" s="21"/>
      <c r="G94" s="21"/>
      <c r="H94" s="22">
        <v>0</v>
      </c>
      <c r="I94" s="22">
        <v>0</v>
      </c>
      <c r="J94" s="22">
        <v>0</v>
      </c>
      <c r="K94" s="22">
        <v>0</v>
      </c>
      <c r="L94" s="22">
        <v>0</v>
      </c>
      <c r="M94" s="22">
        <v>0</v>
      </c>
      <c r="N94" s="22">
        <v>0</v>
      </c>
      <c r="O94" s="23">
        <f t="shared" si="4"/>
        <v>0</v>
      </c>
      <c r="P94" s="23"/>
      <c r="Q94" s="24"/>
    </row>
    <row r="95" spans="1:17" ht="45" hidden="1" customHeight="1">
      <c r="A95" s="140"/>
      <c r="B95" s="39">
        <v>0</v>
      </c>
      <c r="C95" s="21"/>
      <c r="D95" s="21"/>
      <c r="E95" s="21"/>
      <c r="F95" s="21"/>
      <c r="G95" s="21"/>
      <c r="H95" s="22">
        <v>0</v>
      </c>
      <c r="I95" s="22">
        <v>0</v>
      </c>
      <c r="J95" s="22">
        <v>0</v>
      </c>
      <c r="K95" s="22">
        <v>0</v>
      </c>
      <c r="L95" s="22">
        <v>0</v>
      </c>
      <c r="M95" s="22">
        <v>0</v>
      </c>
      <c r="N95" s="22">
        <v>0</v>
      </c>
      <c r="O95" s="23">
        <f t="shared" si="4"/>
        <v>0</v>
      </c>
      <c r="P95" s="23"/>
      <c r="Q95" s="24"/>
    </row>
    <row r="96" spans="1:17" ht="45" hidden="1" customHeight="1">
      <c r="A96" s="140"/>
      <c r="B96" s="39">
        <v>0</v>
      </c>
      <c r="C96" s="21"/>
      <c r="D96" s="21"/>
      <c r="E96" s="21"/>
      <c r="F96" s="21"/>
      <c r="G96" s="21"/>
      <c r="H96" s="22">
        <v>0</v>
      </c>
      <c r="I96" s="22">
        <v>0</v>
      </c>
      <c r="J96" s="22">
        <v>0</v>
      </c>
      <c r="K96" s="22">
        <v>0</v>
      </c>
      <c r="L96" s="22">
        <v>0</v>
      </c>
      <c r="M96" s="22">
        <v>0</v>
      </c>
      <c r="N96" s="22">
        <v>0</v>
      </c>
      <c r="O96" s="23">
        <f t="shared" si="4"/>
        <v>0</v>
      </c>
      <c r="P96" s="23"/>
      <c r="Q96" s="24"/>
    </row>
    <row r="97" spans="1:17" ht="45" hidden="1" customHeight="1">
      <c r="A97" s="140"/>
      <c r="B97" s="39">
        <v>0</v>
      </c>
      <c r="C97" s="21"/>
      <c r="D97" s="21"/>
      <c r="E97" s="21"/>
      <c r="F97" s="21"/>
      <c r="G97" s="21"/>
      <c r="H97" s="22">
        <v>0</v>
      </c>
      <c r="I97" s="22">
        <v>0</v>
      </c>
      <c r="J97" s="22">
        <v>0</v>
      </c>
      <c r="K97" s="22">
        <v>0</v>
      </c>
      <c r="L97" s="22">
        <v>0</v>
      </c>
      <c r="M97" s="22">
        <v>0</v>
      </c>
      <c r="N97" s="22">
        <v>0</v>
      </c>
      <c r="O97" s="23">
        <f t="shared" si="4"/>
        <v>0</v>
      </c>
      <c r="P97" s="23"/>
      <c r="Q97" s="24"/>
    </row>
    <row r="98" spans="1:17" ht="45" hidden="1" customHeight="1">
      <c r="A98" s="140"/>
      <c r="B98" s="39">
        <v>0</v>
      </c>
      <c r="C98" s="21"/>
      <c r="D98" s="21"/>
      <c r="E98" s="21"/>
      <c r="F98" s="21"/>
      <c r="G98" s="21"/>
      <c r="H98" s="22">
        <v>0</v>
      </c>
      <c r="I98" s="22">
        <v>0</v>
      </c>
      <c r="J98" s="22">
        <v>0</v>
      </c>
      <c r="K98" s="22">
        <v>0</v>
      </c>
      <c r="L98" s="22">
        <v>0</v>
      </c>
      <c r="M98" s="22">
        <v>0</v>
      </c>
      <c r="N98" s="22">
        <v>0</v>
      </c>
      <c r="O98" s="23">
        <f t="shared" si="4"/>
        <v>0</v>
      </c>
      <c r="P98" s="23"/>
      <c r="Q98" s="24"/>
    </row>
    <row r="99" spans="1:17" ht="45" hidden="1" customHeight="1">
      <c r="A99" s="140"/>
      <c r="B99" s="39">
        <v>0</v>
      </c>
      <c r="C99" s="21"/>
      <c r="D99" s="21"/>
      <c r="E99" s="21"/>
      <c r="F99" s="21"/>
      <c r="G99" s="21"/>
      <c r="H99" s="22">
        <v>0</v>
      </c>
      <c r="I99" s="22">
        <v>0</v>
      </c>
      <c r="J99" s="22">
        <v>0</v>
      </c>
      <c r="K99" s="22">
        <v>0</v>
      </c>
      <c r="L99" s="22">
        <v>0</v>
      </c>
      <c r="M99" s="22">
        <v>0</v>
      </c>
      <c r="N99" s="22">
        <v>0</v>
      </c>
      <c r="O99" s="23">
        <f t="shared" si="4"/>
        <v>0</v>
      </c>
      <c r="P99" s="23"/>
      <c r="Q99" s="24"/>
    </row>
    <row r="100" spans="1:17" ht="45" hidden="1" customHeight="1">
      <c r="A100" s="140"/>
      <c r="B100" s="39">
        <v>0</v>
      </c>
      <c r="C100" s="21"/>
      <c r="D100" s="21"/>
      <c r="E100" s="21"/>
      <c r="F100" s="21"/>
      <c r="G100" s="21"/>
      <c r="H100" s="22">
        <v>0</v>
      </c>
      <c r="I100" s="22">
        <v>0</v>
      </c>
      <c r="J100" s="22">
        <v>0</v>
      </c>
      <c r="K100" s="22">
        <v>0</v>
      </c>
      <c r="L100" s="22">
        <v>0</v>
      </c>
      <c r="M100" s="22">
        <v>0</v>
      </c>
      <c r="N100" s="22">
        <v>0</v>
      </c>
      <c r="O100" s="23">
        <f t="shared" si="4"/>
        <v>0</v>
      </c>
      <c r="P100" s="23"/>
      <c r="Q100" s="24"/>
    </row>
    <row r="101" spans="1:17" ht="45" hidden="1" customHeight="1">
      <c r="A101" s="140"/>
      <c r="B101" s="39">
        <v>0</v>
      </c>
      <c r="C101" s="21"/>
      <c r="D101" s="21"/>
      <c r="E101" s="21"/>
      <c r="F101" s="21"/>
      <c r="G101" s="21"/>
      <c r="H101" s="22">
        <v>0</v>
      </c>
      <c r="I101" s="22">
        <v>0</v>
      </c>
      <c r="J101" s="22">
        <v>0</v>
      </c>
      <c r="K101" s="22">
        <v>0</v>
      </c>
      <c r="L101" s="22">
        <v>0</v>
      </c>
      <c r="M101" s="22">
        <v>0</v>
      </c>
      <c r="N101" s="22">
        <v>0</v>
      </c>
      <c r="O101" s="23">
        <f t="shared" si="4"/>
        <v>0</v>
      </c>
      <c r="P101" s="23"/>
      <c r="Q101" s="24"/>
    </row>
    <row r="102" spans="1:17" ht="45" hidden="1" customHeight="1">
      <c r="A102" s="140"/>
      <c r="B102" s="39">
        <v>0</v>
      </c>
      <c r="C102" s="21"/>
      <c r="D102" s="21"/>
      <c r="E102" s="21"/>
      <c r="F102" s="21"/>
      <c r="G102" s="21"/>
      <c r="H102" s="22">
        <v>0</v>
      </c>
      <c r="I102" s="22">
        <v>0</v>
      </c>
      <c r="J102" s="22">
        <v>0</v>
      </c>
      <c r="K102" s="22">
        <v>0</v>
      </c>
      <c r="L102" s="22">
        <v>0</v>
      </c>
      <c r="M102" s="22">
        <v>0</v>
      </c>
      <c r="N102" s="22">
        <v>0</v>
      </c>
      <c r="O102" s="23">
        <f t="shared" si="4"/>
        <v>0</v>
      </c>
      <c r="P102" s="23"/>
      <c r="Q102" s="24"/>
    </row>
    <row r="103" spans="1:17" ht="45" hidden="1" customHeight="1">
      <c r="A103" s="140"/>
      <c r="B103" s="39">
        <v>0</v>
      </c>
      <c r="C103" s="21"/>
      <c r="D103" s="21"/>
      <c r="E103" s="21"/>
      <c r="F103" s="21"/>
      <c r="G103" s="21"/>
      <c r="H103" s="22">
        <v>0</v>
      </c>
      <c r="I103" s="22">
        <v>0</v>
      </c>
      <c r="J103" s="22">
        <v>0</v>
      </c>
      <c r="K103" s="22">
        <v>0</v>
      </c>
      <c r="L103" s="22">
        <v>0</v>
      </c>
      <c r="M103" s="22">
        <v>0</v>
      </c>
      <c r="N103" s="22">
        <v>0</v>
      </c>
      <c r="O103" s="23">
        <f t="shared" si="4"/>
        <v>0</v>
      </c>
      <c r="P103" s="23"/>
      <c r="Q103" s="24"/>
    </row>
    <row r="104" spans="1:17" ht="45" hidden="1" customHeight="1">
      <c r="A104" s="140"/>
      <c r="B104" s="39">
        <v>0</v>
      </c>
      <c r="C104" s="21"/>
      <c r="D104" s="21"/>
      <c r="E104" s="21"/>
      <c r="F104" s="21"/>
      <c r="G104" s="21"/>
      <c r="H104" s="22">
        <v>0</v>
      </c>
      <c r="I104" s="22">
        <v>0</v>
      </c>
      <c r="J104" s="22">
        <v>0</v>
      </c>
      <c r="K104" s="22">
        <v>0</v>
      </c>
      <c r="L104" s="22">
        <v>0</v>
      </c>
      <c r="M104" s="22">
        <v>0</v>
      </c>
      <c r="N104" s="22">
        <v>0</v>
      </c>
      <c r="O104" s="23">
        <f t="shared" si="4"/>
        <v>0</v>
      </c>
      <c r="P104" s="23"/>
      <c r="Q104" s="24"/>
    </row>
    <row r="105" spans="1:17" ht="45" hidden="1" customHeight="1">
      <c r="A105" s="140"/>
      <c r="B105" s="39">
        <v>0</v>
      </c>
      <c r="C105" s="21"/>
      <c r="D105" s="21"/>
      <c r="E105" s="21"/>
      <c r="F105" s="21"/>
      <c r="G105" s="21"/>
      <c r="H105" s="22">
        <v>0</v>
      </c>
      <c r="I105" s="22">
        <v>0</v>
      </c>
      <c r="J105" s="22">
        <v>0</v>
      </c>
      <c r="K105" s="22">
        <v>0</v>
      </c>
      <c r="L105" s="22">
        <v>0</v>
      </c>
      <c r="M105" s="22">
        <v>0</v>
      </c>
      <c r="N105" s="22">
        <v>0</v>
      </c>
      <c r="O105" s="23">
        <f t="shared" si="4"/>
        <v>0</v>
      </c>
      <c r="P105" s="23"/>
      <c r="Q105" s="24"/>
    </row>
    <row r="106" spans="1:17" ht="45" hidden="1" customHeight="1">
      <c r="A106" s="140"/>
      <c r="B106" s="39">
        <v>0</v>
      </c>
      <c r="C106" s="21"/>
      <c r="D106" s="21"/>
      <c r="E106" s="21"/>
      <c r="F106" s="21"/>
      <c r="G106" s="21"/>
      <c r="H106" s="22">
        <v>0</v>
      </c>
      <c r="I106" s="22">
        <v>0</v>
      </c>
      <c r="J106" s="22">
        <v>0</v>
      </c>
      <c r="K106" s="22">
        <v>0</v>
      </c>
      <c r="L106" s="22">
        <v>0</v>
      </c>
      <c r="M106" s="22">
        <v>0</v>
      </c>
      <c r="N106" s="22">
        <v>0</v>
      </c>
      <c r="O106" s="23">
        <f t="shared" si="4"/>
        <v>0</v>
      </c>
      <c r="P106" s="23"/>
      <c r="Q106" s="24"/>
    </row>
    <row r="107" spans="1:17" ht="45" hidden="1" customHeight="1">
      <c r="A107" s="140"/>
      <c r="B107" s="39">
        <v>0</v>
      </c>
      <c r="C107" s="21"/>
      <c r="D107" s="21"/>
      <c r="E107" s="21"/>
      <c r="F107" s="21"/>
      <c r="G107" s="21"/>
      <c r="H107" s="22">
        <v>0</v>
      </c>
      <c r="I107" s="22">
        <v>0</v>
      </c>
      <c r="J107" s="22">
        <v>0</v>
      </c>
      <c r="K107" s="22">
        <v>0</v>
      </c>
      <c r="L107" s="22">
        <v>0</v>
      </c>
      <c r="M107" s="22">
        <v>0</v>
      </c>
      <c r="N107" s="22">
        <v>0</v>
      </c>
      <c r="O107" s="23">
        <f t="shared" si="4"/>
        <v>0</v>
      </c>
      <c r="P107" s="23"/>
      <c r="Q107" s="24"/>
    </row>
    <row r="108" spans="1:17" ht="45" hidden="1" customHeight="1">
      <c r="A108" s="140"/>
      <c r="B108" s="39">
        <v>0</v>
      </c>
      <c r="C108" s="21"/>
      <c r="D108" s="21"/>
      <c r="E108" s="21"/>
      <c r="F108" s="21"/>
      <c r="G108" s="21"/>
      <c r="H108" s="22">
        <v>0</v>
      </c>
      <c r="I108" s="22">
        <v>0</v>
      </c>
      <c r="J108" s="22">
        <v>0</v>
      </c>
      <c r="K108" s="22">
        <v>0</v>
      </c>
      <c r="L108" s="22">
        <v>0</v>
      </c>
      <c r="M108" s="22">
        <v>0</v>
      </c>
      <c r="N108" s="22">
        <v>0</v>
      </c>
      <c r="O108" s="23">
        <f t="shared" si="4"/>
        <v>0</v>
      </c>
      <c r="P108" s="23"/>
      <c r="Q108" s="24"/>
    </row>
    <row r="109" spans="1:17" ht="45" hidden="1" customHeight="1">
      <c r="A109" s="140"/>
      <c r="B109" s="39">
        <v>0</v>
      </c>
      <c r="C109" s="21"/>
      <c r="D109" s="21"/>
      <c r="E109" s="21"/>
      <c r="F109" s="21"/>
      <c r="G109" s="21"/>
      <c r="H109" s="22">
        <v>0</v>
      </c>
      <c r="I109" s="22">
        <v>0</v>
      </c>
      <c r="J109" s="22">
        <v>0</v>
      </c>
      <c r="K109" s="22">
        <v>0</v>
      </c>
      <c r="L109" s="22">
        <v>0</v>
      </c>
      <c r="M109" s="22">
        <v>0</v>
      </c>
      <c r="N109" s="22">
        <v>0</v>
      </c>
      <c r="O109" s="23">
        <f t="shared" si="4"/>
        <v>0</v>
      </c>
      <c r="P109" s="23"/>
      <c r="Q109" s="24"/>
    </row>
    <row r="110" spans="1:17" ht="45" hidden="1" customHeight="1">
      <c r="A110" s="140"/>
      <c r="B110" s="39">
        <v>0</v>
      </c>
      <c r="C110" s="21"/>
      <c r="D110" s="21"/>
      <c r="E110" s="21"/>
      <c r="F110" s="21"/>
      <c r="G110" s="21"/>
      <c r="H110" s="22">
        <v>0</v>
      </c>
      <c r="I110" s="22">
        <v>0</v>
      </c>
      <c r="J110" s="22">
        <v>0</v>
      </c>
      <c r="K110" s="22">
        <v>0</v>
      </c>
      <c r="L110" s="22">
        <v>0</v>
      </c>
      <c r="M110" s="22">
        <v>0</v>
      </c>
      <c r="N110" s="22">
        <v>0</v>
      </c>
      <c r="O110" s="23">
        <f t="shared" si="4"/>
        <v>0</v>
      </c>
      <c r="P110" s="23"/>
      <c r="Q110" s="24"/>
    </row>
    <row r="111" spans="1:17" ht="45" hidden="1" customHeight="1">
      <c r="A111" s="140"/>
      <c r="B111" s="39">
        <v>0</v>
      </c>
      <c r="C111" s="21"/>
      <c r="D111" s="21"/>
      <c r="E111" s="21"/>
      <c r="F111" s="21"/>
      <c r="G111" s="21"/>
      <c r="H111" s="22">
        <v>0</v>
      </c>
      <c r="I111" s="22">
        <v>0</v>
      </c>
      <c r="J111" s="22">
        <v>0</v>
      </c>
      <c r="K111" s="22">
        <v>0</v>
      </c>
      <c r="L111" s="22">
        <v>0</v>
      </c>
      <c r="M111" s="22">
        <v>0</v>
      </c>
      <c r="N111" s="22">
        <v>0</v>
      </c>
      <c r="O111" s="23">
        <f t="shared" si="4"/>
        <v>0</v>
      </c>
      <c r="P111" s="23"/>
      <c r="Q111" s="24"/>
    </row>
    <row r="112" spans="1:17" ht="45" hidden="1" customHeight="1">
      <c r="A112" s="140"/>
      <c r="B112" s="39">
        <v>0</v>
      </c>
      <c r="C112" s="21"/>
      <c r="D112" s="21"/>
      <c r="E112" s="21"/>
      <c r="F112" s="21"/>
      <c r="G112" s="21"/>
      <c r="H112" s="22">
        <v>0</v>
      </c>
      <c r="I112" s="22">
        <v>0</v>
      </c>
      <c r="J112" s="22">
        <v>0</v>
      </c>
      <c r="K112" s="22">
        <v>0</v>
      </c>
      <c r="L112" s="22">
        <v>0</v>
      </c>
      <c r="M112" s="22">
        <v>0</v>
      </c>
      <c r="N112" s="22">
        <v>0</v>
      </c>
      <c r="O112" s="23">
        <f t="shared" si="4"/>
        <v>0</v>
      </c>
      <c r="P112" s="23"/>
      <c r="Q112" s="24"/>
    </row>
    <row r="113" spans="1:17"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3"/>
      <c r="Q113" s="24"/>
    </row>
    <row r="114" spans="1:17"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3"/>
      <c r="Q114" s="24"/>
    </row>
    <row r="115" spans="1:17"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3"/>
      <c r="Q115" s="24"/>
    </row>
    <row r="116" spans="1:17"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3"/>
      <c r="Q116" s="24"/>
    </row>
    <row r="117" spans="1:17"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3"/>
      <c r="Q117" s="24"/>
    </row>
    <row r="118" spans="1:17" ht="45" hidden="1" customHeight="1">
      <c r="A118" s="140"/>
      <c r="B118" s="39">
        <v>0</v>
      </c>
      <c r="C118" s="21"/>
      <c r="D118" s="21"/>
      <c r="E118" s="21"/>
      <c r="F118" s="21"/>
      <c r="G118" s="21"/>
      <c r="H118" s="22">
        <v>0</v>
      </c>
      <c r="I118" s="22">
        <v>0</v>
      </c>
      <c r="J118" s="22">
        <v>0</v>
      </c>
      <c r="K118" s="22">
        <v>0</v>
      </c>
      <c r="L118" s="22">
        <v>0</v>
      </c>
      <c r="M118" s="22">
        <v>0</v>
      </c>
      <c r="N118" s="22">
        <v>0</v>
      </c>
      <c r="O118" s="23">
        <f t="shared" ref="O118:O149" si="5">AVERAGE(H118:N120)</f>
        <v>0</v>
      </c>
      <c r="P118" s="23"/>
      <c r="Q118" s="24"/>
    </row>
    <row r="119" spans="1:17" ht="45" hidden="1" customHeight="1">
      <c r="A119" s="140"/>
      <c r="B119" s="39">
        <v>0</v>
      </c>
      <c r="C119" s="21"/>
      <c r="D119" s="21"/>
      <c r="E119" s="21"/>
      <c r="F119" s="21"/>
      <c r="G119" s="21"/>
      <c r="H119" s="22">
        <v>0</v>
      </c>
      <c r="I119" s="22">
        <v>0</v>
      </c>
      <c r="J119" s="22">
        <v>0</v>
      </c>
      <c r="K119" s="22">
        <v>0</v>
      </c>
      <c r="L119" s="22">
        <v>0</v>
      </c>
      <c r="M119" s="22">
        <v>0</v>
      </c>
      <c r="N119" s="22">
        <v>0</v>
      </c>
      <c r="O119" s="23">
        <f t="shared" si="5"/>
        <v>0</v>
      </c>
      <c r="P119" s="23"/>
      <c r="Q119" s="24"/>
    </row>
    <row r="120" spans="1:17" ht="45" hidden="1" customHeight="1">
      <c r="A120" s="140"/>
      <c r="B120" s="39">
        <v>0</v>
      </c>
      <c r="C120" s="21"/>
      <c r="D120" s="21"/>
      <c r="E120" s="21"/>
      <c r="F120" s="21"/>
      <c r="G120" s="21"/>
      <c r="H120" s="22">
        <v>0</v>
      </c>
      <c r="I120" s="22">
        <v>0</v>
      </c>
      <c r="J120" s="22">
        <v>0</v>
      </c>
      <c r="K120" s="22">
        <v>0</v>
      </c>
      <c r="L120" s="22">
        <v>0</v>
      </c>
      <c r="M120" s="22">
        <v>0</v>
      </c>
      <c r="N120" s="22">
        <v>0</v>
      </c>
      <c r="O120" s="23">
        <f t="shared" si="5"/>
        <v>0</v>
      </c>
      <c r="P120" s="23"/>
      <c r="Q120" s="24"/>
    </row>
    <row r="121" spans="1:17" ht="45" hidden="1" customHeight="1">
      <c r="A121" s="140"/>
      <c r="B121" s="39">
        <v>0</v>
      </c>
      <c r="C121" s="21"/>
      <c r="D121" s="21"/>
      <c r="E121" s="21"/>
      <c r="F121" s="21"/>
      <c r="G121" s="21"/>
      <c r="H121" s="22">
        <v>0</v>
      </c>
      <c r="I121" s="22">
        <v>0</v>
      </c>
      <c r="J121" s="22">
        <v>0</v>
      </c>
      <c r="K121" s="22">
        <v>0</v>
      </c>
      <c r="L121" s="22">
        <v>0</v>
      </c>
      <c r="M121" s="22">
        <v>0</v>
      </c>
      <c r="N121" s="22">
        <v>0</v>
      </c>
      <c r="O121" s="23">
        <f t="shared" si="5"/>
        <v>0</v>
      </c>
      <c r="P121" s="23"/>
      <c r="Q121" s="24"/>
    </row>
    <row r="122" spans="1:17" ht="45" hidden="1" customHeight="1">
      <c r="A122" s="140"/>
      <c r="B122" s="39">
        <v>0</v>
      </c>
      <c r="C122" s="21"/>
      <c r="D122" s="21"/>
      <c r="E122" s="21"/>
      <c r="F122" s="21"/>
      <c r="G122" s="21"/>
      <c r="H122" s="22">
        <v>0</v>
      </c>
      <c r="I122" s="22">
        <v>0</v>
      </c>
      <c r="J122" s="22">
        <v>0</v>
      </c>
      <c r="K122" s="22">
        <v>0</v>
      </c>
      <c r="L122" s="22">
        <v>0</v>
      </c>
      <c r="M122" s="22">
        <v>0</v>
      </c>
      <c r="N122" s="22">
        <v>0</v>
      </c>
      <c r="O122" s="23">
        <f t="shared" si="5"/>
        <v>0</v>
      </c>
      <c r="P122" s="23"/>
      <c r="Q122" s="24"/>
    </row>
    <row r="123" spans="1:17" ht="45" hidden="1" customHeight="1">
      <c r="A123" s="140"/>
      <c r="B123" s="39">
        <v>0</v>
      </c>
      <c r="C123" s="21"/>
      <c r="D123" s="21"/>
      <c r="E123" s="21"/>
      <c r="F123" s="21"/>
      <c r="G123" s="21"/>
      <c r="H123" s="22">
        <v>0</v>
      </c>
      <c r="I123" s="22">
        <v>0</v>
      </c>
      <c r="J123" s="22">
        <v>0</v>
      </c>
      <c r="K123" s="22">
        <v>0</v>
      </c>
      <c r="L123" s="22">
        <v>0</v>
      </c>
      <c r="M123" s="22">
        <v>0</v>
      </c>
      <c r="N123" s="22">
        <v>0</v>
      </c>
      <c r="O123" s="23">
        <f t="shared" si="5"/>
        <v>0</v>
      </c>
      <c r="P123" s="23"/>
      <c r="Q123" s="24"/>
    </row>
    <row r="124" spans="1:17" ht="45" hidden="1" customHeight="1">
      <c r="A124" s="140"/>
      <c r="B124" s="39">
        <v>0</v>
      </c>
      <c r="C124" s="21"/>
      <c r="D124" s="21"/>
      <c r="E124" s="21"/>
      <c r="F124" s="21"/>
      <c r="G124" s="21"/>
      <c r="H124" s="22">
        <v>0</v>
      </c>
      <c r="I124" s="22">
        <v>0</v>
      </c>
      <c r="J124" s="22">
        <v>0</v>
      </c>
      <c r="K124" s="22">
        <v>0</v>
      </c>
      <c r="L124" s="22">
        <v>0</v>
      </c>
      <c r="M124" s="22">
        <v>0</v>
      </c>
      <c r="N124" s="22">
        <v>0</v>
      </c>
      <c r="O124" s="23">
        <f t="shared" si="5"/>
        <v>0</v>
      </c>
      <c r="P124" s="23"/>
      <c r="Q124" s="24"/>
    </row>
    <row r="125" spans="1:17" ht="45" hidden="1" customHeight="1">
      <c r="A125" s="140"/>
      <c r="B125" s="39">
        <v>0</v>
      </c>
      <c r="C125" s="21"/>
      <c r="D125" s="21"/>
      <c r="E125" s="21"/>
      <c r="F125" s="21"/>
      <c r="G125" s="21"/>
      <c r="H125" s="22">
        <v>0</v>
      </c>
      <c r="I125" s="22">
        <v>0</v>
      </c>
      <c r="J125" s="22">
        <v>0</v>
      </c>
      <c r="K125" s="22">
        <v>0</v>
      </c>
      <c r="L125" s="22">
        <v>0</v>
      </c>
      <c r="M125" s="22">
        <v>0</v>
      </c>
      <c r="N125" s="22">
        <v>0</v>
      </c>
      <c r="O125" s="23">
        <f t="shared" si="5"/>
        <v>0</v>
      </c>
      <c r="P125" s="23"/>
      <c r="Q125" s="24"/>
    </row>
    <row r="126" spans="1:17" ht="45" hidden="1" customHeight="1">
      <c r="A126" s="140"/>
      <c r="B126" s="39">
        <v>0</v>
      </c>
      <c r="C126" s="21"/>
      <c r="D126" s="21"/>
      <c r="E126" s="21"/>
      <c r="F126" s="21"/>
      <c r="G126" s="21"/>
      <c r="H126" s="22">
        <v>0</v>
      </c>
      <c r="I126" s="22">
        <v>0</v>
      </c>
      <c r="J126" s="22">
        <v>0</v>
      </c>
      <c r="K126" s="22">
        <v>0</v>
      </c>
      <c r="L126" s="22">
        <v>0</v>
      </c>
      <c r="M126" s="22">
        <v>0</v>
      </c>
      <c r="N126" s="22">
        <v>0</v>
      </c>
      <c r="O126" s="23">
        <f t="shared" si="5"/>
        <v>0</v>
      </c>
      <c r="P126" s="23"/>
      <c r="Q126" s="24"/>
    </row>
    <row r="127" spans="1:17" ht="45" hidden="1" customHeight="1">
      <c r="A127" s="140"/>
      <c r="B127" s="39">
        <v>0</v>
      </c>
      <c r="C127" s="21"/>
      <c r="D127" s="21"/>
      <c r="E127" s="21"/>
      <c r="F127" s="21"/>
      <c r="G127" s="21"/>
      <c r="H127" s="22">
        <v>0</v>
      </c>
      <c r="I127" s="22">
        <v>0</v>
      </c>
      <c r="J127" s="22">
        <v>0</v>
      </c>
      <c r="K127" s="22">
        <v>0</v>
      </c>
      <c r="L127" s="22">
        <v>0</v>
      </c>
      <c r="M127" s="22">
        <v>0</v>
      </c>
      <c r="N127" s="22">
        <v>0</v>
      </c>
      <c r="O127" s="23">
        <f t="shared" si="5"/>
        <v>0</v>
      </c>
      <c r="P127" s="23"/>
      <c r="Q127" s="24"/>
    </row>
    <row r="128" spans="1:17" ht="45" hidden="1" customHeight="1">
      <c r="A128" s="140"/>
      <c r="B128" s="39">
        <v>0</v>
      </c>
      <c r="C128" s="21"/>
      <c r="D128" s="21"/>
      <c r="E128" s="21"/>
      <c r="F128" s="21"/>
      <c r="G128" s="21"/>
      <c r="H128" s="22">
        <v>0</v>
      </c>
      <c r="I128" s="22">
        <v>0</v>
      </c>
      <c r="J128" s="22">
        <v>0</v>
      </c>
      <c r="K128" s="22">
        <v>0</v>
      </c>
      <c r="L128" s="22">
        <v>0</v>
      </c>
      <c r="M128" s="22">
        <v>0</v>
      </c>
      <c r="N128" s="22">
        <v>0</v>
      </c>
      <c r="O128" s="23">
        <f t="shared" si="5"/>
        <v>0</v>
      </c>
      <c r="P128" s="23"/>
      <c r="Q128" s="24"/>
    </row>
    <row r="129" spans="1:17" ht="45" hidden="1" customHeight="1">
      <c r="A129" s="140"/>
      <c r="B129" s="39">
        <v>0</v>
      </c>
      <c r="C129" s="21"/>
      <c r="D129" s="21"/>
      <c r="E129" s="21"/>
      <c r="F129" s="21"/>
      <c r="G129" s="21"/>
      <c r="H129" s="22">
        <v>0</v>
      </c>
      <c r="I129" s="22">
        <v>0</v>
      </c>
      <c r="J129" s="22">
        <v>0</v>
      </c>
      <c r="K129" s="22">
        <v>0</v>
      </c>
      <c r="L129" s="22">
        <v>0</v>
      </c>
      <c r="M129" s="22">
        <v>0</v>
      </c>
      <c r="N129" s="22">
        <v>0</v>
      </c>
      <c r="O129" s="23">
        <f t="shared" si="5"/>
        <v>0</v>
      </c>
      <c r="P129" s="23"/>
      <c r="Q129" s="24"/>
    </row>
    <row r="130" spans="1:17" ht="45" hidden="1" customHeight="1">
      <c r="A130" s="140"/>
      <c r="B130" s="39">
        <v>0</v>
      </c>
      <c r="C130" s="21"/>
      <c r="D130" s="21"/>
      <c r="E130" s="21"/>
      <c r="F130" s="21"/>
      <c r="G130" s="21"/>
      <c r="H130" s="22">
        <v>0</v>
      </c>
      <c r="I130" s="22">
        <v>0</v>
      </c>
      <c r="J130" s="22">
        <v>0</v>
      </c>
      <c r="K130" s="22">
        <v>0</v>
      </c>
      <c r="L130" s="22">
        <v>0</v>
      </c>
      <c r="M130" s="22">
        <v>0</v>
      </c>
      <c r="N130" s="22">
        <v>0</v>
      </c>
      <c r="O130" s="23">
        <f t="shared" si="5"/>
        <v>0</v>
      </c>
      <c r="P130" s="23"/>
      <c r="Q130" s="24"/>
    </row>
    <row r="131" spans="1:17" ht="45" hidden="1" customHeight="1">
      <c r="A131" s="140"/>
      <c r="B131" s="39">
        <v>0</v>
      </c>
      <c r="C131" s="21"/>
      <c r="D131" s="21"/>
      <c r="E131" s="21"/>
      <c r="F131" s="21"/>
      <c r="G131" s="21"/>
      <c r="H131" s="22">
        <v>0</v>
      </c>
      <c r="I131" s="22">
        <v>0</v>
      </c>
      <c r="J131" s="22">
        <v>0</v>
      </c>
      <c r="K131" s="22">
        <v>0</v>
      </c>
      <c r="L131" s="22">
        <v>0</v>
      </c>
      <c r="M131" s="22">
        <v>0</v>
      </c>
      <c r="N131" s="22">
        <v>0</v>
      </c>
      <c r="O131" s="23">
        <f t="shared" si="5"/>
        <v>0</v>
      </c>
      <c r="P131" s="23"/>
      <c r="Q131" s="24"/>
    </row>
    <row r="132" spans="1:17" ht="45" hidden="1" customHeight="1">
      <c r="A132" s="140"/>
      <c r="B132" s="39">
        <v>0</v>
      </c>
      <c r="C132" s="21"/>
      <c r="D132" s="21"/>
      <c r="E132" s="21"/>
      <c r="F132" s="21"/>
      <c r="G132" s="21"/>
      <c r="H132" s="22">
        <v>0</v>
      </c>
      <c r="I132" s="22">
        <v>0</v>
      </c>
      <c r="J132" s="22">
        <v>0</v>
      </c>
      <c r="K132" s="22">
        <v>0</v>
      </c>
      <c r="L132" s="22">
        <v>0</v>
      </c>
      <c r="M132" s="22">
        <v>0</v>
      </c>
      <c r="N132" s="22">
        <v>0</v>
      </c>
      <c r="O132" s="23">
        <f t="shared" si="5"/>
        <v>0</v>
      </c>
      <c r="P132" s="23"/>
      <c r="Q132" s="24"/>
    </row>
    <row r="133" spans="1:17" ht="45" hidden="1" customHeight="1">
      <c r="A133" s="140"/>
      <c r="B133" s="39">
        <v>0</v>
      </c>
      <c r="C133" s="21"/>
      <c r="D133" s="21"/>
      <c r="E133" s="21"/>
      <c r="F133" s="21"/>
      <c r="G133" s="21"/>
      <c r="H133" s="22">
        <v>0</v>
      </c>
      <c r="I133" s="22">
        <v>0</v>
      </c>
      <c r="J133" s="22">
        <v>0</v>
      </c>
      <c r="K133" s="22">
        <v>0</v>
      </c>
      <c r="L133" s="22">
        <v>0</v>
      </c>
      <c r="M133" s="22">
        <v>0</v>
      </c>
      <c r="N133" s="22">
        <v>0</v>
      </c>
      <c r="O133" s="23">
        <f t="shared" si="5"/>
        <v>0</v>
      </c>
      <c r="P133" s="23"/>
      <c r="Q133" s="24"/>
    </row>
    <row r="134" spans="1:17" ht="45" hidden="1" customHeight="1">
      <c r="A134" s="140"/>
      <c r="B134" s="39">
        <v>0</v>
      </c>
      <c r="C134" s="21"/>
      <c r="D134" s="21"/>
      <c r="E134" s="21"/>
      <c r="F134" s="21"/>
      <c r="G134" s="21"/>
      <c r="H134" s="22">
        <v>0</v>
      </c>
      <c r="I134" s="22">
        <v>0</v>
      </c>
      <c r="J134" s="22">
        <v>0</v>
      </c>
      <c r="K134" s="22">
        <v>0</v>
      </c>
      <c r="L134" s="22">
        <v>0</v>
      </c>
      <c r="M134" s="22">
        <v>0</v>
      </c>
      <c r="N134" s="22">
        <v>0</v>
      </c>
      <c r="O134" s="23">
        <f t="shared" si="5"/>
        <v>0</v>
      </c>
      <c r="P134" s="23"/>
      <c r="Q134" s="24"/>
    </row>
    <row r="135" spans="1:17" ht="45" hidden="1" customHeight="1">
      <c r="A135" s="140"/>
      <c r="B135" s="39">
        <v>0</v>
      </c>
      <c r="C135" s="21"/>
      <c r="D135" s="21"/>
      <c r="E135" s="21"/>
      <c r="F135" s="21"/>
      <c r="G135" s="21"/>
      <c r="H135" s="22">
        <v>0</v>
      </c>
      <c r="I135" s="22">
        <v>0</v>
      </c>
      <c r="J135" s="22">
        <v>0</v>
      </c>
      <c r="K135" s="22">
        <v>0</v>
      </c>
      <c r="L135" s="22">
        <v>0</v>
      </c>
      <c r="M135" s="22">
        <v>0</v>
      </c>
      <c r="N135" s="22">
        <v>0</v>
      </c>
      <c r="O135" s="23">
        <f t="shared" si="5"/>
        <v>0</v>
      </c>
      <c r="P135" s="23"/>
      <c r="Q135" s="24"/>
    </row>
    <row r="136" spans="1:17" ht="45" hidden="1" customHeight="1">
      <c r="A136" s="140"/>
      <c r="B136" s="39">
        <v>0</v>
      </c>
      <c r="C136" s="21"/>
      <c r="D136" s="21"/>
      <c r="E136" s="21"/>
      <c r="F136" s="21"/>
      <c r="G136" s="21"/>
      <c r="H136" s="22">
        <v>0</v>
      </c>
      <c r="I136" s="22">
        <v>0</v>
      </c>
      <c r="J136" s="22">
        <v>0</v>
      </c>
      <c r="K136" s="22">
        <v>0</v>
      </c>
      <c r="L136" s="22">
        <v>0</v>
      </c>
      <c r="M136" s="22">
        <v>0</v>
      </c>
      <c r="N136" s="22">
        <v>0</v>
      </c>
      <c r="O136" s="23">
        <f t="shared" si="5"/>
        <v>0</v>
      </c>
      <c r="P136" s="23"/>
      <c r="Q136" s="24"/>
    </row>
    <row r="137" spans="1:17" ht="45" hidden="1" customHeight="1">
      <c r="A137" s="140"/>
      <c r="B137" s="39">
        <v>0</v>
      </c>
      <c r="C137" s="21"/>
      <c r="D137" s="21"/>
      <c r="E137" s="21"/>
      <c r="F137" s="21"/>
      <c r="G137" s="21"/>
      <c r="H137" s="22">
        <v>0</v>
      </c>
      <c r="I137" s="22">
        <v>0</v>
      </c>
      <c r="J137" s="22">
        <v>0</v>
      </c>
      <c r="K137" s="22">
        <v>0</v>
      </c>
      <c r="L137" s="22">
        <v>0</v>
      </c>
      <c r="M137" s="22">
        <v>0</v>
      </c>
      <c r="N137" s="22">
        <v>0</v>
      </c>
      <c r="O137" s="23">
        <f t="shared" si="5"/>
        <v>0</v>
      </c>
      <c r="P137" s="23"/>
      <c r="Q137" s="24"/>
    </row>
    <row r="138" spans="1:17" ht="45" hidden="1" customHeight="1">
      <c r="A138" s="140"/>
      <c r="B138" s="39">
        <v>0</v>
      </c>
      <c r="C138" s="21"/>
      <c r="D138" s="21"/>
      <c r="E138" s="21"/>
      <c r="F138" s="21"/>
      <c r="G138" s="21"/>
      <c r="H138" s="22">
        <v>0</v>
      </c>
      <c r="I138" s="22">
        <v>0</v>
      </c>
      <c r="J138" s="22">
        <v>0</v>
      </c>
      <c r="K138" s="22">
        <v>0</v>
      </c>
      <c r="L138" s="22">
        <v>0</v>
      </c>
      <c r="M138" s="22">
        <v>0</v>
      </c>
      <c r="N138" s="22">
        <v>0</v>
      </c>
      <c r="O138" s="23">
        <f t="shared" si="5"/>
        <v>0</v>
      </c>
      <c r="P138" s="23"/>
      <c r="Q138" s="24"/>
    </row>
    <row r="139" spans="1:17" ht="45" hidden="1" customHeight="1">
      <c r="A139" s="140"/>
      <c r="B139" s="39">
        <v>0</v>
      </c>
      <c r="C139" s="21"/>
      <c r="D139" s="21"/>
      <c r="E139" s="21"/>
      <c r="F139" s="21"/>
      <c r="G139" s="21"/>
      <c r="H139" s="22">
        <v>0</v>
      </c>
      <c r="I139" s="22">
        <v>0</v>
      </c>
      <c r="J139" s="22">
        <v>0</v>
      </c>
      <c r="K139" s="22">
        <v>0</v>
      </c>
      <c r="L139" s="22">
        <v>0</v>
      </c>
      <c r="M139" s="22">
        <v>0</v>
      </c>
      <c r="N139" s="22">
        <v>0</v>
      </c>
      <c r="O139" s="23">
        <f t="shared" si="5"/>
        <v>0</v>
      </c>
      <c r="P139" s="23"/>
      <c r="Q139" s="24"/>
    </row>
    <row r="140" spans="1:17" ht="45" hidden="1" customHeight="1">
      <c r="A140" s="140"/>
      <c r="B140" s="39">
        <v>0</v>
      </c>
      <c r="C140" s="21"/>
      <c r="D140" s="21"/>
      <c r="E140" s="21"/>
      <c r="F140" s="21"/>
      <c r="G140" s="21"/>
      <c r="H140" s="22">
        <v>0</v>
      </c>
      <c r="I140" s="22">
        <v>0</v>
      </c>
      <c r="J140" s="22">
        <v>0</v>
      </c>
      <c r="K140" s="22">
        <v>0</v>
      </c>
      <c r="L140" s="22">
        <v>0</v>
      </c>
      <c r="M140" s="22">
        <v>0</v>
      </c>
      <c r="N140" s="22">
        <v>0</v>
      </c>
      <c r="O140" s="23">
        <f t="shared" si="5"/>
        <v>0</v>
      </c>
      <c r="P140" s="23"/>
      <c r="Q140" s="24"/>
    </row>
    <row r="141" spans="1:17" ht="45" hidden="1" customHeight="1">
      <c r="A141" s="140"/>
      <c r="B141" s="39">
        <v>0</v>
      </c>
      <c r="C141" s="21"/>
      <c r="D141" s="21"/>
      <c r="E141" s="21"/>
      <c r="F141" s="21"/>
      <c r="G141" s="21"/>
      <c r="H141" s="22">
        <v>0</v>
      </c>
      <c r="I141" s="22">
        <v>0</v>
      </c>
      <c r="J141" s="22">
        <v>0</v>
      </c>
      <c r="K141" s="22">
        <v>0</v>
      </c>
      <c r="L141" s="22">
        <v>0</v>
      </c>
      <c r="M141" s="22">
        <v>0</v>
      </c>
      <c r="N141" s="22">
        <v>0</v>
      </c>
      <c r="O141" s="23">
        <f t="shared" si="5"/>
        <v>0</v>
      </c>
      <c r="P141" s="23"/>
      <c r="Q141" s="24"/>
    </row>
    <row r="142" spans="1:17" ht="45" hidden="1" customHeight="1">
      <c r="A142" s="140"/>
      <c r="B142" s="39">
        <v>0</v>
      </c>
      <c r="C142" s="21"/>
      <c r="D142" s="21"/>
      <c r="E142" s="21"/>
      <c r="F142" s="21"/>
      <c r="G142" s="21"/>
      <c r="H142" s="22">
        <v>0</v>
      </c>
      <c r="I142" s="22">
        <v>0</v>
      </c>
      <c r="J142" s="22">
        <v>0</v>
      </c>
      <c r="K142" s="22">
        <v>0</v>
      </c>
      <c r="L142" s="22">
        <v>0</v>
      </c>
      <c r="M142" s="22">
        <v>0</v>
      </c>
      <c r="N142" s="22">
        <v>0</v>
      </c>
      <c r="O142" s="23">
        <f t="shared" si="5"/>
        <v>0</v>
      </c>
      <c r="P142" s="23"/>
      <c r="Q142" s="24"/>
    </row>
    <row r="143" spans="1:17" ht="45" hidden="1" customHeight="1">
      <c r="A143" s="140"/>
      <c r="B143" s="39">
        <v>0</v>
      </c>
      <c r="C143" s="21"/>
      <c r="D143" s="21"/>
      <c r="E143" s="21"/>
      <c r="F143" s="21"/>
      <c r="G143" s="21"/>
      <c r="H143" s="22">
        <v>0</v>
      </c>
      <c r="I143" s="22">
        <v>0</v>
      </c>
      <c r="J143" s="22">
        <v>0</v>
      </c>
      <c r="K143" s="22">
        <v>0</v>
      </c>
      <c r="L143" s="22">
        <v>0</v>
      </c>
      <c r="M143" s="22">
        <v>0</v>
      </c>
      <c r="N143" s="22">
        <v>0</v>
      </c>
      <c r="O143" s="23">
        <f t="shared" si="5"/>
        <v>0</v>
      </c>
      <c r="P143" s="23"/>
      <c r="Q143" s="24"/>
    </row>
    <row r="144" spans="1:17" ht="45" hidden="1" customHeight="1">
      <c r="A144" s="152"/>
      <c r="B144" s="39">
        <v>0</v>
      </c>
      <c r="C144" s="25"/>
      <c r="D144" s="25"/>
      <c r="E144" s="25"/>
      <c r="F144" s="25"/>
      <c r="G144" s="25"/>
      <c r="H144" s="36">
        <v>0</v>
      </c>
      <c r="I144" s="37">
        <v>0</v>
      </c>
      <c r="J144" s="37">
        <v>0</v>
      </c>
      <c r="K144" s="37">
        <v>0</v>
      </c>
      <c r="L144" s="37">
        <v>0</v>
      </c>
      <c r="M144" s="37">
        <v>0</v>
      </c>
      <c r="N144" s="37">
        <v>0</v>
      </c>
      <c r="O144" s="38">
        <f t="shared" si="5"/>
        <v>0</v>
      </c>
      <c r="P144" s="38"/>
      <c r="Q144" s="19"/>
    </row>
    <row r="145" spans="1:17" ht="45" hidden="1" customHeight="1">
      <c r="A145" s="153"/>
      <c r="B145" s="39">
        <v>0</v>
      </c>
      <c r="C145" s="21"/>
      <c r="D145" s="21"/>
      <c r="E145" s="21"/>
      <c r="F145" s="21"/>
      <c r="G145" s="21"/>
      <c r="H145" s="32">
        <v>0</v>
      </c>
      <c r="I145" s="22">
        <v>0</v>
      </c>
      <c r="J145" s="22">
        <v>0</v>
      </c>
      <c r="K145" s="22">
        <v>0</v>
      </c>
      <c r="L145" s="22">
        <v>0</v>
      </c>
      <c r="M145" s="22">
        <v>0</v>
      </c>
      <c r="N145" s="22">
        <v>0</v>
      </c>
      <c r="O145" s="23">
        <f t="shared" si="5"/>
        <v>0</v>
      </c>
      <c r="P145" s="23"/>
      <c r="Q145" s="24"/>
    </row>
    <row r="146" spans="1:17" ht="45" hidden="1" customHeight="1">
      <c r="A146" s="153"/>
      <c r="B146" s="39">
        <v>0</v>
      </c>
      <c r="C146" s="21"/>
      <c r="D146" s="21"/>
      <c r="E146" s="21"/>
      <c r="F146" s="21"/>
      <c r="G146" s="21"/>
      <c r="H146" s="32">
        <v>0</v>
      </c>
      <c r="I146" s="22">
        <v>0</v>
      </c>
      <c r="J146" s="22">
        <v>0</v>
      </c>
      <c r="K146" s="22">
        <v>0</v>
      </c>
      <c r="L146" s="22">
        <v>0</v>
      </c>
      <c r="M146" s="22">
        <v>0</v>
      </c>
      <c r="N146" s="22">
        <v>0</v>
      </c>
      <c r="O146" s="23">
        <f t="shared" si="5"/>
        <v>0.23809523809523808</v>
      </c>
      <c r="P146" s="23"/>
      <c r="Q146" s="24"/>
    </row>
    <row r="147" spans="1:17" ht="45" hidden="1" customHeight="1">
      <c r="A147" s="153"/>
      <c r="B147" s="39">
        <v>0</v>
      </c>
      <c r="C147" s="21"/>
      <c r="D147" s="21"/>
      <c r="E147" s="21"/>
      <c r="F147" s="21"/>
      <c r="G147" s="21"/>
      <c r="H147" s="32">
        <v>0</v>
      </c>
      <c r="I147" s="22">
        <v>0</v>
      </c>
      <c r="J147" s="22">
        <v>0</v>
      </c>
      <c r="K147" s="22">
        <v>0</v>
      </c>
      <c r="L147" s="22">
        <v>0</v>
      </c>
      <c r="M147" s="22">
        <v>0</v>
      </c>
      <c r="N147" s="22">
        <v>0</v>
      </c>
      <c r="O147" s="23">
        <f t="shared" si="5"/>
        <v>0.35714285714285715</v>
      </c>
      <c r="P147" s="23"/>
      <c r="Q147" s="24"/>
    </row>
    <row r="148" spans="1:17" ht="45" hidden="1" customHeight="1">
      <c r="A148" s="153"/>
      <c r="B148" s="39">
        <v>5</v>
      </c>
      <c r="C148" s="21"/>
      <c r="D148" s="21"/>
      <c r="E148" s="21"/>
      <c r="F148" s="21"/>
      <c r="G148" s="21"/>
      <c r="H148" s="32">
        <v>0</v>
      </c>
      <c r="I148" s="22">
        <v>0</v>
      </c>
      <c r="J148" s="22">
        <v>0</v>
      </c>
      <c r="K148" s="22">
        <v>0</v>
      </c>
      <c r="L148" s="22">
        <v>0</v>
      </c>
      <c r="M148" s="22">
        <v>0</v>
      </c>
      <c r="N148" s="22">
        <v>5</v>
      </c>
      <c r="O148" s="23">
        <f t="shared" si="5"/>
        <v>0.7142857142857143</v>
      </c>
      <c r="P148" s="23"/>
      <c r="Q148" s="24"/>
    </row>
  </sheetData>
  <autoFilter ref="A2:Q148" xr:uid="{6831539B-1EF2-456C-A99A-6624932F8169}">
    <filterColumn colId="2">
      <filters>
        <filter val="Benjamin D"/>
      </filters>
    </filterColumn>
    <sortState xmlns:xlrd2="http://schemas.microsoft.com/office/spreadsheetml/2017/richdata2" ref="A3:Q148">
      <sortCondition ref="A2:A148"/>
    </sortState>
  </autoFilter>
  <mergeCells count="2">
    <mergeCell ref="J1:K1"/>
    <mergeCell ref="L1:N1"/>
  </mergeCells>
  <conditionalFormatting sqref="B3:B148">
    <cfRule type="iconSet" priority="1">
      <iconSet iconSet="5Rating">
        <cfvo type="percent" val="0"/>
        <cfvo type="percent" val="20"/>
        <cfvo type="percent" val="40"/>
        <cfvo type="percent" val="60"/>
        <cfvo type="percent" val="80"/>
      </iconSet>
    </cfRule>
  </conditionalFormatting>
  <conditionalFormatting sqref="H77:P888 J76:P76 H76 H4:P4 H3:O3 H6:P6 H5:O5 H8:P18 H7:O7 H20:P21 H19:O19 H23:P24 H22:O22 H27:P27 H25:O26 H29:P29 H28:O28 H31:P31 H30:O30 H33:P43 H32:O32 H46:P46 H44:O45 H50:P52 H47:O49 H59:P75 H53:O58">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8" xr:uid="{5E088207-81CB-46CC-9C69-E2AAE1FAB6F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5D569B8-601D-42E9-8863-E9707BD8B24D}">
          <x14:formula1>
            <xm:f>'Guide suivi GDP '!$E$3:$E$8</xm:f>
          </x14:formula1>
          <xm:sqref>D3:D148</xm:sqref>
        </x14:dataValidation>
        <x14:dataValidation type="list" allowBlank="1" showInputMessage="1" showErrorMessage="1" xr:uid="{CEDB12F4-A83F-4E34-830E-B72D18A8D478}">
          <x14:formula1>
            <xm:f>'Guide suivi GDP '!$E$20:$E$24</xm:f>
          </x14:formula1>
          <xm:sqref>E3:E148</xm:sqref>
        </x14:dataValidation>
        <x14:dataValidation type="list" allowBlank="1" showInputMessage="1" showErrorMessage="1" xr:uid="{76C7EC0C-8E12-4E13-A923-FD36E7F5FE20}">
          <x14:formula1>
            <xm:f>'Guide suivi GDP '!$E$14:$E$19</xm:f>
          </x14:formula1>
          <xm:sqref>F3:F148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797B-ABDF-42AC-83F4-8FEE6C3FAA20}">
  <sheetPr filterMode="1">
    <tabColor rgb="FF92D050"/>
  </sheetPr>
  <dimension ref="A1:R149"/>
  <sheetViews>
    <sheetView topLeftCell="Q166" workbookViewId="0">
      <selection activeCell="Q166" sqref="Q166"/>
    </sheetView>
  </sheetViews>
  <sheetFormatPr baseColWidth="10" defaultColWidth="9.140625" defaultRowHeight="12.75" outlineLevelCol="1"/>
  <cols>
    <col min="1" max="1" width="20.42578125" style="26" customWidth="1"/>
    <col min="2" max="2" width="9.85546875" style="26" customWidth="1"/>
    <col min="3" max="3" width="12.28515625" style="5" customWidth="1"/>
    <col min="4" max="4" width="11.7109375" style="5" customWidth="1"/>
    <col min="5" max="5" width="18.28515625" style="5" customWidth="1"/>
    <col min="6" max="6" width="12.5703125" style="27" customWidth="1"/>
    <col min="7" max="7" width="14.28515625" style="27" customWidth="1"/>
    <col min="8" max="8" width="14.5703125" style="26" hidden="1" customWidth="1" outlineLevel="1" collapsed="1"/>
    <col min="9" max="9" width="12.7109375" style="26" hidden="1" customWidth="1" outlineLevel="1"/>
    <col min="10" max="10" width="11" style="26" hidden="1" customWidth="1" outlineLevel="1"/>
    <col min="11" max="11" width="8.85546875" style="26" hidden="1" customWidth="1" outlineLevel="1"/>
    <col min="12" max="12" width="11.7109375" style="26" hidden="1" customWidth="1" outlineLevel="1"/>
    <col min="13" max="13" width="12.28515625" style="26" hidden="1" customWidth="1" outlineLevel="1"/>
    <col min="14" max="14" width="15.7109375" style="26" hidden="1" customWidth="1" outlineLevel="1"/>
    <col min="15" max="15" width="10.5703125" style="13" bestFit="1" customWidth="1" collapsed="1"/>
    <col min="16" max="16" width="24.5703125" style="13" customWidth="1"/>
    <col min="17" max="17" width="42" style="26" customWidth="1"/>
    <col min="18" max="16384" width="9.140625" style="13"/>
  </cols>
  <sheetData>
    <row r="1" spans="1:17" ht="13.5" customHeight="1">
      <c r="F1" s="5"/>
      <c r="G1" s="5"/>
      <c r="H1" s="9" t="s">
        <v>68</v>
      </c>
      <c r="I1" s="12" t="s">
        <v>69</v>
      </c>
      <c r="J1" s="199" t="s">
        <v>71</v>
      </c>
      <c r="K1" s="200"/>
      <c r="L1" s="196" t="s">
        <v>76</v>
      </c>
      <c r="M1" s="197"/>
      <c r="N1" s="198"/>
    </row>
    <row r="2" spans="1:17"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3" t="s">
        <v>567</v>
      </c>
      <c r="Q2" s="2" t="s">
        <v>97</v>
      </c>
    </row>
    <row r="3" spans="1:17"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c r="Q3" s="143" t="s">
        <v>568</v>
      </c>
    </row>
    <row r="4" spans="1:17"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60"/>
      <c r="Q4" s="143" t="s">
        <v>317</v>
      </c>
    </row>
    <row r="5" spans="1:17" ht="45" hidden="1"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c r="Q5" s="143" t="s">
        <v>407</v>
      </c>
    </row>
    <row r="6" spans="1:17"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59"/>
      <c r="Q6" s="143" t="s">
        <v>523</v>
      </c>
    </row>
    <row r="7" spans="1:17"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c r="Q7" s="61" t="s">
        <v>582</v>
      </c>
    </row>
    <row r="8" spans="1:17"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59"/>
      <c r="Q8" s="143" t="s">
        <v>116</v>
      </c>
    </row>
    <row r="9" spans="1:17"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59"/>
      <c r="Q9" s="143" t="s">
        <v>524</v>
      </c>
    </row>
    <row r="10" spans="1:17"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59"/>
      <c r="Q10" s="143" t="s">
        <v>558</v>
      </c>
    </row>
    <row r="11" spans="1:17" ht="45" hidden="1" customHeight="1">
      <c r="A11" s="153" t="s">
        <v>275</v>
      </c>
      <c r="B11" s="39">
        <v>0</v>
      </c>
      <c r="C11" s="141" t="s">
        <v>409</v>
      </c>
      <c r="D11" s="141"/>
      <c r="E11" s="141"/>
      <c r="F11" s="141"/>
      <c r="G11" s="141"/>
      <c r="H11" s="29"/>
      <c r="I11" s="145"/>
      <c r="J11" s="145"/>
      <c r="K11" s="145"/>
      <c r="L11" s="145"/>
      <c r="M11" s="145"/>
      <c r="N11" s="145"/>
      <c r="O11" s="142" t="e">
        <f t="shared" si="0"/>
        <v>#DIV/0!</v>
      </c>
      <c r="P11" s="59"/>
      <c r="Q11" s="143" t="s">
        <v>484</v>
      </c>
    </row>
    <row r="12" spans="1:17" ht="45" hidden="1" customHeight="1">
      <c r="A12" s="153" t="s">
        <v>446</v>
      </c>
      <c r="B12" s="39">
        <v>0</v>
      </c>
      <c r="C12" s="141" t="s">
        <v>409</v>
      </c>
      <c r="D12" s="141"/>
      <c r="E12" s="141"/>
      <c r="F12" s="141"/>
      <c r="G12" s="141"/>
      <c r="H12" s="29"/>
      <c r="I12" s="145"/>
      <c r="J12" s="145"/>
      <c r="K12" s="145"/>
      <c r="L12" s="145"/>
      <c r="M12" s="145"/>
      <c r="N12" s="145"/>
      <c r="O12" s="142" t="e">
        <f t="shared" si="0"/>
        <v>#DIV/0!</v>
      </c>
      <c r="P12" s="59"/>
      <c r="Q12" s="143" t="s">
        <v>485</v>
      </c>
    </row>
    <row r="13" spans="1:17"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59"/>
      <c r="Q13" s="143" t="s">
        <v>322</v>
      </c>
    </row>
    <row r="14" spans="1:17" ht="45" hidden="1" customHeight="1">
      <c r="A14" s="153" t="s">
        <v>280</v>
      </c>
      <c r="B14" s="39">
        <v>0</v>
      </c>
      <c r="C14" s="141" t="s">
        <v>409</v>
      </c>
      <c r="D14" s="21"/>
      <c r="E14" s="21"/>
      <c r="F14" s="21"/>
      <c r="G14" s="21"/>
      <c r="H14" s="29"/>
      <c r="I14" s="145"/>
      <c r="J14" s="145"/>
      <c r="K14" s="145"/>
      <c r="L14" s="145"/>
      <c r="M14" s="145"/>
      <c r="N14" s="145"/>
      <c r="O14" s="142" t="e">
        <f t="shared" si="0"/>
        <v>#DIV/0!</v>
      </c>
      <c r="P14" s="59"/>
      <c r="Q14" s="46" t="s">
        <v>323</v>
      </c>
    </row>
    <row r="15" spans="1:17"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59"/>
      <c r="Q15" s="46" t="s">
        <v>486</v>
      </c>
    </row>
    <row r="16" spans="1:17" ht="45" hidden="1" customHeight="1">
      <c r="A16" s="153" t="s">
        <v>279</v>
      </c>
      <c r="B16" s="39">
        <v>0</v>
      </c>
      <c r="C16" s="141" t="s">
        <v>409</v>
      </c>
      <c r="D16" s="21" t="s">
        <v>6</v>
      </c>
      <c r="E16" s="21"/>
      <c r="F16" s="21"/>
      <c r="G16" s="21"/>
      <c r="H16" s="29"/>
      <c r="I16" s="145"/>
      <c r="J16" s="145"/>
      <c r="K16" s="145"/>
      <c r="L16" s="145"/>
      <c r="M16" s="145"/>
      <c r="N16" s="145"/>
      <c r="O16" s="142" t="e">
        <f t="shared" si="0"/>
        <v>#DIV/0!</v>
      </c>
      <c r="P16" s="59"/>
      <c r="Q16" s="46" t="s">
        <v>448</v>
      </c>
    </row>
    <row r="17" spans="1:18"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59"/>
      <c r="Q17" s="143" t="s">
        <v>525</v>
      </c>
    </row>
    <row r="18" spans="1:18"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59"/>
      <c r="Q18" s="143" t="s">
        <v>526</v>
      </c>
    </row>
    <row r="19" spans="1:18" ht="45" hidden="1" customHeight="1">
      <c r="A19" s="41" t="s">
        <v>429</v>
      </c>
      <c r="B19" s="39">
        <v>0</v>
      </c>
      <c r="C19" s="141" t="s">
        <v>51</v>
      </c>
      <c r="D19" s="141" t="s">
        <v>6</v>
      </c>
      <c r="E19" s="141"/>
      <c r="F19" s="141"/>
      <c r="G19" s="141"/>
      <c r="H19" s="29">
        <v>0</v>
      </c>
      <c r="I19" s="145">
        <v>0</v>
      </c>
      <c r="J19" s="145">
        <v>0</v>
      </c>
      <c r="K19" s="145">
        <v>0</v>
      </c>
      <c r="L19" s="145">
        <v>0</v>
      </c>
      <c r="M19" s="145">
        <v>0</v>
      </c>
      <c r="N19" s="145">
        <v>0</v>
      </c>
      <c r="O19" s="142">
        <f t="shared" si="0"/>
        <v>0</v>
      </c>
      <c r="P19" s="143"/>
      <c r="Q19" s="155" t="s">
        <v>527</v>
      </c>
    </row>
    <row r="20" spans="1:18"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59"/>
      <c r="Q20" s="143" t="s">
        <v>489</v>
      </c>
    </row>
    <row r="21" spans="1:18"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59"/>
      <c r="Q21" s="143" t="s">
        <v>528</v>
      </c>
    </row>
    <row r="22" spans="1:18" ht="45" hidden="1"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c r="Q22" s="143" t="s">
        <v>188</v>
      </c>
    </row>
    <row r="23" spans="1:18"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59"/>
      <c r="Q23" s="143" t="s">
        <v>451</v>
      </c>
    </row>
    <row r="24" spans="1:18"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59"/>
      <c r="Q24" s="143" t="s">
        <v>529</v>
      </c>
    </row>
    <row r="25" spans="1:18" ht="45" customHeight="1">
      <c r="A25" s="153" t="s">
        <v>415</v>
      </c>
      <c r="B25" s="39">
        <v>0</v>
      </c>
      <c r="C25" s="21" t="s">
        <v>51</v>
      </c>
      <c r="D25" s="21" t="s">
        <v>6</v>
      </c>
      <c r="E25" s="21"/>
      <c r="F25" s="21"/>
      <c r="G25" s="21"/>
      <c r="H25" s="48"/>
      <c r="I25" s="51"/>
      <c r="J25" s="51"/>
      <c r="K25" s="51"/>
      <c r="L25" s="51"/>
      <c r="M25" s="51"/>
      <c r="N25" s="51"/>
      <c r="O25" s="142" t="e">
        <f t="shared" si="0"/>
        <v>#DIV/0!</v>
      </c>
      <c r="P25" s="143"/>
      <c r="Q25" s="62" t="s">
        <v>583</v>
      </c>
    </row>
    <row r="26" spans="1:18" ht="45" hidden="1" customHeight="1">
      <c r="A26" s="41"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c r="Q26" s="143" t="s">
        <v>570</v>
      </c>
    </row>
    <row r="27" spans="1:18"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59"/>
      <c r="Q27" s="143" t="s">
        <v>493</v>
      </c>
    </row>
    <row r="28" spans="1:18" ht="45" hidden="1"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43"/>
      <c r="Q28" s="138" t="s">
        <v>494</v>
      </c>
      <c r="R28" s="13" t="s">
        <v>578</v>
      </c>
    </row>
    <row r="29" spans="1:18"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59"/>
      <c r="Q29" s="143" t="s">
        <v>531</v>
      </c>
    </row>
    <row r="30" spans="1:18"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c r="Q30" s="61" t="s">
        <v>584</v>
      </c>
    </row>
    <row r="31" spans="1:18" ht="45" hidden="1" customHeight="1">
      <c r="A31" s="153" t="s">
        <v>283</v>
      </c>
      <c r="B31" s="39">
        <v>0</v>
      </c>
      <c r="C31" s="21" t="s">
        <v>174</v>
      </c>
      <c r="D31" s="21" t="s">
        <v>6</v>
      </c>
      <c r="E31" s="21"/>
      <c r="F31" s="21"/>
      <c r="G31" s="21"/>
      <c r="H31" s="48"/>
      <c r="I31" s="51"/>
      <c r="J31" s="51"/>
      <c r="K31" s="51"/>
      <c r="L31" s="51"/>
      <c r="M31" s="51"/>
      <c r="N31" s="51"/>
      <c r="O31" s="142" t="e">
        <f t="shared" si="0"/>
        <v>#DIV/0!</v>
      </c>
      <c r="P31" s="59"/>
      <c r="Q31" s="46" t="s">
        <v>532</v>
      </c>
    </row>
    <row r="32" spans="1:18"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c r="Q32" s="143" t="s">
        <v>561</v>
      </c>
    </row>
    <row r="33" spans="1:18"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59"/>
      <c r="Q33" s="46" t="s">
        <v>533</v>
      </c>
    </row>
    <row r="34" spans="1:18"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59"/>
      <c r="Q34" s="143" t="s">
        <v>226</v>
      </c>
    </row>
    <row r="35" spans="1:18"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59"/>
      <c r="Q35" s="143" t="s">
        <v>534</v>
      </c>
    </row>
    <row r="36" spans="1:18"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59"/>
      <c r="Q36" s="143" t="s">
        <v>245</v>
      </c>
    </row>
    <row r="37" spans="1:18"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59"/>
      <c r="Q37" s="143" t="s">
        <v>535</v>
      </c>
    </row>
    <row r="38" spans="1:18"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59"/>
      <c r="Q38" s="143" t="s">
        <v>536</v>
      </c>
    </row>
    <row r="39" spans="1:18"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59"/>
      <c r="Q39" s="143" t="s">
        <v>500</v>
      </c>
    </row>
    <row r="40" spans="1:18"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59"/>
      <c r="Q40" s="143" t="s">
        <v>107</v>
      </c>
      <c r="R40" s="13" t="s">
        <v>259</v>
      </c>
    </row>
    <row r="41" spans="1:18"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59"/>
      <c r="Q41" s="143" t="s">
        <v>537</v>
      </c>
      <c r="R41" s="13" t="s">
        <v>259</v>
      </c>
    </row>
    <row r="42" spans="1:18"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59"/>
      <c r="Q42" s="143" t="s">
        <v>538</v>
      </c>
    </row>
    <row r="43" spans="1:18"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59"/>
      <c r="Q43" s="138" t="s">
        <v>502</v>
      </c>
    </row>
    <row r="44" spans="1:18"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3"/>
      <c r="Q44" s="63" t="s">
        <v>585</v>
      </c>
    </row>
    <row r="45" spans="1:18"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43"/>
      <c r="Q45" s="138" t="s">
        <v>586</v>
      </c>
    </row>
    <row r="46" spans="1:18"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59"/>
      <c r="Q46" s="138" t="s">
        <v>505</v>
      </c>
    </row>
    <row r="47" spans="1:18"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43"/>
      <c r="Q47" s="138" t="s">
        <v>539</v>
      </c>
    </row>
    <row r="48" spans="1:18"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43"/>
      <c r="Q48" s="138" t="s">
        <v>370</v>
      </c>
    </row>
    <row r="49" spans="1:17"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c r="Q49" s="61" t="s">
        <v>587</v>
      </c>
    </row>
    <row r="50" spans="1:17"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59"/>
      <c r="Q50" s="138" t="s">
        <v>507</v>
      </c>
    </row>
    <row r="51" spans="1:17"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59"/>
      <c r="Q51" s="138" t="s">
        <v>541</v>
      </c>
    </row>
    <row r="52" spans="1:17"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59"/>
      <c r="Q52" s="24" t="s">
        <v>509</v>
      </c>
    </row>
    <row r="53" spans="1:17" ht="45" customHeight="1">
      <c r="A53" s="153" t="s">
        <v>315</v>
      </c>
      <c r="B53" s="39">
        <v>0</v>
      </c>
      <c r="C53" s="141" t="s">
        <v>51</v>
      </c>
      <c r="D53" s="21" t="s">
        <v>6</v>
      </c>
      <c r="E53" s="21"/>
      <c r="F53" s="21"/>
      <c r="G53" s="21"/>
      <c r="H53" s="48"/>
      <c r="I53" s="51"/>
      <c r="J53" s="51"/>
      <c r="K53" s="51"/>
      <c r="L53" s="51"/>
      <c r="M53" s="51"/>
      <c r="N53" s="51"/>
      <c r="O53" s="142" t="e">
        <f t="shared" si="1"/>
        <v>#DIV/0!</v>
      </c>
      <c r="P53" s="143"/>
      <c r="Q53" s="46" t="s">
        <v>572</v>
      </c>
    </row>
    <row r="54" spans="1:17" ht="45" customHeight="1">
      <c r="A54" s="153" t="s">
        <v>543</v>
      </c>
      <c r="B54" s="39">
        <v>0</v>
      </c>
      <c r="C54" s="141" t="s">
        <v>51</v>
      </c>
      <c r="D54" s="21"/>
      <c r="E54" s="21"/>
      <c r="F54" s="21"/>
      <c r="G54" s="21"/>
      <c r="H54" s="48"/>
      <c r="I54" s="51"/>
      <c r="J54" s="51"/>
      <c r="K54" s="51"/>
      <c r="L54" s="51"/>
      <c r="M54" s="51"/>
      <c r="N54" s="51"/>
      <c r="O54" s="142" t="e">
        <f t="shared" si="1"/>
        <v>#DIV/0!</v>
      </c>
      <c r="P54" s="143"/>
      <c r="Q54" s="62" t="s">
        <v>588</v>
      </c>
    </row>
    <row r="55" spans="1:17" ht="45" customHeight="1">
      <c r="A55" s="153" t="s">
        <v>589</v>
      </c>
      <c r="B55" s="39">
        <v>0</v>
      </c>
      <c r="C55" s="141" t="s">
        <v>51</v>
      </c>
      <c r="D55" s="21"/>
      <c r="E55" s="21"/>
      <c r="F55" s="21"/>
      <c r="G55" s="21"/>
      <c r="H55" s="142">
        <f>AVERAGE(A55:G55)</f>
        <v>0</v>
      </c>
      <c r="I55" s="143"/>
      <c r="J55" s="62" t="s">
        <v>588</v>
      </c>
      <c r="K55" s="51"/>
      <c r="L55" s="51"/>
      <c r="M55" s="51"/>
      <c r="N55" s="51"/>
      <c r="O55" s="142"/>
      <c r="P55" s="143"/>
      <c r="Q55" s="62" t="s">
        <v>590</v>
      </c>
    </row>
    <row r="56" spans="1:17" ht="45" customHeight="1">
      <c r="A56" s="153" t="s">
        <v>545</v>
      </c>
      <c r="B56" s="39">
        <v>0</v>
      </c>
      <c r="C56" s="141" t="s">
        <v>51</v>
      </c>
      <c r="D56" s="21" t="s">
        <v>6</v>
      </c>
      <c r="E56" s="21"/>
      <c r="F56" s="21"/>
      <c r="G56" s="21"/>
      <c r="H56" s="48"/>
      <c r="I56" s="51"/>
      <c r="J56" s="51"/>
      <c r="K56" s="51"/>
      <c r="L56" s="51"/>
      <c r="M56" s="51"/>
      <c r="N56" s="51"/>
      <c r="O56" s="142" t="e">
        <f>AVERAGE(H56:N56)</f>
        <v>#DIV/0!</v>
      </c>
      <c r="P56" s="143"/>
      <c r="Q56" s="62" t="s">
        <v>591</v>
      </c>
    </row>
    <row r="57" spans="1:17" ht="45" customHeight="1">
      <c r="A57" s="153" t="s">
        <v>564</v>
      </c>
      <c r="B57" s="39">
        <v>0</v>
      </c>
      <c r="C57" s="141" t="s">
        <v>51</v>
      </c>
      <c r="D57" s="21"/>
      <c r="E57" s="21"/>
      <c r="F57" s="21"/>
      <c r="G57" s="21"/>
      <c r="H57" s="48"/>
      <c r="I57" s="51"/>
      <c r="J57" s="51"/>
      <c r="K57" s="51"/>
      <c r="L57" s="51"/>
      <c r="M57" s="51"/>
      <c r="N57" s="51"/>
      <c r="O57" s="142"/>
      <c r="P57" s="143"/>
      <c r="Q57" s="46" t="s">
        <v>575</v>
      </c>
    </row>
    <row r="58" spans="1:17" ht="45" customHeight="1">
      <c r="A58" s="153" t="s">
        <v>576</v>
      </c>
      <c r="B58" s="39">
        <v>0</v>
      </c>
      <c r="C58" s="141" t="s">
        <v>51</v>
      </c>
      <c r="D58" s="21" t="s">
        <v>6</v>
      </c>
      <c r="E58" s="21"/>
      <c r="F58" s="21"/>
      <c r="G58" s="21"/>
      <c r="H58" s="48"/>
      <c r="I58" s="51"/>
      <c r="J58" s="51"/>
      <c r="K58" s="51"/>
      <c r="L58" s="51"/>
      <c r="M58" s="51"/>
      <c r="N58" s="51"/>
      <c r="O58" s="142"/>
      <c r="P58" s="143"/>
      <c r="Q58" s="62" t="s">
        <v>592</v>
      </c>
    </row>
    <row r="59" spans="1:17" ht="45" customHeight="1">
      <c r="A59" s="153" t="s">
        <v>149</v>
      </c>
      <c r="B59" s="39">
        <v>0</v>
      </c>
      <c r="C59" s="141" t="s">
        <v>51</v>
      </c>
      <c r="D59" s="141" t="s">
        <v>26</v>
      </c>
      <c r="E59" s="141" t="s">
        <v>44</v>
      </c>
      <c r="F59" s="141" t="s">
        <v>37</v>
      </c>
      <c r="G59" s="141"/>
      <c r="H59" s="29">
        <v>5</v>
      </c>
      <c r="I59" s="145">
        <v>5</v>
      </c>
      <c r="J59" s="145">
        <v>5</v>
      </c>
      <c r="K59" s="145">
        <v>5</v>
      </c>
      <c r="L59" s="145">
        <v>5</v>
      </c>
      <c r="M59" s="145">
        <v>5</v>
      </c>
      <c r="N59" s="145">
        <v>5</v>
      </c>
      <c r="O59" s="142">
        <f t="shared" ref="O59:O77" si="2">AVERAGE(H59:N59)</f>
        <v>5</v>
      </c>
      <c r="P59" s="143"/>
      <c r="Q59" s="61" t="s">
        <v>593</v>
      </c>
    </row>
    <row r="60" spans="1:17" ht="45" hidden="1" customHeight="1">
      <c r="A60" s="153" t="s">
        <v>129</v>
      </c>
      <c r="B60" s="39">
        <v>0</v>
      </c>
      <c r="C60" s="141" t="s">
        <v>123</v>
      </c>
      <c r="D60" s="141" t="s">
        <v>26</v>
      </c>
      <c r="E60" s="141" t="s">
        <v>47</v>
      </c>
      <c r="F60" s="141" t="s">
        <v>41</v>
      </c>
      <c r="G60" s="141"/>
      <c r="H60" s="29">
        <v>0</v>
      </c>
      <c r="I60" s="145">
        <v>0</v>
      </c>
      <c r="J60" s="145">
        <v>0</v>
      </c>
      <c r="K60" s="145">
        <v>0</v>
      </c>
      <c r="L60" s="145">
        <v>0</v>
      </c>
      <c r="M60" s="145">
        <v>0</v>
      </c>
      <c r="N60" s="145">
        <v>0</v>
      </c>
      <c r="O60" s="142">
        <f t="shared" si="2"/>
        <v>0</v>
      </c>
      <c r="P60" s="59"/>
      <c r="Q60" s="143" t="s">
        <v>548</v>
      </c>
    </row>
    <row r="61" spans="1:17" ht="45" hidden="1" customHeight="1">
      <c r="A61" s="40" t="s">
        <v>134</v>
      </c>
      <c r="B61" s="39">
        <v>0</v>
      </c>
      <c r="C61" s="141" t="s">
        <v>123</v>
      </c>
      <c r="D61" s="141" t="s">
        <v>18</v>
      </c>
      <c r="E61" s="141" t="s">
        <v>44</v>
      </c>
      <c r="F61" s="141" t="s">
        <v>38</v>
      </c>
      <c r="G61" s="141"/>
      <c r="H61" s="29">
        <v>0</v>
      </c>
      <c r="I61" s="145">
        <v>0</v>
      </c>
      <c r="J61" s="145">
        <v>0</v>
      </c>
      <c r="K61" s="145">
        <v>0</v>
      </c>
      <c r="L61" s="145">
        <v>0</v>
      </c>
      <c r="M61" s="145">
        <v>0</v>
      </c>
      <c r="N61" s="145">
        <v>0</v>
      </c>
      <c r="O61" s="142">
        <f t="shared" si="2"/>
        <v>0</v>
      </c>
      <c r="P61" s="59"/>
      <c r="Q61" s="143" t="s">
        <v>512</v>
      </c>
    </row>
    <row r="62" spans="1:17" ht="45" hidden="1" customHeight="1">
      <c r="A62" s="153" t="s">
        <v>281</v>
      </c>
      <c r="B62" s="39">
        <v>0</v>
      </c>
      <c r="C62" s="21" t="s">
        <v>150</v>
      </c>
      <c r="D62" s="21" t="s">
        <v>6</v>
      </c>
      <c r="E62" s="21"/>
      <c r="F62" s="21" t="s">
        <v>38</v>
      </c>
      <c r="G62" s="21"/>
      <c r="H62" s="48">
        <v>0</v>
      </c>
      <c r="I62" s="51">
        <v>0</v>
      </c>
      <c r="J62" s="51">
        <v>0</v>
      </c>
      <c r="K62" s="51">
        <v>0</v>
      </c>
      <c r="L62" s="51">
        <v>0</v>
      </c>
      <c r="M62" s="51">
        <v>0</v>
      </c>
      <c r="N62" s="51">
        <v>0</v>
      </c>
      <c r="O62" s="142">
        <f t="shared" si="2"/>
        <v>0</v>
      </c>
      <c r="P62" s="59"/>
      <c r="Q62" s="46" t="s">
        <v>549</v>
      </c>
    </row>
    <row r="63" spans="1:17" ht="45" hidden="1" customHeight="1">
      <c r="A63" s="153" t="s">
        <v>221</v>
      </c>
      <c r="B63" s="39">
        <v>0</v>
      </c>
      <c r="C63" s="141" t="s">
        <v>267</v>
      </c>
      <c r="D63" s="141" t="s">
        <v>6</v>
      </c>
      <c r="E63" s="141"/>
      <c r="F63" s="141"/>
      <c r="G63" s="141"/>
      <c r="H63" s="29">
        <v>0</v>
      </c>
      <c r="I63" s="145">
        <v>0</v>
      </c>
      <c r="J63" s="145">
        <v>0</v>
      </c>
      <c r="K63" s="145">
        <v>0</v>
      </c>
      <c r="L63" s="145">
        <v>0</v>
      </c>
      <c r="M63" s="145">
        <v>0</v>
      </c>
      <c r="N63" s="145">
        <v>0</v>
      </c>
      <c r="O63" s="142">
        <f t="shared" si="2"/>
        <v>0</v>
      </c>
      <c r="P63" s="59"/>
      <c r="Q63" s="143" t="s">
        <v>222</v>
      </c>
    </row>
    <row r="64" spans="1:17" ht="45" hidden="1" customHeight="1">
      <c r="A64" s="153" t="s">
        <v>468</v>
      </c>
      <c r="B64" s="39">
        <v>0</v>
      </c>
      <c r="C64" s="141" t="s">
        <v>150</v>
      </c>
      <c r="D64" s="141" t="s">
        <v>10</v>
      </c>
      <c r="E64" s="141" t="s">
        <v>44</v>
      </c>
      <c r="F64" s="141" t="s">
        <v>38</v>
      </c>
      <c r="G64" s="141"/>
      <c r="H64" s="29">
        <v>0</v>
      </c>
      <c r="I64" s="29">
        <v>3</v>
      </c>
      <c r="J64" s="29">
        <v>0</v>
      </c>
      <c r="K64" s="29">
        <v>3</v>
      </c>
      <c r="L64" s="29">
        <v>0</v>
      </c>
      <c r="M64" s="29">
        <v>0</v>
      </c>
      <c r="N64" s="29" t="s">
        <v>118</v>
      </c>
      <c r="O64" s="142">
        <f t="shared" si="2"/>
        <v>1</v>
      </c>
      <c r="P64" s="59"/>
      <c r="Q64" s="143" t="s">
        <v>550</v>
      </c>
    </row>
    <row r="65" spans="1:17" ht="45" hidden="1" customHeight="1">
      <c r="A65" s="40" t="s">
        <v>130</v>
      </c>
      <c r="B65" s="39">
        <v>0</v>
      </c>
      <c r="C65" s="141" t="s">
        <v>123</v>
      </c>
      <c r="D65" s="141" t="s">
        <v>26</v>
      </c>
      <c r="E65" s="141" t="s">
        <v>44</v>
      </c>
      <c r="F65" s="141" t="s">
        <v>40</v>
      </c>
      <c r="G65" s="42"/>
      <c r="H65" s="139">
        <v>1</v>
      </c>
      <c r="I65" s="139">
        <v>1</v>
      </c>
      <c r="J65" s="139">
        <v>1</v>
      </c>
      <c r="K65" s="139">
        <v>1</v>
      </c>
      <c r="L65" s="139">
        <v>1</v>
      </c>
      <c r="M65" s="139">
        <v>0</v>
      </c>
      <c r="N65" s="139">
        <v>0</v>
      </c>
      <c r="O65" s="142">
        <f t="shared" si="2"/>
        <v>0.7142857142857143</v>
      </c>
      <c r="P65" s="59"/>
      <c r="Q65" s="138" t="s">
        <v>432</v>
      </c>
    </row>
    <row r="66" spans="1:17" ht="45" hidden="1" customHeight="1">
      <c r="A66" s="153" t="s">
        <v>173</v>
      </c>
      <c r="B66" s="39">
        <v>0</v>
      </c>
      <c r="C66" s="141" t="s">
        <v>174</v>
      </c>
      <c r="D66" s="141" t="s">
        <v>6</v>
      </c>
      <c r="E66" s="141"/>
      <c r="F66" s="141"/>
      <c r="G66" s="42"/>
      <c r="H66" s="139" t="s">
        <v>118</v>
      </c>
      <c r="I66" s="139" t="s">
        <v>118</v>
      </c>
      <c r="J66" s="139" t="s">
        <v>118</v>
      </c>
      <c r="K66" s="139" t="s">
        <v>118</v>
      </c>
      <c r="L66" s="139" t="s">
        <v>118</v>
      </c>
      <c r="M66" s="139" t="s">
        <v>118</v>
      </c>
      <c r="N66" s="139" t="s">
        <v>118</v>
      </c>
      <c r="O66" s="142" t="e">
        <f t="shared" si="2"/>
        <v>#DIV/0!</v>
      </c>
      <c r="P66" s="59"/>
      <c r="Q66" s="138" t="s">
        <v>551</v>
      </c>
    </row>
    <row r="67" spans="1:17" ht="45" hidden="1" customHeight="1">
      <c r="A67" s="28" t="s">
        <v>433</v>
      </c>
      <c r="B67" s="39">
        <v>0</v>
      </c>
      <c r="C67" s="141" t="s">
        <v>150</v>
      </c>
      <c r="D67" s="35" t="s">
        <v>26</v>
      </c>
      <c r="E67" s="35" t="s">
        <v>48</v>
      </c>
      <c r="F67" s="35"/>
      <c r="G67" s="43"/>
      <c r="H67" s="139">
        <v>0</v>
      </c>
      <c r="I67" s="139">
        <v>0</v>
      </c>
      <c r="J67" s="139">
        <v>0</v>
      </c>
      <c r="K67" s="139">
        <v>0</v>
      </c>
      <c r="L67" s="139">
        <v>0</v>
      </c>
      <c r="M67" s="139">
        <v>0</v>
      </c>
      <c r="N67" s="139">
        <v>0</v>
      </c>
      <c r="O67" s="142">
        <f t="shared" si="2"/>
        <v>0</v>
      </c>
      <c r="P67" s="59"/>
      <c r="Q67" s="138" t="s">
        <v>552</v>
      </c>
    </row>
    <row r="68" spans="1:17" ht="45" hidden="1" customHeight="1">
      <c r="A68" s="140" t="s">
        <v>176</v>
      </c>
      <c r="B68" s="39">
        <v>0</v>
      </c>
      <c r="C68" s="141" t="s">
        <v>174</v>
      </c>
      <c r="D68" s="141"/>
      <c r="E68" s="141"/>
      <c r="F68" s="141"/>
      <c r="G68" s="42"/>
      <c r="H68" s="139" t="s">
        <v>118</v>
      </c>
      <c r="I68" s="139" t="s">
        <v>118</v>
      </c>
      <c r="J68" s="139" t="s">
        <v>118</v>
      </c>
      <c r="K68" s="139" t="s">
        <v>118</v>
      </c>
      <c r="L68" s="139" t="s">
        <v>118</v>
      </c>
      <c r="M68" s="139" t="s">
        <v>118</v>
      </c>
      <c r="N68" s="139" t="s">
        <v>118</v>
      </c>
      <c r="O68" s="142" t="e">
        <f t="shared" si="2"/>
        <v>#DIV/0!</v>
      </c>
      <c r="P68" s="59"/>
      <c r="Q68" s="138" t="s">
        <v>553</v>
      </c>
    </row>
    <row r="69" spans="1:17" ht="45" hidden="1" customHeight="1">
      <c r="A69" s="140" t="s">
        <v>246</v>
      </c>
      <c r="B69" s="39">
        <v>0</v>
      </c>
      <c r="C69" s="141" t="s">
        <v>150</v>
      </c>
      <c r="D69" s="141" t="s">
        <v>6</v>
      </c>
      <c r="E69" s="141"/>
      <c r="F69" s="141"/>
      <c r="G69" s="42"/>
      <c r="H69" s="139" t="s">
        <v>118</v>
      </c>
      <c r="I69" s="139" t="s">
        <v>118</v>
      </c>
      <c r="J69" s="139" t="s">
        <v>118</v>
      </c>
      <c r="K69" s="139" t="s">
        <v>118</v>
      </c>
      <c r="L69" s="139" t="s">
        <v>118</v>
      </c>
      <c r="M69" s="139" t="s">
        <v>118</v>
      </c>
      <c r="N69" s="139" t="s">
        <v>118</v>
      </c>
      <c r="O69" s="142" t="e">
        <f t="shared" si="2"/>
        <v>#DIV/0!</v>
      </c>
      <c r="P69" s="59"/>
      <c r="Q69" s="138" t="s">
        <v>566</v>
      </c>
    </row>
    <row r="70" spans="1:17" ht="45" hidden="1" customHeight="1">
      <c r="A70" s="140" t="s">
        <v>184</v>
      </c>
      <c r="B70" s="39">
        <v>0</v>
      </c>
      <c r="C70" s="141" t="s">
        <v>174</v>
      </c>
      <c r="D70" s="141" t="s">
        <v>14</v>
      </c>
      <c r="E70" s="141"/>
      <c r="F70" s="141"/>
      <c r="G70" s="42"/>
      <c r="H70" s="139">
        <v>0</v>
      </c>
      <c r="I70" s="139">
        <v>0</v>
      </c>
      <c r="J70" s="139">
        <v>0</v>
      </c>
      <c r="K70" s="139">
        <v>0</v>
      </c>
      <c r="L70" s="139">
        <v>0</v>
      </c>
      <c r="M70" s="139">
        <v>0</v>
      </c>
      <c r="N70" s="139">
        <v>0</v>
      </c>
      <c r="O70" s="142">
        <f t="shared" si="2"/>
        <v>0</v>
      </c>
      <c r="P70" s="59"/>
      <c r="Q70" s="138" t="s">
        <v>554</v>
      </c>
    </row>
    <row r="71" spans="1:17" ht="45" hidden="1" customHeight="1">
      <c r="A71" s="140" t="s">
        <v>182</v>
      </c>
      <c r="B71" s="39">
        <v>0</v>
      </c>
      <c r="C71" s="141" t="s">
        <v>174</v>
      </c>
      <c r="D71" s="141" t="s">
        <v>14</v>
      </c>
      <c r="E71" s="141"/>
      <c r="F71" s="141"/>
      <c r="G71" s="42"/>
      <c r="H71" s="50">
        <v>0</v>
      </c>
      <c r="I71" s="50">
        <v>0</v>
      </c>
      <c r="J71" s="50">
        <v>0</v>
      </c>
      <c r="K71" s="50">
        <v>0</v>
      </c>
      <c r="L71" s="50">
        <v>0</v>
      </c>
      <c r="M71" s="50">
        <v>0</v>
      </c>
      <c r="N71" s="50">
        <v>0</v>
      </c>
      <c r="O71" s="142">
        <f t="shared" si="2"/>
        <v>0</v>
      </c>
      <c r="P71" s="59"/>
      <c r="Q71" s="148" t="s">
        <v>555</v>
      </c>
    </row>
    <row r="72" spans="1:17" ht="45" hidden="1" customHeight="1">
      <c r="A72" s="58" t="s">
        <v>122</v>
      </c>
      <c r="B72" s="39">
        <v>0</v>
      </c>
      <c r="C72" s="141" t="s">
        <v>123</v>
      </c>
      <c r="D72" s="141" t="s">
        <v>14</v>
      </c>
      <c r="E72" s="141" t="s">
        <v>44</v>
      </c>
      <c r="F72" s="141" t="s">
        <v>40</v>
      </c>
      <c r="G72" s="141"/>
      <c r="H72" s="50">
        <v>3</v>
      </c>
      <c r="I72" s="50">
        <v>0</v>
      </c>
      <c r="J72" s="50">
        <v>4</v>
      </c>
      <c r="K72" s="50">
        <v>1</v>
      </c>
      <c r="L72" s="50" t="s">
        <v>118</v>
      </c>
      <c r="M72" s="50">
        <v>2</v>
      </c>
      <c r="N72" s="50" t="s">
        <v>118</v>
      </c>
      <c r="O72" s="142">
        <f t="shared" si="2"/>
        <v>2</v>
      </c>
      <c r="P72" s="59"/>
      <c r="Q72" s="148" t="s">
        <v>556</v>
      </c>
    </row>
    <row r="73" spans="1:17" ht="45" hidden="1" customHeight="1">
      <c r="A73" s="140" t="s">
        <v>223</v>
      </c>
      <c r="B73" s="39">
        <v>0</v>
      </c>
      <c r="C73" s="141" t="s">
        <v>267</v>
      </c>
      <c r="D73" s="141" t="s">
        <v>6</v>
      </c>
      <c r="E73" s="141"/>
      <c r="F73" s="141"/>
      <c r="G73" s="141"/>
      <c r="H73" s="139">
        <v>0</v>
      </c>
      <c r="I73" s="139">
        <v>0</v>
      </c>
      <c r="J73" s="139">
        <v>0</v>
      </c>
      <c r="K73" s="139">
        <v>0</v>
      </c>
      <c r="L73" s="139">
        <v>0</v>
      </c>
      <c r="M73" s="139">
        <v>0</v>
      </c>
      <c r="N73" s="139">
        <v>0</v>
      </c>
      <c r="O73" s="142">
        <f t="shared" si="2"/>
        <v>0</v>
      </c>
      <c r="P73" s="59"/>
      <c r="Q73" s="138" t="s">
        <v>475</v>
      </c>
    </row>
    <row r="74" spans="1:17" ht="45" hidden="1" customHeight="1">
      <c r="A74" s="140" t="s">
        <v>437</v>
      </c>
      <c r="B74" s="39">
        <v>0</v>
      </c>
      <c r="C74" s="21" t="s">
        <v>123</v>
      </c>
      <c r="D74" s="21" t="s">
        <v>6</v>
      </c>
      <c r="E74" s="21"/>
      <c r="F74" s="21"/>
      <c r="G74" s="21"/>
      <c r="H74" s="22">
        <v>0</v>
      </c>
      <c r="I74" s="22">
        <v>0</v>
      </c>
      <c r="J74" s="22">
        <v>0</v>
      </c>
      <c r="K74" s="22">
        <v>0</v>
      </c>
      <c r="L74" s="22">
        <v>0</v>
      </c>
      <c r="M74" s="22">
        <v>0</v>
      </c>
      <c r="N74" s="22">
        <v>0</v>
      </c>
      <c r="O74" s="142">
        <f t="shared" si="2"/>
        <v>0</v>
      </c>
      <c r="P74" s="59"/>
      <c r="Q74" s="24" t="s">
        <v>314</v>
      </c>
    </row>
    <row r="75" spans="1:17" ht="45" hidden="1" customHeight="1">
      <c r="A75" s="140" t="s">
        <v>138</v>
      </c>
      <c r="B75" s="39">
        <v>0</v>
      </c>
      <c r="C75" s="53" t="s">
        <v>150</v>
      </c>
      <c r="D75" s="141" t="s">
        <v>26</v>
      </c>
      <c r="E75" s="141" t="s">
        <v>48</v>
      </c>
      <c r="F75" s="141"/>
      <c r="G75" s="141"/>
      <c r="H75" s="139">
        <v>1</v>
      </c>
      <c r="I75" s="139">
        <v>0</v>
      </c>
      <c r="J75" s="139">
        <v>0</v>
      </c>
      <c r="K75" s="139">
        <v>0</v>
      </c>
      <c r="L75" s="139">
        <v>0</v>
      </c>
      <c r="M75" s="139">
        <v>1</v>
      </c>
      <c r="N75" s="139">
        <v>0</v>
      </c>
      <c r="O75" s="142">
        <f t="shared" si="2"/>
        <v>0.2857142857142857</v>
      </c>
      <c r="P75" s="59"/>
      <c r="Q75" s="138" t="s">
        <v>347</v>
      </c>
    </row>
    <row r="76" spans="1:17" ht="45" hidden="1" customHeight="1">
      <c r="A76" s="140" t="s">
        <v>217</v>
      </c>
      <c r="B76" s="39">
        <v>0</v>
      </c>
      <c r="C76" s="141" t="s">
        <v>123</v>
      </c>
      <c r="D76" s="141" t="s">
        <v>6</v>
      </c>
      <c r="E76" s="141"/>
      <c r="F76" s="141"/>
      <c r="G76" s="141"/>
      <c r="H76" s="139">
        <v>0</v>
      </c>
      <c r="I76" s="139">
        <v>0</v>
      </c>
      <c r="J76" s="139">
        <v>0</v>
      </c>
      <c r="K76" s="139">
        <v>0</v>
      </c>
      <c r="L76" s="139">
        <v>0</v>
      </c>
      <c r="M76" s="139">
        <v>0</v>
      </c>
      <c r="N76" s="139">
        <v>0</v>
      </c>
      <c r="O76" s="142">
        <f t="shared" si="2"/>
        <v>0</v>
      </c>
      <c r="P76" s="59"/>
      <c r="Q76" s="138" t="s">
        <v>557</v>
      </c>
    </row>
    <row r="77" spans="1:17" ht="45" hidden="1" customHeight="1">
      <c r="A77" s="41" t="s">
        <v>171</v>
      </c>
      <c r="B77" s="39">
        <v>0</v>
      </c>
      <c r="C77" s="141" t="s">
        <v>150</v>
      </c>
      <c r="D77" s="141" t="s">
        <v>6</v>
      </c>
      <c r="E77" s="141"/>
      <c r="F77" s="141" t="s">
        <v>41</v>
      </c>
      <c r="G77" s="141"/>
      <c r="H77" s="54">
        <v>0</v>
      </c>
      <c r="I77" s="139">
        <v>0</v>
      </c>
      <c r="J77" s="139">
        <v>0</v>
      </c>
      <c r="K77" s="139">
        <v>0</v>
      </c>
      <c r="L77" s="139">
        <v>0</v>
      </c>
      <c r="M77" s="139">
        <v>0</v>
      </c>
      <c r="N77" s="139">
        <v>0</v>
      </c>
      <c r="O77" s="142">
        <f t="shared" si="2"/>
        <v>0</v>
      </c>
      <c r="P77" s="59"/>
      <c r="Q77" s="138" t="s">
        <v>520</v>
      </c>
    </row>
    <row r="78" spans="1:17" ht="45" hidden="1" customHeight="1">
      <c r="A78" s="140" t="s">
        <v>521</v>
      </c>
      <c r="B78" s="39">
        <v>0</v>
      </c>
      <c r="C78" s="141" t="s">
        <v>150</v>
      </c>
      <c r="D78" s="141"/>
      <c r="E78" s="141"/>
      <c r="F78" s="141"/>
      <c r="G78" s="141"/>
      <c r="H78" s="139"/>
      <c r="I78" s="139"/>
      <c r="J78" s="139"/>
      <c r="K78" s="139"/>
      <c r="L78" s="139"/>
      <c r="M78" s="139"/>
      <c r="N78" s="139"/>
      <c r="O78" s="142"/>
      <c r="P78" s="59"/>
      <c r="Q78" s="138" t="s">
        <v>522</v>
      </c>
    </row>
    <row r="79" spans="1:17" ht="45" hidden="1" customHeight="1">
      <c r="A79" s="140"/>
      <c r="B79" s="39">
        <v>0</v>
      </c>
      <c r="C79" s="21"/>
      <c r="D79" s="21"/>
      <c r="E79" s="21"/>
      <c r="F79" s="21"/>
      <c r="G79" s="21"/>
      <c r="H79" s="22"/>
      <c r="I79" s="22"/>
      <c r="J79" s="22"/>
      <c r="K79" s="22"/>
      <c r="L79" s="22"/>
      <c r="M79" s="22"/>
      <c r="N79" s="22"/>
      <c r="O79" s="142" t="e">
        <f t="shared" ref="O79:O86" si="3">AVERAGE(H79:N79)</f>
        <v>#DIV/0!</v>
      </c>
      <c r="P79" s="59"/>
      <c r="Q79" s="24"/>
    </row>
    <row r="80" spans="1:17" ht="45" hidden="1" customHeight="1">
      <c r="A80" s="140"/>
      <c r="B80" s="39">
        <v>0</v>
      </c>
      <c r="C80" s="21"/>
      <c r="D80" s="21"/>
      <c r="E80" s="21"/>
      <c r="F80" s="21"/>
      <c r="G80" s="21"/>
      <c r="H80" s="22"/>
      <c r="I80" s="22"/>
      <c r="J80" s="22"/>
      <c r="K80" s="22"/>
      <c r="L80" s="22"/>
      <c r="M80" s="22"/>
      <c r="N80" s="22"/>
      <c r="O80" s="142" t="e">
        <f t="shared" si="3"/>
        <v>#DIV/0!</v>
      </c>
      <c r="P80" s="59"/>
      <c r="Q80" s="24"/>
    </row>
    <row r="81" spans="1:17" ht="45" hidden="1" customHeight="1">
      <c r="A81" s="140"/>
      <c r="B81" s="39">
        <v>0</v>
      </c>
      <c r="C81" s="21"/>
      <c r="D81" s="21"/>
      <c r="E81" s="21"/>
      <c r="F81" s="21"/>
      <c r="G81" s="21"/>
      <c r="H81" s="22">
        <v>0</v>
      </c>
      <c r="I81" s="22">
        <v>0</v>
      </c>
      <c r="J81" s="22">
        <v>0</v>
      </c>
      <c r="K81" s="22">
        <v>0</v>
      </c>
      <c r="L81" s="22">
        <v>0</v>
      </c>
      <c r="M81" s="22">
        <v>0</v>
      </c>
      <c r="N81" s="22">
        <v>0</v>
      </c>
      <c r="O81" s="142">
        <f t="shared" si="3"/>
        <v>0</v>
      </c>
      <c r="P81" s="59"/>
      <c r="Q81" s="24"/>
    </row>
    <row r="82" spans="1:17" ht="45" hidden="1" customHeight="1">
      <c r="A82" s="140"/>
      <c r="B82" s="39">
        <v>0</v>
      </c>
      <c r="C82" s="21"/>
      <c r="D82" s="21"/>
      <c r="E82" s="21"/>
      <c r="F82" s="21"/>
      <c r="G82" s="21"/>
      <c r="H82" s="22"/>
      <c r="I82" s="22"/>
      <c r="J82" s="22"/>
      <c r="K82" s="22"/>
      <c r="L82" s="22"/>
      <c r="M82" s="22"/>
      <c r="N82" s="22"/>
      <c r="O82" s="142" t="e">
        <f t="shared" si="3"/>
        <v>#DIV/0!</v>
      </c>
      <c r="P82" s="59"/>
      <c r="Q82" s="24"/>
    </row>
    <row r="83" spans="1:17" ht="45" hidden="1" customHeight="1">
      <c r="A83" s="140"/>
      <c r="B83" s="39">
        <v>0</v>
      </c>
      <c r="C83" s="21"/>
      <c r="D83" s="21"/>
      <c r="E83" s="21"/>
      <c r="F83" s="21"/>
      <c r="G83" s="21"/>
      <c r="H83" s="22"/>
      <c r="I83" s="22"/>
      <c r="J83" s="22"/>
      <c r="K83" s="22"/>
      <c r="L83" s="22"/>
      <c r="M83" s="22"/>
      <c r="N83" s="22"/>
      <c r="O83" s="142" t="e">
        <f t="shared" si="3"/>
        <v>#DIV/0!</v>
      </c>
      <c r="P83" s="59"/>
      <c r="Q83" s="24"/>
    </row>
    <row r="84" spans="1:17" ht="45" hidden="1" customHeight="1">
      <c r="A84" s="140"/>
      <c r="B84" s="39">
        <v>0</v>
      </c>
      <c r="C84" s="21"/>
      <c r="D84" s="21"/>
      <c r="E84" s="21"/>
      <c r="F84" s="21"/>
      <c r="G84" s="21"/>
      <c r="H84" s="22">
        <v>0</v>
      </c>
      <c r="I84" s="22">
        <v>0</v>
      </c>
      <c r="J84" s="22">
        <v>0</v>
      </c>
      <c r="K84" s="22">
        <v>0</v>
      </c>
      <c r="L84" s="22">
        <v>0</v>
      </c>
      <c r="M84" s="22">
        <v>0</v>
      </c>
      <c r="N84" s="22">
        <v>0</v>
      </c>
      <c r="O84" s="142">
        <f t="shared" si="3"/>
        <v>0</v>
      </c>
      <c r="P84" s="59"/>
      <c r="Q84" s="24"/>
    </row>
    <row r="85" spans="1:17" ht="45" hidden="1" customHeight="1">
      <c r="A85" s="140"/>
      <c r="B85" s="39">
        <v>0</v>
      </c>
      <c r="C85" s="21"/>
      <c r="D85" s="21"/>
      <c r="E85" s="21"/>
      <c r="F85" s="21"/>
      <c r="G85" s="21"/>
      <c r="H85" s="22" t="s">
        <v>118</v>
      </c>
      <c r="I85" s="22"/>
      <c r="J85" s="22"/>
      <c r="K85" s="22"/>
      <c r="L85" s="22"/>
      <c r="M85" s="22"/>
      <c r="N85" s="22"/>
      <c r="O85" s="142" t="e">
        <f t="shared" si="3"/>
        <v>#DIV/0!</v>
      </c>
      <c r="P85" s="59"/>
      <c r="Q85" s="24"/>
    </row>
    <row r="86" spans="1:17" ht="45" hidden="1" customHeight="1">
      <c r="A86" s="140"/>
      <c r="B86" s="39">
        <v>0</v>
      </c>
      <c r="C86" s="21"/>
      <c r="D86" s="21"/>
      <c r="E86" s="21"/>
      <c r="F86" s="21"/>
      <c r="G86" s="21"/>
      <c r="H86" s="22"/>
      <c r="I86" s="22"/>
      <c r="J86" s="22"/>
      <c r="K86" s="22"/>
      <c r="L86" s="22"/>
      <c r="M86" s="22"/>
      <c r="N86" s="22"/>
      <c r="O86" s="142" t="e">
        <f t="shared" si="3"/>
        <v>#DIV/0!</v>
      </c>
      <c r="P86" s="59"/>
      <c r="Q86" s="24"/>
    </row>
    <row r="87" spans="1:17" ht="45" hidden="1" customHeight="1">
      <c r="A87" s="140"/>
      <c r="B87" s="39">
        <v>0</v>
      </c>
      <c r="C87" s="21"/>
      <c r="D87" s="21"/>
      <c r="E87" s="21"/>
      <c r="F87" s="21"/>
      <c r="G87" s="21"/>
      <c r="H87" s="22">
        <v>0</v>
      </c>
      <c r="I87" s="22">
        <v>0</v>
      </c>
      <c r="J87" s="22">
        <v>0</v>
      </c>
      <c r="K87" s="22">
        <v>0</v>
      </c>
      <c r="L87" s="22">
        <v>0</v>
      </c>
      <c r="M87" s="22">
        <v>0</v>
      </c>
      <c r="N87" s="22">
        <v>0</v>
      </c>
      <c r="O87" s="23">
        <f t="shared" ref="O87:O118" si="4">AVERAGE(H87:N89)</f>
        <v>0</v>
      </c>
      <c r="P87" s="23"/>
      <c r="Q87" s="24"/>
    </row>
    <row r="88" spans="1:17" ht="45" hidden="1" customHeight="1">
      <c r="A88" s="140"/>
      <c r="B88" s="39">
        <v>0</v>
      </c>
      <c r="C88" s="21"/>
      <c r="D88" s="21"/>
      <c r="E88" s="21"/>
      <c r="F88" s="21"/>
      <c r="G88" s="21"/>
      <c r="H88" s="22">
        <v>0</v>
      </c>
      <c r="I88" s="22">
        <v>0</v>
      </c>
      <c r="J88" s="22">
        <v>0</v>
      </c>
      <c r="K88" s="22">
        <v>0</v>
      </c>
      <c r="L88" s="22">
        <v>0</v>
      </c>
      <c r="M88" s="22">
        <v>0</v>
      </c>
      <c r="N88" s="22">
        <v>0</v>
      </c>
      <c r="O88" s="23">
        <f t="shared" si="4"/>
        <v>0</v>
      </c>
      <c r="P88" s="23"/>
      <c r="Q88" s="24"/>
    </row>
    <row r="89" spans="1:17" ht="45" hidden="1" customHeight="1">
      <c r="A89" s="140"/>
      <c r="B89" s="39">
        <v>0</v>
      </c>
      <c r="C89" s="21"/>
      <c r="D89" s="21"/>
      <c r="E89" s="21"/>
      <c r="F89" s="21"/>
      <c r="G89" s="21"/>
      <c r="H89" s="22">
        <v>0</v>
      </c>
      <c r="I89" s="22">
        <v>0</v>
      </c>
      <c r="J89" s="22">
        <v>0</v>
      </c>
      <c r="K89" s="22">
        <v>0</v>
      </c>
      <c r="L89" s="22">
        <v>0</v>
      </c>
      <c r="M89" s="22">
        <v>0</v>
      </c>
      <c r="N89" s="22">
        <v>0</v>
      </c>
      <c r="O89" s="23">
        <f t="shared" si="4"/>
        <v>0</v>
      </c>
      <c r="P89" s="23"/>
      <c r="Q89" s="24"/>
    </row>
    <row r="90" spans="1:17" ht="45" hidden="1" customHeight="1">
      <c r="A90" s="140"/>
      <c r="B90" s="39">
        <v>0</v>
      </c>
      <c r="C90" s="21"/>
      <c r="D90" s="21"/>
      <c r="E90" s="21"/>
      <c r="F90" s="21"/>
      <c r="G90" s="21"/>
      <c r="H90" s="22">
        <v>0</v>
      </c>
      <c r="I90" s="22">
        <v>0</v>
      </c>
      <c r="J90" s="22">
        <v>0</v>
      </c>
      <c r="K90" s="22">
        <v>0</v>
      </c>
      <c r="L90" s="22">
        <v>0</v>
      </c>
      <c r="M90" s="22">
        <v>0</v>
      </c>
      <c r="N90" s="22">
        <v>0</v>
      </c>
      <c r="O90" s="23">
        <f t="shared" si="4"/>
        <v>0</v>
      </c>
      <c r="P90" s="23"/>
      <c r="Q90" s="24"/>
    </row>
    <row r="91" spans="1:17" ht="45" hidden="1" customHeight="1">
      <c r="A91" s="140"/>
      <c r="B91" s="39">
        <v>0</v>
      </c>
      <c r="C91" s="21"/>
      <c r="D91" s="21"/>
      <c r="E91" s="21"/>
      <c r="F91" s="21"/>
      <c r="G91" s="21"/>
      <c r="H91" s="22">
        <v>0</v>
      </c>
      <c r="I91" s="22">
        <v>0</v>
      </c>
      <c r="J91" s="22">
        <v>0</v>
      </c>
      <c r="K91" s="22">
        <v>0</v>
      </c>
      <c r="L91" s="22">
        <v>0</v>
      </c>
      <c r="M91" s="22">
        <v>0</v>
      </c>
      <c r="N91" s="22">
        <v>0</v>
      </c>
      <c r="O91" s="23">
        <f t="shared" si="4"/>
        <v>0</v>
      </c>
      <c r="P91" s="23"/>
      <c r="Q91" s="24"/>
    </row>
    <row r="92" spans="1:17" ht="45" hidden="1" customHeight="1">
      <c r="A92" s="140"/>
      <c r="B92" s="39">
        <v>0</v>
      </c>
      <c r="C92" s="21"/>
      <c r="D92" s="21"/>
      <c r="E92" s="21"/>
      <c r="F92" s="21"/>
      <c r="G92" s="21"/>
      <c r="H92" s="22">
        <v>0</v>
      </c>
      <c r="I92" s="22">
        <v>0</v>
      </c>
      <c r="J92" s="22">
        <v>0</v>
      </c>
      <c r="K92" s="22">
        <v>0</v>
      </c>
      <c r="L92" s="22">
        <v>0</v>
      </c>
      <c r="M92" s="22">
        <v>0</v>
      </c>
      <c r="N92" s="22">
        <v>0</v>
      </c>
      <c r="O92" s="23">
        <f t="shared" si="4"/>
        <v>0</v>
      </c>
      <c r="P92" s="23"/>
      <c r="Q92" s="24"/>
    </row>
    <row r="93" spans="1:17" ht="45" hidden="1" customHeight="1">
      <c r="A93" s="140"/>
      <c r="B93" s="39">
        <v>0</v>
      </c>
      <c r="C93" s="21"/>
      <c r="D93" s="21"/>
      <c r="E93" s="21"/>
      <c r="F93" s="21"/>
      <c r="G93" s="21"/>
      <c r="H93" s="22">
        <v>0</v>
      </c>
      <c r="I93" s="22">
        <v>0</v>
      </c>
      <c r="J93" s="22">
        <v>0</v>
      </c>
      <c r="K93" s="22">
        <v>0</v>
      </c>
      <c r="L93" s="22">
        <v>0</v>
      </c>
      <c r="M93" s="22">
        <v>0</v>
      </c>
      <c r="N93" s="22">
        <v>0</v>
      </c>
      <c r="O93" s="23">
        <f t="shared" si="4"/>
        <v>0</v>
      </c>
      <c r="P93" s="23"/>
      <c r="Q93" s="24"/>
    </row>
    <row r="94" spans="1:17" ht="45" hidden="1" customHeight="1">
      <c r="A94" s="140"/>
      <c r="B94" s="39">
        <v>0</v>
      </c>
      <c r="C94" s="21"/>
      <c r="D94" s="21"/>
      <c r="E94" s="21"/>
      <c r="F94" s="21"/>
      <c r="G94" s="21"/>
      <c r="H94" s="22">
        <v>0</v>
      </c>
      <c r="I94" s="22">
        <v>0</v>
      </c>
      <c r="J94" s="22">
        <v>0</v>
      </c>
      <c r="K94" s="22">
        <v>0</v>
      </c>
      <c r="L94" s="22">
        <v>0</v>
      </c>
      <c r="M94" s="22">
        <v>0</v>
      </c>
      <c r="N94" s="22">
        <v>0</v>
      </c>
      <c r="O94" s="23">
        <f t="shared" si="4"/>
        <v>0</v>
      </c>
      <c r="P94" s="23"/>
      <c r="Q94" s="24"/>
    </row>
    <row r="95" spans="1:17" ht="45" hidden="1" customHeight="1">
      <c r="A95" s="140"/>
      <c r="B95" s="39">
        <v>0</v>
      </c>
      <c r="C95" s="21"/>
      <c r="D95" s="21"/>
      <c r="E95" s="21"/>
      <c r="F95" s="21"/>
      <c r="G95" s="21"/>
      <c r="H95" s="22">
        <v>0</v>
      </c>
      <c r="I95" s="22">
        <v>0</v>
      </c>
      <c r="J95" s="22">
        <v>0</v>
      </c>
      <c r="K95" s="22">
        <v>0</v>
      </c>
      <c r="L95" s="22">
        <v>0</v>
      </c>
      <c r="M95" s="22">
        <v>0</v>
      </c>
      <c r="N95" s="22">
        <v>0</v>
      </c>
      <c r="O95" s="23">
        <f t="shared" si="4"/>
        <v>0</v>
      </c>
      <c r="P95" s="23"/>
      <c r="Q95" s="24"/>
    </row>
    <row r="96" spans="1:17" ht="45" hidden="1" customHeight="1">
      <c r="A96" s="140"/>
      <c r="B96" s="39">
        <v>0</v>
      </c>
      <c r="C96" s="21"/>
      <c r="D96" s="21"/>
      <c r="E96" s="21"/>
      <c r="F96" s="21"/>
      <c r="G96" s="21"/>
      <c r="H96" s="22">
        <v>0</v>
      </c>
      <c r="I96" s="22">
        <v>0</v>
      </c>
      <c r="J96" s="22">
        <v>0</v>
      </c>
      <c r="K96" s="22">
        <v>0</v>
      </c>
      <c r="L96" s="22">
        <v>0</v>
      </c>
      <c r="M96" s="22">
        <v>0</v>
      </c>
      <c r="N96" s="22">
        <v>0</v>
      </c>
      <c r="O96" s="23">
        <f t="shared" si="4"/>
        <v>0</v>
      </c>
      <c r="P96" s="23"/>
      <c r="Q96" s="24"/>
    </row>
    <row r="97" spans="1:17" ht="45" hidden="1" customHeight="1">
      <c r="A97" s="140"/>
      <c r="B97" s="39">
        <v>0</v>
      </c>
      <c r="C97" s="21"/>
      <c r="D97" s="21"/>
      <c r="E97" s="21"/>
      <c r="F97" s="21"/>
      <c r="G97" s="21"/>
      <c r="H97" s="22">
        <v>0</v>
      </c>
      <c r="I97" s="22">
        <v>0</v>
      </c>
      <c r="J97" s="22">
        <v>0</v>
      </c>
      <c r="K97" s="22">
        <v>0</v>
      </c>
      <c r="L97" s="22">
        <v>0</v>
      </c>
      <c r="M97" s="22">
        <v>0</v>
      </c>
      <c r="N97" s="22">
        <v>0</v>
      </c>
      <c r="O97" s="23">
        <f t="shared" si="4"/>
        <v>0</v>
      </c>
      <c r="P97" s="23"/>
      <c r="Q97" s="24"/>
    </row>
    <row r="98" spans="1:17" ht="45" hidden="1" customHeight="1">
      <c r="A98" s="140"/>
      <c r="B98" s="39">
        <v>0</v>
      </c>
      <c r="C98" s="21"/>
      <c r="D98" s="21"/>
      <c r="E98" s="21"/>
      <c r="F98" s="21"/>
      <c r="G98" s="21"/>
      <c r="H98" s="22">
        <v>0</v>
      </c>
      <c r="I98" s="22">
        <v>0</v>
      </c>
      <c r="J98" s="22">
        <v>0</v>
      </c>
      <c r="K98" s="22">
        <v>0</v>
      </c>
      <c r="L98" s="22">
        <v>0</v>
      </c>
      <c r="M98" s="22">
        <v>0</v>
      </c>
      <c r="N98" s="22">
        <v>0</v>
      </c>
      <c r="O98" s="23">
        <f t="shared" si="4"/>
        <v>0</v>
      </c>
      <c r="P98" s="23"/>
      <c r="Q98" s="24"/>
    </row>
    <row r="99" spans="1:17" ht="45" hidden="1" customHeight="1">
      <c r="A99" s="140"/>
      <c r="B99" s="39">
        <v>0</v>
      </c>
      <c r="C99" s="21"/>
      <c r="D99" s="21"/>
      <c r="E99" s="21"/>
      <c r="F99" s="21"/>
      <c r="G99" s="21"/>
      <c r="H99" s="22">
        <v>0</v>
      </c>
      <c r="I99" s="22">
        <v>0</v>
      </c>
      <c r="J99" s="22">
        <v>0</v>
      </c>
      <c r="K99" s="22">
        <v>0</v>
      </c>
      <c r="L99" s="22">
        <v>0</v>
      </c>
      <c r="M99" s="22">
        <v>0</v>
      </c>
      <c r="N99" s="22">
        <v>0</v>
      </c>
      <c r="O99" s="23">
        <f t="shared" si="4"/>
        <v>0</v>
      </c>
      <c r="P99" s="23"/>
      <c r="Q99" s="24"/>
    </row>
    <row r="100" spans="1:17" ht="45" hidden="1" customHeight="1">
      <c r="A100" s="140"/>
      <c r="B100" s="39">
        <v>0</v>
      </c>
      <c r="C100" s="21"/>
      <c r="D100" s="21"/>
      <c r="E100" s="21"/>
      <c r="F100" s="21"/>
      <c r="G100" s="21"/>
      <c r="H100" s="22">
        <v>0</v>
      </c>
      <c r="I100" s="22">
        <v>0</v>
      </c>
      <c r="J100" s="22">
        <v>0</v>
      </c>
      <c r="K100" s="22">
        <v>0</v>
      </c>
      <c r="L100" s="22">
        <v>0</v>
      </c>
      <c r="M100" s="22">
        <v>0</v>
      </c>
      <c r="N100" s="22">
        <v>0</v>
      </c>
      <c r="O100" s="23">
        <f t="shared" si="4"/>
        <v>0</v>
      </c>
      <c r="P100" s="23"/>
      <c r="Q100" s="24"/>
    </row>
    <row r="101" spans="1:17" ht="45" hidden="1" customHeight="1">
      <c r="A101" s="140"/>
      <c r="B101" s="39">
        <v>0</v>
      </c>
      <c r="C101" s="21"/>
      <c r="D101" s="21"/>
      <c r="E101" s="21"/>
      <c r="F101" s="21"/>
      <c r="G101" s="21"/>
      <c r="H101" s="22">
        <v>0</v>
      </c>
      <c r="I101" s="22">
        <v>0</v>
      </c>
      <c r="J101" s="22">
        <v>0</v>
      </c>
      <c r="K101" s="22">
        <v>0</v>
      </c>
      <c r="L101" s="22">
        <v>0</v>
      </c>
      <c r="M101" s="22">
        <v>0</v>
      </c>
      <c r="N101" s="22">
        <v>0</v>
      </c>
      <c r="O101" s="23">
        <f t="shared" si="4"/>
        <v>0</v>
      </c>
      <c r="P101" s="23"/>
      <c r="Q101" s="24"/>
    </row>
    <row r="102" spans="1:17" ht="45" hidden="1" customHeight="1">
      <c r="A102" s="140"/>
      <c r="B102" s="39">
        <v>0</v>
      </c>
      <c r="C102" s="21"/>
      <c r="D102" s="21"/>
      <c r="E102" s="21"/>
      <c r="F102" s="21"/>
      <c r="G102" s="21"/>
      <c r="H102" s="22">
        <v>0</v>
      </c>
      <c r="I102" s="22">
        <v>0</v>
      </c>
      <c r="J102" s="22">
        <v>0</v>
      </c>
      <c r="K102" s="22">
        <v>0</v>
      </c>
      <c r="L102" s="22">
        <v>0</v>
      </c>
      <c r="M102" s="22">
        <v>0</v>
      </c>
      <c r="N102" s="22">
        <v>0</v>
      </c>
      <c r="O102" s="23">
        <f t="shared" si="4"/>
        <v>0</v>
      </c>
      <c r="P102" s="23"/>
      <c r="Q102" s="24"/>
    </row>
    <row r="103" spans="1:17" ht="45" hidden="1" customHeight="1">
      <c r="A103" s="140"/>
      <c r="B103" s="39">
        <v>0</v>
      </c>
      <c r="C103" s="21"/>
      <c r="D103" s="21"/>
      <c r="E103" s="21"/>
      <c r="F103" s="21"/>
      <c r="G103" s="21"/>
      <c r="H103" s="22">
        <v>0</v>
      </c>
      <c r="I103" s="22">
        <v>0</v>
      </c>
      <c r="J103" s="22">
        <v>0</v>
      </c>
      <c r="K103" s="22">
        <v>0</v>
      </c>
      <c r="L103" s="22">
        <v>0</v>
      </c>
      <c r="M103" s="22">
        <v>0</v>
      </c>
      <c r="N103" s="22">
        <v>0</v>
      </c>
      <c r="O103" s="23">
        <f t="shared" si="4"/>
        <v>0</v>
      </c>
      <c r="P103" s="23"/>
      <c r="Q103" s="24"/>
    </row>
    <row r="104" spans="1:17" ht="45" hidden="1" customHeight="1">
      <c r="A104" s="140"/>
      <c r="B104" s="39">
        <v>0</v>
      </c>
      <c r="C104" s="21"/>
      <c r="D104" s="21"/>
      <c r="E104" s="21"/>
      <c r="F104" s="21"/>
      <c r="G104" s="21"/>
      <c r="H104" s="22">
        <v>0</v>
      </c>
      <c r="I104" s="22">
        <v>0</v>
      </c>
      <c r="J104" s="22">
        <v>0</v>
      </c>
      <c r="K104" s="22">
        <v>0</v>
      </c>
      <c r="L104" s="22">
        <v>0</v>
      </c>
      <c r="M104" s="22">
        <v>0</v>
      </c>
      <c r="N104" s="22">
        <v>0</v>
      </c>
      <c r="O104" s="23">
        <f t="shared" si="4"/>
        <v>0</v>
      </c>
      <c r="P104" s="23"/>
      <c r="Q104" s="24"/>
    </row>
    <row r="105" spans="1:17" ht="45" hidden="1" customHeight="1">
      <c r="A105" s="140"/>
      <c r="B105" s="39">
        <v>0</v>
      </c>
      <c r="C105" s="21"/>
      <c r="D105" s="21"/>
      <c r="E105" s="21"/>
      <c r="F105" s="21"/>
      <c r="G105" s="21"/>
      <c r="H105" s="22">
        <v>0</v>
      </c>
      <c r="I105" s="22">
        <v>0</v>
      </c>
      <c r="J105" s="22">
        <v>0</v>
      </c>
      <c r="K105" s="22">
        <v>0</v>
      </c>
      <c r="L105" s="22">
        <v>0</v>
      </c>
      <c r="M105" s="22">
        <v>0</v>
      </c>
      <c r="N105" s="22">
        <v>0</v>
      </c>
      <c r="O105" s="23">
        <f t="shared" si="4"/>
        <v>0</v>
      </c>
      <c r="P105" s="23"/>
      <c r="Q105" s="24"/>
    </row>
    <row r="106" spans="1:17" ht="45" hidden="1" customHeight="1">
      <c r="A106" s="140"/>
      <c r="B106" s="39">
        <v>0</v>
      </c>
      <c r="C106" s="21"/>
      <c r="D106" s="21"/>
      <c r="E106" s="21"/>
      <c r="F106" s="21"/>
      <c r="G106" s="21"/>
      <c r="H106" s="22">
        <v>0</v>
      </c>
      <c r="I106" s="22">
        <v>0</v>
      </c>
      <c r="J106" s="22">
        <v>0</v>
      </c>
      <c r="K106" s="22">
        <v>0</v>
      </c>
      <c r="L106" s="22">
        <v>0</v>
      </c>
      <c r="M106" s="22">
        <v>0</v>
      </c>
      <c r="N106" s="22">
        <v>0</v>
      </c>
      <c r="O106" s="23">
        <f t="shared" si="4"/>
        <v>0</v>
      </c>
      <c r="P106" s="23"/>
      <c r="Q106" s="24"/>
    </row>
    <row r="107" spans="1:17" ht="45" hidden="1" customHeight="1">
      <c r="A107" s="140"/>
      <c r="B107" s="39">
        <v>0</v>
      </c>
      <c r="C107" s="21"/>
      <c r="D107" s="21"/>
      <c r="E107" s="21"/>
      <c r="F107" s="21"/>
      <c r="G107" s="21"/>
      <c r="H107" s="22">
        <v>0</v>
      </c>
      <c r="I107" s="22">
        <v>0</v>
      </c>
      <c r="J107" s="22">
        <v>0</v>
      </c>
      <c r="K107" s="22">
        <v>0</v>
      </c>
      <c r="L107" s="22">
        <v>0</v>
      </c>
      <c r="M107" s="22">
        <v>0</v>
      </c>
      <c r="N107" s="22">
        <v>0</v>
      </c>
      <c r="O107" s="23">
        <f t="shared" si="4"/>
        <v>0</v>
      </c>
      <c r="P107" s="23"/>
      <c r="Q107" s="24"/>
    </row>
    <row r="108" spans="1:17" ht="45" hidden="1" customHeight="1">
      <c r="A108" s="140"/>
      <c r="B108" s="39">
        <v>0</v>
      </c>
      <c r="C108" s="21"/>
      <c r="D108" s="21"/>
      <c r="E108" s="21"/>
      <c r="F108" s="21"/>
      <c r="G108" s="21"/>
      <c r="H108" s="22">
        <v>0</v>
      </c>
      <c r="I108" s="22">
        <v>0</v>
      </c>
      <c r="J108" s="22">
        <v>0</v>
      </c>
      <c r="K108" s="22">
        <v>0</v>
      </c>
      <c r="L108" s="22">
        <v>0</v>
      </c>
      <c r="M108" s="22">
        <v>0</v>
      </c>
      <c r="N108" s="22">
        <v>0</v>
      </c>
      <c r="O108" s="23">
        <f t="shared" si="4"/>
        <v>0</v>
      </c>
      <c r="P108" s="23"/>
      <c r="Q108" s="24"/>
    </row>
    <row r="109" spans="1:17" ht="45" hidden="1" customHeight="1">
      <c r="A109" s="140"/>
      <c r="B109" s="39">
        <v>0</v>
      </c>
      <c r="C109" s="21"/>
      <c r="D109" s="21"/>
      <c r="E109" s="21"/>
      <c r="F109" s="21"/>
      <c r="G109" s="21"/>
      <c r="H109" s="22">
        <v>0</v>
      </c>
      <c r="I109" s="22">
        <v>0</v>
      </c>
      <c r="J109" s="22">
        <v>0</v>
      </c>
      <c r="K109" s="22">
        <v>0</v>
      </c>
      <c r="L109" s="22">
        <v>0</v>
      </c>
      <c r="M109" s="22">
        <v>0</v>
      </c>
      <c r="N109" s="22">
        <v>0</v>
      </c>
      <c r="O109" s="23">
        <f t="shared" si="4"/>
        <v>0</v>
      </c>
      <c r="P109" s="23"/>
      <c r="Q109" s="24"/>
    </row>
    <row r="110" spans="1:17" ht="45" hidden="1" customHeight="1">
      <c r="A110" s="140"/>
      <c r="B110" s="39">
        <v>0</v>
      </c>
      <c r="C110" s="21"/>
      <c r="D110" s="21"/>
      <c r="E110" s="21"/>
      <c r="F110" s="21"/>
      <c r="G110" s="21"/>
      <c r="H110" s="22">
        <v>0</v>
      </c>
      <c r="I110" s="22">
        <v>0</v>
      </c>
      <c r="J110" s="22">
        <v>0</v>
      </c>
      <c r="K110" s="22">
        <v>0</v>
      </c>
      <c r="L110" s="22">
        <v>0</v>
      </c>
      <c r="M110" s="22">
        <v>0</v>
      </c>
      <c r="N110" s="22">
        <v>0</v>
      </c>
      <c r="O110" s="23">
        <f t="shared" si="4"/>
        <v>0</v>
      </c>
      <c r="P110" s="23"/>
      <c r="Q110" s="24"/>
    </row>
    <row r="111" spans="1:17" ht="45" hidden="1" customHeight="1">
      <c r="A111" s="140"/>
      <c r="B111" s="39">
        <v>0</v>
      </c>
      <c r="C111" s="21"/>
      <c r="D111" s="21"/>
      <c r="E111" s="21"/>
      <c r="F111" s="21"/>
      <c r="G111" s="21"/>
      <c r="H111" s="22">
        <v>0</v>
      </c>
      <c r="I111" s="22">
        <v>0</v>
      </c>
      <c r="J111" s="22">
        <v>0</v>
      </c>
      <c r="K111" s="22">
        <v>0</v>
      </c>
      <c r="L111" s="22">
        <v>0</v>
      </c>
      <c r="M111" s="22">
        <v>0</v>
      </c>
      <c r="N111" s="22">
        <v>0</v>
      </c>
      <c r="O111" s="23">
        <f t="shared" si="4"/>
        <v>0</v>
      </c>
      <c r="P111" s="23"/>
      <c r="Q111" s="24"/>
    </row>
    <row r="112" spans="1:17" ht="45" hidden="1" customHeight="1">
      <c r="A112" s="140"/>
      <c r="B112" s="39">
        <v>0</v>
      </c>
      <c r="C112" s="21"/>
      <c r="D112" s="21"/>
      <c r="E112" s="21"/>
      <c r="F112" s="21"/>
      <c r="G112" s="21"/>
      <c r="H112" s="22">
        <v>0</v>
      </c>
      <c r="I112" s="22">
        <v>0</v>
      </c>
      <c r="J112" s="22">
        <v>0</v>
      </c>
      <c r="K112" s="22">
        <v>0</v>
      </c>
      <c r="L112" s="22">
        <v>0</v>
      </c>
      <c r="M112" s="22">
        <v>0</v>
      </c>
      <c r="N112" s="22">
        <v>0</v>
      </c>
      <c r="O112" s="23">
        <f t="shared" si="4"/>
        <v>0</v>
      </c>
      <c r="P112" s="23"/>
      <c r="Q112" s="24"/>
    </row>
    <row r="113" spans="1:17"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3"/>
      <c r="Q113" s="24"/>
    </row>
    <row r="114" spans="1:17"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3"/>
      <c r="Q114" s="24"/>
    </row>
    <row r="115" spans="1:17"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3"/>
      <c r="Q115" s="24"/>
    </row>
    <row r="116" spans="1:17"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3"/>
      <c r="Q116" s="24"/>
    </row>
    <row r="117" spans="1:17"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3"/>
      <c r="Q117" s="24"/>
    </row>
    <row r="118" spans="1:17"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3"/>
      <c r="Q118" s="24"/>
    </row>
    <row r="119" spans="1:17" ht="45" hidden="1" customHeight="1">
      <c r="A119" s="140"/>
      <c r="B119" s="39">
        <v>0</v>
      </c>
      <c r="C119" s="21"/>
      <c r="D119" s="21"/>
      <c r="E119" s="21"/>
      <c r="F119" s="21"/>
      <c r="G119" s="21"/>
      <c r="H119" s="22">
        <v>0</v>
      </c>
      <c r="I119" s="22">
        <v>0</v>
      </c>
      <c r="J119" s="22">
        <v>0</v>
      </c>
      <c r="K119" s="22">
        <v>0</v>
      </c>
      <c r="L119" s="22">
        <v>0</v>
      </c>
      <c r="M119" s="22">
        <v>0</v>
      </c>
      <c r="N119" s="22">
        <v>0</v>
      </c>
      <c r="O119" s="23">
        <f t="shared" ref="O119:O150" si="5">AVERAGE(H119:N121)</f>
        <v>0</v>
      </c>
      <c r="P119" s="23"/>
      <c r="Q119" s="24"/>
    </row>
    <row r="120" spans="1:17" ht="45" hidden="1" customHeight="1">
      <c r="A120" s="140"/>
      <c r="B120" s="39">
        <v>0</v>
      </c>
      <c r="C120" s="21"/>
      <c r="D120" s="21"/>
      <c r="E120" s="21"/>
      <c r="F120" s="21"/>
      <c r="G120" s="21"/>
      <c r="H120" s="22">
        <v>0</v>
      </c>
      <c r="I120" s="22">
        <v>0</v>
      </c>
      <c r="J120" s="22">
        <v>0</v>
      </c>
      <c r="K120" s="22">
        <v>0</v>
      </c>
      <c r="L120" s="22">
        <v>0</v>
      </c>
      <c r="M120" s="22">
        <v>0</v>
      </c>
      <c r="N120" s="22">
        <v>0</v>
      </c>
      <c r="O120" s="23">
        <f t="shared" si="5"/>
        <v>0</v>
      </c>
      <c r="P120" s="23"/>
      <c r="Q120" s="24"/>
    </row>
    <row r="121" spans="1:17" ht="45" hidden="1" customHeight="1">
      <c r="A121" s="140"/>
      <c r="B121" s="39">
        <v>0</v>
      </c>
      <c r="C121" s="21"/>
      <c r="D121" s="21"/>
      <c r="E121" s="21"/>
      <c r="F121" s="21"/>
      <c r="G121" s="21"/>
      <c r="H121" s="22">
        <v>0</v>
      </c>
      <c r="I121" s="22">
        <v>0</v>
      </c>
      <c r="J121" s="22">
        <v>0</v>
      </c>
      <c r="K121" s="22">
        <v>0</v>
      </c>
      <c r="L121" s="22">
        <v>0</v>
      </c>
      <c r="M121" s="22">
        <v>0</v>
      </c>
      <c r="N121" s="22">
        <v>0</v>
      </c>
      <c r="O121" s="23">
        <f t="shared" si="5"/>
        <v>0</v>
      </c>
      <c r="P121" s="23"/>
      <c r="Q121" s="24"/>
    </row>
    <row r="122" spans="1:17" ht="45" hidden="1" customHeight="1">
      <c r="A122" s="140"/>
      <c r="B122" s="39">
        <v>0</v>
      </c>
      <c r="C122" s="21"/>
      <c r="D122" s="21"/>
      <c r="E122" s="21"/>
      <c r="F122" s="21"/>
      <c r="G122" s="21"/>
      <c r="H122" s="22">
        <v>0</v>
      </c>
      <c r="I122" s="22">
        <v>0</v>
      </c>
      <c r="J122" s="22">
        <v>0</v>
      </c>
      <c r="K122" s="22">
        <v>0</v>
      </c>
      <c r="L122" s="22">
        <v>0</v>
      </c>
      <c r="M122" s="22">
        <v>0</v>
      </c>
      <c r="N122" s="22">
        <v>0</v>
      </c>
      <c r="O122" s="23">
        <f t="shared" si="5"/>
        <v>0</v>
      </c>
      <c r="P122" s="23"/>
      <c r="Q122" s="24"/>
    </row>
    <row r="123" spans="1:17" ht="45" hidden="1" customHeight="1">
      <c r="A123" s="140"/>
      <c r="B123" s="39">
        <v>0</v>
      </c>
      <c r="C123" s="21"/>
      <c r="D123" s="21"/>
      <c r="E123" s="21"/>
      <c r="F123" s="21"/>
      <c r="G123" s="21"/>
      <c r="H123" s="22">
        <v>0</v>
      </c>
      <c r="I123" s="22">
        <v>0</v>
      </c>
      <c r="J123" s="22">
        <v>0</v>
      </c>
      <c r="K123" s="22">
        <v>0</v>
      </c>
      <c r="L123" s="22">
        <v>0</v>
      </c>
      <c r="M123" s="22">
        <v>0</v>
      </c>
      <c r="N123" s="22">
        <v>0</v>
      </c>
      <c r="O123" s="23">
        <f t="shared" si="5"/>
        <v>0</v>
      </c>
      <c r="P123" s="23"/>
      <c r="Q123" s="24"/>
    </row>
    <row r="124" spans="1:17" ht="45" hidden="1" customHeight="1">
      <c r="A124" s="140"/>
      <c r="B124" s="39">
        <v>0</v>
      </c>
      <c r="C124" s="21"/>
      <c r="D124" s="21"/>
      <c r="E124" s="21"/>
      <c r="F124" s="21"/>
      <c r="G124" s="21"/>
      <c r="H124" s="22">
        <v>0</v>
      </c>
      <c r="I124" s="22">
        <v>0</v>
      </c>
      <c r="J124" s="22">
        <v>0</v>
      </c>
      <c r="K124" s="22">
        <v>0</v>
      </c>
      <c r="L124" s="22">
        <v>0</v>
      </c>
      <c r="M124" s="22">
        <v>0</v>
      </c>
      <c r="N124" s="22">
        <v>0</v>
      </c>
      <c r="O124" s="23">
        <f t="shared" si="5"/>
        <v>0</v>
      </c>
      <c r="P124" s="23"/>
      <c r="Q124" s="24"/>
    </row>
    <row r="125" spans="1:17" ht="45" hidden="1" customHeight="1">
      <c r="A125" s="140"/>
      <c r="B125" s="39">
        <v>0</v>
      </c>
      <c r="C125" s="21"/>
      <c r="D125" s="21"/>
      <c r="E125" s="21"/>
      <c r="F125" s="21"/>
      <c r="G125" s="21"/>
      <c r="H125" s="22">
        <v>0</v>
      </c>
      <c r="I125" s="22">
        <v>0</v>
      </c>
      <c r="J125" s="22">
        <v>0</v>
      </c>
      <c r="K125" s="22">
        <v>0</v>
      </c>
      <c r="L125" s="22">
        <v>0</v>
      </c>
      <c r="M125" s="22">
        <v>0</v>
      </c>
      <c r="N125" s="22">
        <v>0</v>
      </c>
      <c r="O125" s="23">
        <f t="shared" si="5"/>
        <v>0</v>
      </c>
      <c r="P125" s="23"/>
      <c r="Q125" s="24"/>
    </row>
    <row r="126" spans="1:17" ht="45" hidden="1" customHeight="1">
      <c r="A126" s="140"/>
      <c r="B126" s="39">
        <v>0</v>
      </c>
      <c r="C126" s="21"/>
      <c r="D126" s="21"/>
      <c r="E126" s="21"/>
      <c r="F126" s="21"/>
      <c r="G126" s="21"/>
      <c r="H126" s="22">
        <v>0</v>
      </c>
      <c r="I126" s="22">
        <v>0</v>
      </c>
      <c r="J126" s="22">
        <v>0</v>
      </c>
      <c r="K126" s="22">
        <v>0</v>
      </c>
      <c r="L126" s="22">
        <v>0</v>
      </c>
      <c r="M126" s="22">
        <v>0</v>
      </c>
      <c r="N126" s="22">
        <v>0</v>
      </c>
      <c r="O126" s="23">
        <f t="shared" si="5"/>
        <v>0</v>
      </c>
      <c r="P126" s="23"/>
      <c r="Q126" s="24"/>
    </row>
    <row r="127" spans="1:17" ht="45" hidden="1" customHeight="1">
      <c r="A127" s="140"/>
      <c r="B127" s="39">
        <v>0</v>
      </c>
      <c r="C127" s="21"/>
      <c r="D127" s="21"/>
      <c r="E127" s="21"/>
      <c r="F127" s="21"/>
      <c r="G127" s="21"/>
      <c r="H127" s="22">
        <v>0</v>
      </c>
      <c r="I127" s="22">
        <v>0</v>
      </c>
      <c r="J127" s="22">
        <v>0</v>
      </c>
      <c r="K127" s="22">
        <v>0</v>
      </c>
      <c r="L127" s="22">
        <v>0</v>
      </c>
      <c r="M127" s="22">
        <v>0</v>
      </c>
      <c r="N127" s="22">
        <v>0</v>
      </c>
      <c r="O127" s="23">
        <f t="shared" si="5"/>
        <v>0</v>
      </c>
      <c r="P127" s="23"/>
      <c r="Q127" s="24"/>
    </row>
    <row r="128" spans="1:17" ht="45" hidden="1" customHeight="1">
      <c r="A128" s="140"/>
      <c r="B128" s="39">
        <v>0</v>
      </c>
      <c r="C128" s="21"/>
      <c r="D128" s="21"/>
      <c r="E128" s="21"/>
      <c r="F128" s="21"/>
      <c r="G128" s="21"/>
      <c r="H128" s="22">
        <v>0</v>
      </c>
      <c r="I128" s="22">
        <v>0</v>
      </c>
      <c r="J128" s="22">
        <v>0</v>
      </c>
      <c r="K128" s="22">
        <v>0</v>
      </c>
      <c r="L128" s="22">
        <v>0</v>
      </c>
      <c r="M128" s="22">
        <v>0</v>
      </c>
      <c r="N128" s="22">
        <v>0</v>
      </c>
      <c r="O128" s="23">
        <f t="shared" si="5"/>
        <v>0</v>
      </c>
      <c r="P128" s="23"/>
      <c r="Q128" s="24"/>
    </row>
    <row r="129" spans="1:17" ht="45" hidden="1" customHeight="1">
      <c r="A129" s="140"/>
      <c r="B129" s="39">
        <v>0</v>
      </c>
      <c r="C129" s="21"/>
      <c r="D129" s="21"/>
      <c r="E129" s="21"/>
      <c r="F129" s="21"/>
      <c r="G129" s="21"/>
      <c r="H129" s="22">
        <v>0</v>
      </c>
      <c r="I129" s="22">
        <v>0</v>
      </c>
      <c r="J129" s="22">
        <v>0</v>
      </c>
      <c r="K129" s="22">
        <v>0</v>
      </c>
      <c r="L129" s="22">
        <v>0</v>
      </c>
      <c r="M129" s="22">
        <v>0</v>
      </c>
      <c r="N129" s="22">
        <v>0</v>
      </c>
      <c r="O129" s="23">
        <f t="shared" si="5"/>
        <v>0</v>
      </c>
      <c r="P129" s="23"/>
      <c r="Q129" s="24"/>
    </row>
    <row r="130" spans="1:17" ht="45" hidden="1" customHeight="1">
      <c r="A130" s="140"/>
      <c r="B130" s="39">
        <v>0</v>
      </c>
      <c r="C130" s="21"/>
      <c r="D130" s="21"/>
      <c r="E130" s="21"/>
      <c r="F130" s="21"/>
      <c r="G130" s="21"/>
      <c r="H130" s="22">
        <v>0</v>
      </c>
      <c r="I130" s="22">
        <v>0</v>
      </c>
      <c r="J130" s="22">
        <v>0</v>
      </c>
      <c r="K130" s="22">
        <v>0</v>
      </c>
      <c r="L130" s="22">
        <v>0</v>
      </c>
      <c r="M130" s="22">
        <v>0</v>
      </c>
      <c r="N130" s="22">
        <v>0</v>
      </c>
      <c r="O130" s="23">
        <f t="shared" si="5"/>
        <v>0</v>
      </c>
      <c r="P130" s="23"/>
      <c r="Q130" s="24"/>
    </row>
    <row r="131" spans="1:17" ht="45" hidden="1" customHeight="1">
      <c r="A131" s="140"/>
      <c r="B131" s="39">
        <v>0</v>
      </c>
      <c r="C131" s="21"/>
      <c r="D131" s="21"/>
      <c r="E131" s="21"/>
      <c r="F131" s="21"/>
      <c r="G131" s="21"/>
      <c r="H131" s="22">
        <v>0</v>
      </c>
      <c r="I131" s="22">
        <v>0</v>
      </c>
      <c r="J131" s="22">
        <v>0</v>
      </c>
      <c r="K131" s="22">
        <v>0</v>
      </c>
      <c r="L131" s="22">
        <v>0</v>
      </c>
      <c r="M131" s="22">
        <v>0</v>
      </c>
      <c r="N131" s="22">
        <v>0</v>
      </c>
      <c r="O131" s="23">
        <f t="shared" si="5"/>
        <v>0</v>
      </c>
      <c r="P131" s="23"/>
      <c r="Q131" s="24"/>
    </row>
    <row r="132" spans="1:17" ht="45" hidden="1" customHeight="1">
      <c r="A132" s="140"/>
      <c r="B132" s="39">
        <v>0</v>
      </c>
      <c r="C132" s="21"/>
      <c r="D132" s="21"/>
      <c r="E132" s="21"/>
      <c r="F132" s="21"/>
      <c r="G132" s="21"/>
      <c r="H132" s="22">
        <v>0</v>
      </c>
      <c r="I132" s="22">
        <v>0</v>
      </c>
      <c r="J132" s="22">
        <v>0</v>
      </c>
      <c r="K132" s="22">
        <v>0</v>
      </c>
      <c r="L132" s="22">
        <v>0</v>
      </c>
      <c r="M132" s="22">
        <v>0</v>
      </c>
      <c r="N132" s="22">
        <v>0</v>
      </c>
      <c r="O132" s="23">
        <f t="shared" si="5"/>
        <v>0</v>
      </c>
      <c r="P132" s="23"/>
      <c r="Q132" s="24"/>
    </row>
    <row r="133" spans="1:17" ht="45" hidden="1" customHeight="1">
      <c r="A133" s="140"/>
      <c r="B133" s="39">
        <v>0</v>
      </c>
      <c r="C133" s="21"/>
      <c r="D133" s="21"/>
      <c r="E133" s="21"/>
      <c r="F133" s="21"/>
      <c r="G133" s="21"/>
      <c r="H133" s="22">
        <v>0</v>
      </c>
      <c r="I133" s="22">
        <v>0</v>
      </c>
      <c r="J133" s="22">
        <v>0</v>
      </c>
      <c r="K133" s="22">
        <v>0</v>
      </c>
      <c r="L133" s="22">
        <v>0</v>
      </c>
      <c r="M133" s="22">
        <v>0</v>
      </c>
      <c r="N133" s="22">
        <v>0</v>
      </c>
      <c r="O133" s="23">
        <f t="shared" si="5"/>
        <v>0</v>
      </c>
      <c r="P133" s="23"/>
      <c r="Q133" s="24"/>
    </row>
    <row r="134" spans="1:17" ht="45" hidden="1" customHeight="1">
      <c r="A134" s="140"/>
      <c r="B134" s="39">
        <v>0</v>
      </c>
      <c r="C134" s="21"/>
      <c r="D134" s="21"/>
      <c r="E134" s="21"/>
      <c r="F134" s="21"/>
      <c r="G134" s="21"/>
      <c r="H134" s="22">
        <v>0</v>
      </c>
      <c r="I134" s="22">
        <v>0</v>
      </c>
      <c r="J134" s="22">
        <v>0</v>
      </c>
      <c r="K134" s="22">
        <v>0</v>
      </c>
      <c r="L134" s="22">
        <v>0</v>
      </c>
      <c r="M134" s="22">
        <v>0</v>
      </c>
      <c r="N134" s="22">
        <v>0</v>
      </c>
      <c r="O134" s="23">
        <f t="shared" si="5"/>
        <v>0</v>
      </c>
      <c r="P134" s="23"/>
      <c r="Q134" s="24"/>
    </row>
    <row r="135" spans="1:17" ht="45" hidden="1" customHeight="1">
      <c r="A135" s="140"/>
      <c r="B135" s="39">
        <v>0</v>
      </c>
      <c r="C135" s="21"/>
      <c r="D135" s="21"/>
      <c r="E135" s="21"/>
      <c r="F135" s="21"/>
      <c r="G135" s="21"/>
      <c r="H135" s="22">
        <v>0</v>
      </c>
      <c r="I135" s="22">
        <v>0</v>
      </c>
      <c r="J135" s="22">
        <v>0</v>
      </c>
      <c r="K135" s="22">
        <v>0</v>
      </c>
      <c r="L135" s="22">
        <v>0</v>
      </c>
      <c r="M135" s="22">
        <v>0</v>
      </c>
      <c r="N135" s="22">
        <v>0</v>
      </c>
      <c r="O135" s="23">
        <f t="shared" si="5"/>
        <v>0</v>
      </c>
      <c r="P135" s="23"/>
      <c r="Q135" s="24"/>
    </row>
    <row r="136" spans="1:17" ht="45" hidden="1" customHeight="1">
      <c r="A136" s="140"/>
      <c r="B136" s="39">
        <v>0</v>
      </c>
      <c r="C136" s="21"/>
      <c r="D136" s="21"/>
      <c r="E136" s="21"/>
      <c r="F136" s="21"/>
      <c r="G136" s="21"/>
      <c r="H136" s="22">
        <v>0</v>
      </c>
      <c r="I136" s="22">
        <v>0</v>
      </c>
      <c r="J136" s="22">
        <v>0</v>
      </c>
      <c r="K136" s="22">
        <v>0</v>
      </c>
      <c r="L136" s="22">
        <v>0</v>
      </c>
      <c r="M136" s="22">
        <v>0</v>
      </c>
      <c r="N136" s="22">
        <v>0</v>
      </c>
      <c r="O136" s="23">
        <f t="shared" si="5"/>
        <v>0</v>
      </c>
      <c r="P136" s="23"/>
      <c r="Q136" s="24"/>
    </row>
    <row r="137" spans="1:17" ht="45" hidden="1" customHeight="1">
      <c r="A137" s="140"/>
      <c r="B137" s="39">
        <v>0</v>
      </c>
      <c r="C137" s="21"/>
      <c r="D137" s="21"/>
      <c r="E137" s="21"/>
      <c r="F137" s="21"/>
      <c r="G137" s="21"/>
      <c r="H137" s="22">
        <v>0</v>
      </c>
      <c r="I137" s="22">
        <v>0</v>
      </c>
      <c r="J137" s="22">
        <v>0</v>
      </c>
      <c r="K137" s="22">
        <v>0</v>
      </c>
      <c r="L137" s="22">
        <v>0</v>
      </c>
      <c r="M137" s="22">
        <v>0</v>
      </c>
      <c r="N137" s="22">
        <v>0</v>
      </c>
      <c r="O137" s="23">
        <f t="shared" si="5"/>
        <v>0</v>
      </c>
      <c r="P137" s="23"/>
      <c r="Q137" s="24"/>
    </row>
    <row r="138" spans="1:17" ht="45" hidden="1" customHeight="1">
      <c r="A138" s="140"/>
      <c r="B138" s="39">
        <v>0</v>
      </c>
      <c r="C138" s="21"/>
      <c r="D138" s="21"/>
      <c r="E138" s="21"/>
      <c r="F138" s="21"/>
      <c r="G138" s="21"/>
      <c r="H138" s="22">
        <v>0</v>
      </c>
      <c r="I138" s="22">
        <v>0</v>
      </c>
      <c r="J138" s="22">
        <v>0</v>
      </c>
      <c r="K138" s="22">
        <v>0</v>
      </c>
      <c r="L138" s="22">
        <v>0</v>
      </c>
      <c r="M138" s="22">
        <v>0</v>
      </c>
      <c r="N138" s="22">
        <v>0</v>
      </c>
      <c r="O138" s="23">
        <f t="shared" si="5"/>
        <v>0</v>
      </c>
      <c r="P138" s="23"/>
      <c r="Q138" s="24"/>
    </row>
    <row r="139" spans="1:17" ht="45" hidden="1" customHeight="1">
      <c r="A139" s="140"/>
      <c r="B139" s="39">
        <v>0</v>
      </c>
      <c r="C139" s="21"/>
      <c r="D139" s="21"/>
      <c r="E139" s="21"/>
      <c r="F139" s="21"/>
      <c r="G139" s="21"/>
      <c r="H139" s="22">
        <v>0</v>
      </c>
      <c r="I139" s="22">
        <v>0</v>
      </c>
      <c r="J139" s="22">
        <v>0</v>
      </c>
      <c r="K139" s="22">
        <v>0</v>
      </c>
      <c r="L139" s="22">
        <v>0</v>
      </c>
      <c r="M139" s="22">
        <v>0</v>
      </c>
      <c r="N139" s="22">
        <v>0</v>
      </c>
      <c r="O139" s="23">
        <f t="shared" si="5"/>
        <v>0</v>
      </c>
      <c r="P139" s="23"/>
      <c r="Q139" s="24"/>
    </row>
    <row r="140" spans="1:17" ht="45" hidden="1" customHeight="1">
      <c r="A140" s="140"/>
      <c r="B140" s="39">
        <v>0</v>
      </c>
      <c r="C140" s="21"/>
      <c r="D140" s="21"/>
      <c r="E140" s="21"/>
      <c r="F140" s="21"/>
      <c r="G140" s="21"/>
      <c r="H140" s="22">
        <v>0</v>
      </c>
      <c r="I140" s="22">
        <v>0</v>
      </c>
      <c r="J140" s="22">
        <v>0</v>
      </c>
      <c r="K140" s="22">
        <v>0</v>
      </c>
      <c r="L140" s="22">
        <v>0</v>
      </c>
      <c r="M140" s="22">
        <v>0</v>
      </c>
      <c r="N140" s="22">
        <v>0</v>
      </c>
      <c r="O140" s="23">
        <f t="shared" si="5"/>
        <v>0</v>
      </c>
      <c r="P140" s="23"/>
      <c r="Q140" s="24"/>
    </row>
    <row r="141" spans="1:17" ht="45" hidden="1" customHeight="1">
      <c r="A141" s="140"/>
      <c r="B141" s="39">
        <v>0</v>
      </c>
      <c r="C141" s="21"/>
      <c r="D141" s="21"/>
      <c r="E141" s="21"/>
      <c r="F141" s="21"/>
      <c r="G141" s="21"/>
      <c r="H141" s="22">
        <v>0</v>
      </c>
      <c r="I141" s="22">
        <v>0</v>
      </c>
      <c r="J141" s="22">
        <v>0</v>
      </c>
      <c r="K141" s="22">
        <v>0</v>
      </c>
      <c r="L141" s="22">
        <v>0</v>
      </c>
      <c r="M141" s="22">
        <v>0</v>
      </c>
      <c r="N141" s="22">
        <v>0</v>
      </c>
      <c r="O141" s="23">
        <f t="shared" si="5"/>
        <v>0</v>
      </c>
      <c r="P141" s="23"/>
      <c r="Q141" s="24"/>
    </row>
    <row r="142" spans="1:17" ht="45" hidden="1" customHeight="1">
      <c r="A142" s="140"/>
      <c r="B142" s="39">
        <v>0</v>
      </c>
      <c r="C142" s="21"/>
      <c r="D142" s="21"/>
      <c r="E142" s="21"/>
      <c r="F142" s="21"/>
      <c r="G142" s="21"/>
      <c r="H142" s="22">
        <v>0</v>
      </c>
      <c r="I142" s="22">
        <v>0</v>
      </c>
      <c r="J142" s="22">
        <v>0</v>
      </c>
      <c r="K142" s="22">
        <v>0</v>
      </c>
      <c r="L142" s="22">
        <v>0</v>
      </c>
      <c r="M142" s="22">
        <v>0</v>
      </c>
      <c r="N142" s="22">
        <v>0</v>
      </c>
      <c r="O142" s="23">
        <f t="shared" si="5"/>
        <v>0</v>
      </c>
      <c r="P142" s="23"/>
      <c r="Q142" s="24"/>
    </row>
    <row r="143" spans="1:17" ht="45" hidden="1" customHeight="1">
      <c r="A143" s="140"/>
      <c r="B143" s="39">
        <v>0</v>
      </c>
      <c r="C143" s="21"/>
      <c r="D143" s="21"/>
      <c r="E143" s="21"/>
      <c r="F143" s="21"/>
      <c r="G143" s="21"/>
      <c r="H143" s="22">
        <v>0</v>
      </c>
      <c r="I143" s="22">
        <v>0</v>
      </c>
      <c r="J143" s="22">
        <v>0</v>
      </c>
      <c r="K143" s="22">
        <v>0</v>
      </c>
      <c r="L143" s="22">
        <v>0</v>
      </c>
      <c r="M143" s="22">
        <v>0</v>
      </c>
      <c r="N143" s="22">
        <v>0</v>
      </c>
      <c r="O143" s="23">
        <f t="shared" si="5"/>
        <v>0</v>
      </c>
      <c r="P143" s="23"/>
      <c r="Q143" s="24"/>
    </row>
    <row r="144" spans="1:17" ht="45" hidden="1" customHeight="1">
      <c r="A144" s="140"/>
      <c r="B144" s="39">
        <v>0</v>
      </c>
      <c r="C144" s="21"/>
      <c r="D144" s="21"/>
      <c r="E144" s="21"/>
      <c r="F144" s="21"/>
      <c r="G144" s="21"/>
      <c r="H144" s="22">
        <v>0</v>
      </c>
      <c r="I144" s="22">
        <v>0</v>
      </c>
      <c r="J144" s="22">
        <v>0</v>
      </c>
      <c r="K144" s="22">
        <v>0</v>
      </c>
      <c r="L144" s="22">
        <v>0</v>
      </c>
      <c r="M144" s="22">
        <v>0</v>
      </c>
      <c r="N144" s="22">
        <v>0</v>
      </c>
      <c r="O144" s="23">
        <f t="shared" si="5"/>
        <v>0</v>
      </c>
      <c r="P144" s="23"/>
      <c r="Q144" s="24"/>
    </row>
    <row r="145" spans="1:17" ht="45" hidden="1" customHeight="1">
      <c r="A145" s="152"/>
      <c r="B145" s="39">
        <v>0</v>
      </c>
      <c r="C145" s="25"/>
      <c r="D145" s="25"/>
      <c r="E145" s="25"/>
      <c r="F145" s="25"/>
      <c r="G145" s="25"/>
      <c r="H145" s="36">
        <v>0</v>
      </c>
      <c r="I145" s="37">
        <v>0</v>
      </c>
      <c r="J145" s="37">
        <v>0</v>
      </c>
      <c r="K145" s="37">
        <v>0</v>
      </c>
      <c r="L145" s="37">
        <v>0</v>
      </c>
      <c r="M145" s="37">
        <v>0</v>
      </c>
      <c r="N145" s="37">
        <v>0</v>
      </c>
      <c r="O145" s="38">
        <f t="shared" si="5"/>
        <v>0</v>
      </c>
      <c r="P145" s="38"/>
      <c r="Q145" s="19"/>
    </row>
    <row r="146" spans="1:17" ht="45" hidden="1" customHeight="1">
      <c r="A146" s="153"/>
      <c r="B146" s="39">
        <v>0</v>
      </c>
      <c r="C146" s="21"/>
      <c r="D146" s="21"/>
      <c r="E146" s="21"/>
      <c r="F146" s="21"/>
      <c r="G146" s="21"/>
      <c r="H146" s="32">
        <v>0</v>
      </c>
      <c r="I146" s="22">
        <v>0</v>
      </c>
      <c r="J146" s="22">
        <v>0</v>
      </c>
      <c r="K146" s="22">
        <v>0</v>
      </c>
      <c r="L146" s="22">
        <v>0</v>
      </c>
      <c r="M146" s="22">
        <v>0</v>
      </c>
      <c r="N146" s="22">
        <v>0</v>
      </c>
      <c r="O146" s="23">
        <f t="shared" si="5"/>
        <v>0</v>
      </c>
      <c r="P146" s="23"/>
      <c r="Q146" s="24"/>
    </row>
    <row r="147" spans="1:17" ht="45" hidden="1" customHeight="1">
      <c r="A147" s="153"/>
      <c r="B147" s="39">
        <v>0</v>
      </c>
      <c r="C147" s="21"/>
      <c r="D147" s="21"/>
      <c r="E147" s="21"/>
      <c r="F147" s="21"/>
      <c r="G147" s="21"/>
      <c r="H147" s="32">
        <v>0</v>
      </c>
      <c r="I147" s="22">
        <v>0</v>
      </c>
      <c r="J147" s="22">
        <v>0</v>
      </c>
      <c r="K147" s="22">
        <v>0</v>
      </c>
      <c r="L147" s="22">
        <v>0</v>
      </c>
      <c r="M147" s="22">
        <v>0</v>
      </c>
      <c r="N147" s="22">
        <v>0</v>
      </c>
      <c r="O147" s="23">
        <f t="shared" si="5"/>
        <v>0.23809523809523808</v>
      </c>
      <c r="P147" s="23"/>
      <c r="Q147" s="24"/>
    </row>
    <row r="148" spans="1:17" ht="45" hidden="1" customHeight="1">
      <c r="A148" s="153"/>
      <c r="B148" s="39">
        <v>0</v>
      </c>
      <c r="C148" s="21"/>
      <c r="D148" s="21"/>
      <c r="E148" s="21"/>
      <c r="F148" s="21"/>
      <c r="G148" s="21"/>
      <c r="H148" s="32">
        <v>0</v>
      </c>
      <c r="I148" s="22">
        <v>0</v>
      </c>
      <c r="J148" s="22">
        <v>0</v>
      </c>
      <c r="K148" s="22">
        <v>0</v>
      </c>
      <c r="L148" s="22">
        <v>0</v>
      </c>
      <c r="M148" s="22">
        <v>0</v>
      </c>
      <c r="N148" s="22">
        <v>0</v>
      </c>
      <c r="O148" s="23">
        <f t="shared" si="5"/>
        <v>0.35714285714285715</v>
      </c>
      <c r="P148" s="23"/>
      <c r="Q148" s="24"/>
    </row>
    <row r="149" spans="1:17" ht="45" hidden="1" customHeight="1">
      <c r="A149" s="153"/>
      <c r="B149" s="39">
        <v>5</v>
      </c>
      <c r="C149" s="21"/>
      <c r="D149" s="21"/>
      <c r="E149" s="21"/>
      <c r="F149" s="21"/>
      <c r="G149" s="21"/>
      <c r="H149" s="32">
        <v>0</v>
      </c>
      <c r="I149" s="22">
        <v>0</v>
      </c>
      <c r="J149" s="22">
        <v>0</v>
      </c>
      <c r="K149" s="22">
        <v>0</v>
      </c>
      <c r="L149" s="22">
        <v>0</v>
      </c>
      <c r="M149" s="22">
        <v>0</v>
      </c>
      <c r="N149" s="22">
        <v>5</v>
      </c>
      <c r="O149" s="23">
        <f t="shared" si="5"/>
        <v>0.7142857142857143</v>
      </c>
      <c r="P149" s="23"/>
      <c r="Q149" s="24"/>
    </row>
  </sheetData>
  <autoFilter ref="A2:Q149" xr:uid="{6831539B-1EF2-456C-A99A-6624932F8169}">
    <filterColumn colId="0">
      <colorFilter dxfId="78"/>
    </filterColumn>
    <filterColumn colId="2">
      <filters>
        <filter val="Benjamin D"/>
      </filters>
    </filterColumn>
    <sortState xmlns:xlrd2="http://schemas.microsoft.com/office/spreadsheetml/2017/richdata2" ref="A3:Q149">
      <sortCondition ref="A2:A149"/>
    </sortState>
  </autoFilter>
  <mergeCells count="2">
    <mergeCell ref="J1:K1"/>
    <mergeCell ref="L1:N1"/>
  </mergeCells>
  <conditionalFormatting sqref="B3:B149">
    <cfRule type="iconSet" priority="1">
      <iconSet iconSet="5Rating">
        <cfvo type="percent" val="0"/>
        <cfvo type="percent" val="20"/>
        <cfvo type="percent" val="40"/>
        <cfvo type="percent" val="60"/>
        <cfvo type="percent" val="80"/>
      </iconSet>
    </cfRule>
  </conditionalFormatting>
  <conditionalFormatting sqref="H78:P889 J77:P77 H77 H4:P4 H3:O3 H6:P6 H5:O5 H8:P18 H7:O7 H20:P21 H19:O19 H23:P24 H22:O22 H27:P27 H25:O26 H29:P29 H28:O28 H31:P31 H30:O30 H33:P43 H32:O32 H46:P46 H44:O45 H50:P52 H47:O49 H60:P76 H53:O54 H56:O59 K55:O55 H55">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9" xr:uid="{4BF64C16-2C79-46AF-B427-C727B8B193B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4368F6B-7B07-4AD3-8549-2526628B8571}">
          <x14:formula1>
            <xm:f>'Guide suivi GDP '!$E$14:$E$19</xm:f>
          </x14:formula1>
          <xm:sqref>F3:F149</xm:sqref>
        </x14:dataValidation>
        <x14:dataValidation type="list" allowBlank="1" showInputMessage="1" showErrorMessage="1" xr:uid="{2119875B-F22E-4A0D-985A-EE8E233F67E1}">
          <x14:formula1>
            <xm:f>'Guide suivi GDP '!$E$20:$E$24</xm:f>
          </x14:formula1>
          <xm:sqref>E3:E149</xm:sqref>
        </x14:dataValidation>
        <x14:dataValidation type="list" allowBlank="1" showInputMessage="1" showErrorMessage="1" xr:uid="{FA19986C-6D17-4F5B-832D-459D00FCFDA6}">
          <x14:formula1>
            <xm:f>'Guide suivi GDP '!$E$3:$E$8</xm:f>
          </x14:formula1>
          <xm:sqref>D3:D149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4095-5CB9-4E97-832F-C731547553C9}">
  <sheetPr filterMode="1">
    <tabColor rgb="FF92D050"/>
  </sheetPr>
  <dimension ref="A1:S149"/>
  <sheetViews>
    <sheetView workbookViewId="0"/>
  </sheetViews>
  <sheetFormatPr baseColWidth="10" defaultColWidth="9.140625" defaultRowHeight="12.75" outlineLevelCol="1"/>
  <cols>
    <col min="1" max="1" width="20.42578125" style="26" customWidth="1"/>
    <col min="2" max="2" width="9.85546875" style="26" customWidth="1"/>
    <col min="3" max="3" width="12.28515625" style="5" customWidth="1"/>
    <col min="4" max="4" width="11.7109375" style="5" customWidth="1"/>
    <col min="5" max="5" width="18.28515625" style="5" customWidth="1"/>
    <col min="6" max="6" width="12.5703125" style="27" customWidth="1"/>
    <col min="7" max="7" width="14.28515625" style="27" customWidth="1"/>
    <col min="8" max="8" width="14.5703125" style="26" hidden="1" customWidth="1" outlineLevel="1" collapsed="1"/>
    <col min="9" max="9" width="12.7109375" style="26" hidden="1" customWidth="1" outlineLevel="1"/>
    <col min="10" max="10" width="11" style="26" hidden="1" customWidth="1" outlineLevel="1"/>
    <col min="11" max="11" width="8.85546875" style="26" hidden="1" customWidth="1" outlineLevel="1"/>
    <col min="12" max="12" width="11.7109375" style="26" hidden="1" customWidth="1" outlineLevel="1"/>
    <col min="13" max="13" width="12.28515625" style="26" hidden="1" customWidth="1" outlineLevel="1"/>
    <col min="14" max="14" width="15.7109375" style="26" hidden="1" customWidth="1" outlineLevel="1"/>
    <col min="15" max="15" width="10.5703125" style="13" bestFit="1" customWidth="1" collapsed="1"/>
    <col min="16" max="16" width="24.5703125" style="13" customWidth="1"/>
    <col min="17" max="17" width="42" style="26" customWidth="1"/>
    <col min="18" max="16384" width="9.140625" style="13"/>
  </cols>
  <sheetData>
    <row r="1" spans="1:17" ht="13.5" customHeight="1">
      <c r="F1" s="5"/>
      <c r="G1" s="5"/>
      <c r="H1" s="9" t="s">
        <v>68</v>
      </c>
      <c r="I1" s="12" t="s">
        <v>69</v>
      </c>
      <c r="J1" s="199" t="s">
        <v>71</v>
      </c>
      <c r="K1" s="200"/>
      <c r="L1" s="196" t="s">
        <v>76</v>
      </c>
      <c r="M1" s="197"/>
      <c r="N1" s="198"/>
    </row>
    <row r="2" spans="1:17" ht="45">
      <c r="A2" s="2" t="s">
        <v>85</v>
      </c>
      <c r="B2" s="2" t="s">
        <v>229</v>
      </c>
      <c r="C2" s="2" t="s">
        <v>86</v>
      </c>
      <c r="D2" s="2" t="s">
        <v>87</v>
      </c>
      <c r="E2" s="2" t="s">
        <v>88</v>
      </c>
      <c r="F2" s="2" t="s">
        <v>89</v>
      </c>
      <c r="G2" s="2" t="s">
        <v>185</v>
      </c>
      <c r="H2" s="9" t="s">
        <v>90</v>
      </c>
      <c r="I2" s="12" t="s">
        <v>91</v>
      </c>
      <c r="J2" s="10" t="s">
        <v>92</v>
      </c>
      <c r="K2" s="10" t="s">
        <v>93</v>
      </c>
      <c r="L2" s="11" t="s">
        <v>94</v>
      </c>
      <c r="M2" s="11" t="s">
        <v>95</v>
      </c>
      <c r="N2" s="11" t="s">
        <v>96</v>
      </c>
      <c r="O2" s="3" t="s">
        <v>80</v>
      </c>
      <c r="P2" s="3" t="s">
        <v>567</v>
      </c>
      <c r="Q2" s="2" t="s">
        <v>97</v>
      </c>
    </row>
    <row r="3" spans="1:17" ht="45" customHeight="1">
      <c r="A3" s="153" t="s">
        <v>100</v>
      </c>
      <c r="B3" s="39">
        <v>0</v>
      </c>
      <c r="C3" s="141" t="s">
        <v>51</v>
      </c>
      <c r="D3" s="141" t="s">
        <v>26</v>
      </c>
      <c r="E3" s="141" t="s">
        <v>45</v>
      </c>
      <c r="F3" s="141" t="s">
        <v>37</v>
      </c>
      <c r="G3" s="141"/>
      <c r="H3" s="29">
        <v>0</v>
      </c>
      <c r="I3" s="145">
        <v>0</v>
      </c>
      <c r="J3" s="145">
        <v>0</v>
      </c>
      <c r="K3" s="145">
        <v>0</v>
      </c>
      <c r="L3" s="145" t="s">
        <v>101</v>
      </c>
      <c r="M3" s="145">
        <v>0</v>
      </c>
      <c r="N3" s="145">
        <v>0</v>
      </c>
      <c r="O3" s="142">
        <f t="shared" ref="O3:O34" si="0">AVERAGE(H3:N3)</f>
        <v>0</v>
      </c>
      <c r="P3" s="143"/>
      <c r="Q3" s="143" t="s">
        <v>568</v>
      </c>
    </row>
    <row r="4" spans="1:17" ht="45" hidden="1" customHeight="1">
      <c r="A4" s="47" t="s">
        <v>145</v>
      </c>
      <c r="B4" s="39">
        <v>0</v>
      </c>
      <c r="C4" s="141" t="s">
        <v>123</v>
      </c>
      <c r="D4" s="141" t="s">
        <v>6</v>
      </c>
      <c r="E4" s="141"/>
      <c r="F4" s="141" t="s">
        <v>37</v>
      </c>
      <c r="G4" s="141"/>
      <c r="H4" s="29">
        <v>0</v>
      </c>
      <c r="I4" s="145">
        <v>0</v>
      </c>
      <c r="J4" s="145">
        <v>0</v>
      </c>
      <c r="K4" s="145">
        <v>0</v>
      </c>
      <c r="L4" s="145">
        <v>0</v>
      </c>
      <c r="M4" s="145">
        <v>0</v>
      </c>
      <c r="N4" s="145">
        <v>0</v>
      </c>
      <c r="O4" s="20">
        <f t="shared" si="0"/>
        <v>0</v>
      </c>
      <c r="P4" s="60"/>
      <c r="Q4" s="143" t="s">
        <v>317</v>
      </c>
    </row>
    <row r="5" spans="1:17" ht="45" hidden="1" customHeight="1">
      <c r="A5" s="40" t="s">
        <v>117</v>
      </c>
      <c r="B5" s="39">
        <v>0</v>
      </c>
      <c r="C5" s="141" t="s">
        <v>51</v>
      </c>
      <c r="D5" s="141" t="s">
        <v>14</v>
      </c>
      <c r="E5" s="141" t="s">
        <v>45</v>
      </c>
      <c r="F5" s="141" t="s">
        <v>38</v>
      </c>
      <c r="G5" s="141"/>
      <c r="H5" s="29" t="s">
        <v>118</v>
      </c>
      <c r="I5" s="145" t="s">
        <v>118</v>
      </c>
      <c r="J5" s="145" t="s">
        <v>118</v>
      </c>
      <c r="K5" s="145" t="s">
        <v>118</v>
      </c>
      <c r="L5" s="145" t="s">
        <v>118</v>
      </c>
      <c r="M5" s="145" t="s">
        <v>118</v>
      </c>
      <c r="N5" s="145" t="s">
        <v>118</v>
      </c>
      <c r="O5" s="142" t="e">
        <f t="shared" si="0"/>
        <v>#DIV/0!</v>
      </c>
      <c r="P5" s="143"/>
      <c r="Q5" s="143" t="s">
        <v>407</v>
      </c>
    </row>
    <row r="6" spans="1:17" ht="45" hidden="1" customHeight="1">
      <c r="A6" s="153" t="s">
        <v>170</v>
      </c>
      <c r="B6" s="39">
        <v>0</v>
      </c>
      <c r="C6" s="141" t="s">
        <v>150</v>
      </c>
      <c r="D6" s="141" t="s">
        <v>26</v>
      </c>
      <c r="E6" s="141"/>
      <c r="F6" s="141"/>
      <c r="G6" s="45">
        <v>45565</v>
      </c>
      <c r="H6" s="29">
        <v>0</v>
      </c>
      <c r="I6" s="145">
        <v>5</v>
      </c>
      <c r="J6" s="145">
        <v>0</v>
      </c>
      <c r="K6" s="145">
        <v>3</v>
      </c>
      <c r="L6" s="145">
        <v>2</v>
      </c>
      <c r="M6" s="145">
        <v>1</v>
      </c>
      <c r="N6" s="145">
        <v>0</v>
      </c>
      <c r="O6" s="142">
        <f t="shared" si="0"/>
        <v>1.5714285714285714</v>
      </c>
      <c r="P6" s="59"/>
      <c r="Q6" s="143" t="s">
        <v>523</v>
      </c>
    </row>
    <row r="7" spans="1:17" ht="45" customHeight="1">
      <c r="A7" s="153" t="s">
        <v>108</v>
      </c>
      <c r="B7" s="39">
        <v>0</v>
      </c>
      <c r="C7" s="141" t="s">
        <v>51</v>
      </c>
      <c r="D7" s="141" t="s">
        <v>26</v>
      </c>
      <c r="E7" s="141" t="s">
        <v>47</v>
      </c>
      <c r="F7" s="141" t="s">
        <v>38</v>
      </c>
      <c r="G7" s="141"/>
      <c r="H7" s="29">
        <v>0</v>
      </c>
      <c r="I7" s="145">
        <v>0</v>
      </c>
      <c r="J7" s="145" t="s">
        <v>101</v>
      </c>
      <c r="K7" s="145">
        <v>2</v>
      </c>
      <c r="L7" s="145">
        <v>0</v>
      </c>
      <c r="M7" s="145">
        <v>0</v>
      </c>
      <c r="N7" s="145">
        <v>0</v>
      </c>
      <c r="O7" s="142">
        <f t="shared" si="0"/>
        <v>0.33333333333333331</v>
      </c>
      <c r="P7" s="143"/>
      <c r="Q7" s="61" t="s">
        <v>582</v>
      </c>
    </row>
    <row r="8" spans="1:17" ht="45" hidden="1" customHeight="1">
      <c r="A8" s="40" t="s">
        <v>179</v>
      </c>
      <c r="B8" s="39">
        <v>0</v>
      </c>
      <c r="C8" s="141" t="s">
        <v>174</v>
      </c>
      <c r="D8" s="141" t="s">
        <v>10</v>
      </c>
      <c r="E8" s="141"/>
      <c r="F8" s="141" t="s">
        <v>42</v>
      </c>
      <c r="G8" s="141"/>
      <c r="H8" s="29">
        <v>4</v>
      </c>
      <c r="I8" s="145">
        <v>0</v>
      </c>
      <c r="J8" s="145">
        <v>2</v>
      </c>
      <c r="K8" s="145">
        <v>0</v>
      </c>
      <c r="L8" s="145">
        <v>0</v>
      </c>
      <c r="M8" s="145">
        <v>2</v>
      </c>
      <c r="N8" s="145" t="s">
        <v>118</v>
      </c>
      <c r="O8" s="142">
        <f t="shared" si="0"/>
        <v>1.3333333333333333</v>
      </c>
      <c r="P8" s="59"/>
      <c r="Q8" s="143" t="s">
        <v>116</v>
      </c>
    </row>
    <row r="9" spans="1:17" ht="45" hidden="1" customHeight="1">
      <c r="A9" s="153" t="s">
        <v>232</v>
      </c>
      <c r="B9" s="39">
        <v>0</v>
      </c>
      <c r="C9" s="141" t="s">
        <v>174</v>
      </c>
      <c r="D9" s="141" t="s">
        <v>14</v>
      </c>
      <c r="E9" s="141" t="s">
        <v>44</v>
      </c>
      <c r="F9" s="141" t="s">
        <v>38</v>
      </c>
      <c r="G9" s="141"/>
      <c r="H9" s="29">
        <v>0</v>
      </c>
      <c r="I9" s="145">
        <v>0</v>
      </c>
      <c r="J9" s="145">
        <v>0</v>
      </c>
      <c r="K9" s="145">
        <v>0</v>
      </c>
      <c r="L9" s="145">
        <v>0</v>
      </c>
      <c r="M9" s="145">
        <v>0</v>
      </c>
      <c r="N9" s="145">
        <v>0</v>
      </c>
      <c r="O9" s="142">
        <f t="shared" si="0"/>
        <v>0</v>
      </c>
      <c r="P9" s="59"/>
      <c r="Q9" s="143" t="s">
        <v>524</v>
      </c>
    </row>
    <row r="10" spans="1:17" ht="45" hidden="1" customHeight="1">
      <c r="A10" s="153" t="s">
        <v>273</v>
      </c>
      <c r="B10" s="39">
        <v>0</v>
      </c>
      <c r="C10" s="141" t="s">
        <v>409</v>
      </c>
      <c r="D10" s="141"/>
      <c r="E10" s="141"/>
      <c r="F10" s="141"/>
      <c r="G10" s="141"/>
      <c r="H10" s="29">
        <v>0</v>
      </c>
      <c r="I10" s="145">
        <v>0</v>
      </c>
      <c r="J10" s="145">
        <v>0</v>
      </c>
      <c r="K10" s="145">
        <v>0</v>
      </c>
      <c r="L10" s="145">
        <v>0</v>
      </c>
      <c r="M10" s="145">
        <v>0</v>
      </c>
      <c r="N10" s="145">
        <v>0</v>
      </c>
      <c r="O10" s="142">
        <f t="shared" si="0"/>
        <v>0</v>
      </c>
      <c r="P10" s="59"/>
      <c r="Q10" s="143" t="s">
        <v>558</v>
      </c>
    </row>
    <row r="11" spans="1:17" ht="45" hidden="1" customHeight="1">
      <c r="A11" s="153" t="s">
        <v>275</v>
      </c>
      <c r="B11" s="39">
        <v>0</v>
      </c>
      <c r="C11" s="141" t="s">
        <v>409</v>
      </c>
      <c r="D11" s="141"/>
      <c r="E11" s="141"/>
      <c r="F11" s="141"/>
      <c r="G11" s="141"/>
      <c r="H11" s="29"/>
      <c r="I11" s="145"/>
      <c r="J11" s="145"/>
      <c r="K11" s="145"/>
      <c r="L11" s="145"/>
      <c r="M11" s="145"/>
      <c r="N11" s="145"/>
      <c r="O11" s="142" t="e">
        <f t="shared" si="0"/>
        <v>#DIV/0!</v>
      </c>
      <c r="P11" s="59"/>
      <c r="Q11" s="143" t="s">
        <v>484</v>
      </c>
    </row>
    <row r="12" spans="1:17" ht="45" hidden="1" customHeight="1">
      <c r="A12" s="153" t="s">
        <v>446</v>
      </c>
      <c r="B12" s="39">
        <v>0</v>
      </c>
      <c r="C12" s="141" t="s">
        <v>409</v>
      </c>
      <c r="D12" s="141"/>
      <c r="E12" s="141"/>
      <c r="F12" s="141"/>
      <c r="G12" s="141"/>
      <c r="H12" s="29"/>
      <c r="I12" s="145"/>
      <c r="J12" s="145"/>
      <c r="K12" s="145"/>
      <c r="L12" s="145"/>
      <c r="M12" s="145"/>
      <c r="N12" s="145"/>
      <c r="O12" s="142" t="e">
        <f t="shared" si="0"/>
        <v>#DIV/0!</v>
      </c>
      <c r="P12" s="59"/>
      <c r="Q12" s="143" t="s">
        <v>485</v>
      </c>
    </row>
    <row r="13" spans="1:17" ht="45" hidden="1" customHeight="1">
      <c r="A13" s="153" t="s">
        <v>274</v>
      </c>
      <c r="B13" s="39">
        <v>0</v>
      </c>
      <c r="C13" s="141" t="s">
        <v>409</v>
      </c>
      <c r="D13" s="141"/>
      <c r="E13" s="141"/>
      <c r="F13" s="141"/>
      <c r="G13" s="141"/>
      <c r="H13" s="29" t="s">
        <v>118</v>
      </c>
      <c r="I13" s="145" t="s">
        <v>118</v>
      </c>
      <c r="J13" s="145" t="s">
        <v>118</v>
      </c>
      <c r="K13" s="145" t="s">
        <v>118</v>
      </c>
      <c r="L13" s="145" t="s">
        <v>118</v>
      </c>
      <c r="M13" s="145" t="s">
        <v>118</v>
      </c>
      <c r="N13" s="145" t="s">
        <v>118</v>
      </c>
      <c r="O13" s="142" t="e">
        <f t="shared" si="0"/>
        <v>#DIV/0!</v>
      </c>
      <c r="P13" s="59"/>
      <c r="Q13" s="143" t="s">
        <v>322</v>
      </c>
    </row>
    <row r="14" spans="1:17" ht="45" hidden="1" customHeight="1">
      <c r="A14" s="153" t="s">
        <v>280</v>
      </c>
      <c r="B14" s="39">
        <v>0</v>
      </c>
      <c r="C14" s="141" t="s">
        <v>409</v>
      </c>
      <c r="D14" s="21"/>
      <c r="E14" s="21"/>
      <c r="F14" s="21"/>
      <c r="G14" s="21"/>
      <c r="H14" s="29"/>
      <c r="I14" s="145"/>
      <c r="J14" s="145"/>
      <c r="K14" s="145"/>
      <c r="L14" s="145"/>
      <c r="M14" s="145"/>
      <c r="N14" s="145"/>
      <c r="O14" s="142" t="e">
        <f t="shared" si="0"/>
        <v>#DIV/0!</v>
      </c>
      <c r="P14" s="59"/>
      <c r="Q14" s="46" t="s">
        <v>323</v>
      </c>
    </row>
    <row r="15" spans="1:17" ht="45" hidden="1" customHeight="1">
      <c r="A15" s="153" t="s">
        <v>277</v>
      </c>
      <c r="B15" s="39">
        <v>0</v>
      </c>
      <c r="C15" s="141" t="s">
        <v>409</v>
      </c>
      <c r="D15" s="21"/>
      <c r="E15" s="21"/>
      <c r="F15" s="21"/>
      <c r="G15" s="21"/>
      <c r="H15" s="29">
        <v>0</v>
      </c>
      <c r="I15" s="145">
        <v>0</v>
      </c>
      <c r="J15" s="145">
        <v>0</v>
      </c>
      <c r="K15" s="145">
        <v>0</v>
      </c>
      <c r="L15" s="145">
        <v>0</v>
      </c>
      <c r="M15" s="145">
        <v>0</v>
      </c>
      <c r="N15" s="145">
        <v>0</v>
      </c>
      <c r="O15" s="142">
        <f t="shared" si="0"/>
        <v>0</v>
      </c>
      <c r="P15" s="59"/>
      <c r="Q15" s="46" t="s">
        <v>486</v>
      </c>
    </row>
    <row r="16" spans="1:17" ht="45" hidden="1" customHeight="1">
      <c r="A16" s="153" t="s">
        <v>279</v>
      </c>
      <c r="B16" s="39">
        <v>0</v>
      </c>
      <c r="C16" s="141" t="s">
        <v>409</v>
      </c>
      <c r="D16" s="21" t="s">
        <v>6</v>
      </c>
      <c r="E16" s="21"/>
      <c r="F16" s="21"/>
      <c r="G16" s="21"/>
      <c r="H16" s="29"/>
      <c r="I16" s="145"/>
      <c r="J16" s="145"/>
      <c r="K16" s="145"/>
      <c r="L16" s="145"/>
      <c r="M16" s="145"/>
      <c r="N16" s="145"/>
      <c r="O16" s="142" t="e">
        <f t="shared" si="0"/>
        <v>#DIV/0!</v>
      </c>
      <c r="P16" s="59"/>
      <c r="Q16" s="46" t="s">
        <v>448</v>
      </c>
    </row>
    <row r="17" spans="1:18" ht="45" hidden="1" customHeight="1">
      <c r="A17" s="153" t="s">
        <v>403</v>
      </c>
      <c r="B17" s="39">
        <v>3</v>
      </c>
      <c r="C17" s="141" t="s">
        <v>409</v>
      </c>
      <c r="D17" s="141" t="s">
        <v>14</v>
      </c>
      <c r="E17" s="141" t="s">
        <v>44</v>
      </c>
      <c r="F17" s="141" t="s">
        <v>39</v>
      </c>
      <c r="G17" s="141" t="s">
        <v>261</v>
      </c>
      <c r="H17" s="29">
        <v>0</v>
      </c>
      <c r="I17" s="145">
        <v>0</v>
      </c>
      <c r="J17" s="145">
        <v>0</v>
      </c>
      <c r="K17" s="145">
        <v>0</v>
      </c>
      <c r="L17" s="145">
        <v>0</v>
      </c>
      <c r="M17" s="145">
        <v>0</v>
      </c>
      <c r="N17" s="145">
        <v>2</v>
      </c>
      <c r="O17" s="142">
        <f t="shared" si="0"/>
        <v>0.2857142857142857</v>
      </c>
      <c r="P17" s="59"/>
      <c r="Q17" s="143" t="s">
        <v>525</v>
      </c>
    </row>
    <row r="18" spans="1:18" ht="45" hidden="1" customHeight="1">
      <c r="A18" s="153" t="s">
        <v>125</v>
      </c>
      <c r="B18" s="39">
        <v>0</v>
      </c>
      <c r="C18" s="141" t="s">
        <v>123</v>
      </c>
      <c r="D18" s="141" t="s">
        <v>14</v>
      </c>
      <c r="E18" s="141" t="s">
        <v>44</v>
      </c>
      <c r="F18" s="141" t="s">
        <v>41</v>
      </c>
      <c r="G18" s="141"/>
      <c r="H18" s="29">
        <v>2</v>
      </c>
      <c r="I18" s="145">
        <v>5</v>
      </c>
      <c r="J18" s="145">
        <v>0</v>
      </c>
      <c r="K18" s="145">
        <v>4</v>
      </c>
      <c r="L18" s="145">
        <v>1</v>
      </c>
      <c r="M18" s="145">
        <v>1</v>
      </c>
      <c r="N18" s="145">
        <v>1</v>
      </c>
      <c r="O18" s="142">
        <f t="shared" si="0"/>
        <v>2</v>
      </c>
      <c r="P18" s="59"/>
      <c r="Q18" s="143" t="s">
        <v>526</v>
      </c>
    </row>
    <row r="19" spans="1:18" ht="45" hidden="1" customHeight="1">
      <c r="A19" s="41" t="s">
        <v>429</v>
      </c>
      <c r="B19" s="39">
        <v>0</v>
      </c>
      <c r="C19" s="141" t="s">
        <v>51</v>
      </c>
      <c r="D19" s="141" t="s">
        <v>6</v>
      </c>
      <c r="E19" s="141"/>
      <c r="F19" s="141"/>
      <c r="G19" s="141"/>
      <c r="H19" s="29">
        <v>0</v>
      </c>
      <c r="I19" s="145">
        <v>0</v>
      </c>
      <c r="J19" s="145">
        <v>0</v>
      </c>
      <c r="K19" s="145">
        <v>0</v>
      </c>
      <c r="L19" s="145">
        <v>0</v>
      </c>
      <c r="M19" s="145">
        <v>0</v>
      </c>
      <c r="N19" s="145">
        <v>0</v>
      </c>
      <c r="O19" s="142">
        <f t="shared" si="0"/>
        <v>0</v>
      </c>
      <c r="P19" s="143"/>
      <c r="Q19" s="155" t="s">
        <v>527</v>
      </c>
    </row>
    <row r="20" spans="1:18" ht="45" hidden="1" customHeight="1">
      <c r="A20" s="41" t="s">
        <v>127</v>
      </c>
      <c r="B20" s="39">
        <v>0</v>
      </c>
      <c r="C20" s="141" t="s">
        <v>123</v>
      </c>
      <c r="D20" s="141" t="s">
        <v>26</v>
      </c>
      <c r="E20" s="141" t="s">
        <v>48</v>
      </c>
      <c r="F20" s="141"/>
      <c r="G20" s="141"/>
      <c r="H20" s="29">
        <v>1</v>
      </c>
      <c r="I20" s="145">
        <v>3</v>
      </c>
      <c r="J20" s="145">
        <v>3</v>
      </c>
      <c r="K20" s="145">
        <v>4</v>
      </c>
      <c r="L20" s="145">
        <v>3</v>
      </c>
      <c r="M20" s="145">
        <v>4</v>
      </c>
      <c r="N20" s="145">
        <v>1</v>
      </c>
      <c r="O20" s="142">
        <f t="shared" si="0"/>
        <v>2.7142857142857144</v>
      </c>
      <c r="P20" s="59"/>
      <c r="Q20" s="143" t="s">
        <v>489</v>
      </c>
    </row>
    <row r="21" spans="1:18" ht="45" hidden="1" customHeight="1">
      <c r="A21" s="153" t="s">
        <v>243</v>
      </c>
      <c r="B21" s="39">
        <v>0</v>
      </c>
      <c r="C21" s="141" t="s">
        <v>150</v>
      </c>
      <c r="D21" s="141" t="s">
        <v>26</v>
      </c>
      <c r="E21" s="141" t="s">
        <v>48</v>
      </c>
      <c r="F21" s="141"/>
      <c r="G21" s="141"/>
      <c r="H21" s="29">
        <v>2</v>
      </c>
      <c r="I21" s="145">
        <v>1</v>
      </c>
      <c r="J21" s="145">
        <v>0</v>
      </c>
      <c r="K21" s="145">
        <v>0</v>
      </c>
      <c r="L21" s="145">
        <v>0</v>
      </c>
      <c r="M21" s="145">
        <v>1</v>
      </c>
      <c r="N21" s="145">
        <v>0</v>
      </c>
      <c r="O21" s="142">
        <f t="shared" si="0"/>
        <v>0.5714285714285714</v>
      </c>
      <c r="P21" s="59"/>
      <c r="Q21" s="143" t="s">
        <v>528</v>
      </c>
    </row>
    <row r="22" spans="1:18" ht="45" hidden="1" customHeight="1">
      <c r="A22" s="41" t="s">
        <v>113</v>
      </c>
      <c r="B22" s="39">
        <v>0</v>
      </c>
      <c r="C22" s="141" t="s">
        <v>51</v>
      </c>
      <c r="D22" s="141" t="s">
        <v>6</v>
      </c>
      <c r="E22" s="141" t="s">
        <v>44</v>
      </c>
      <c r="F22" s="141" t="s">
        <v>39</v>
      </c>
      <c r="G22" s="141"/>
      <c r="H22" s="29">
        <v>0</v>
      </c>
      <c r="I22" s="145">
        <v>0</v>
      </c>
      <c r="J22" s="145">
        <v>0</v>
      </c>
      <c r="K22" s="145">
        <v>0</v>
      </c>
      <c r="L22" s="145">
        <v>0</v>
      </c>
      <c r="M22" s="145">
        <v>0</v>
      </c>
      <c r="N22" s="145">
        <v>0</v>
      </c>
      <c r="O22" s="142">
        <f t="shared" si="0"/>
        <v>0</v>
      </c>
      <c r="P22" s="143"/>
      <c r="Q22" s="143" t="s">
        <v>188</v>
      </c>
    </row>
    <row r="23" spans="1:18" ht="45" hidden="1" customHeight="1">
      <c r="A23" s="153" t="s">
        <v>213</v>
      </c>
      <c r="B23" s="39">
        <v>0</v>
      </c>
      <c r="C23" s="141" t="s">
        <v>150</v>
      </c>
      <c r="D23" s="141" t="s">
        <v>6</v>
      </c>
      <c r="E23" s="141"/>
      <c r="F23" s="141"/>
      <c r="G23" s="141"/>
      <c r="H23" s="29" t="s">
        <v>118</v>
      </c>
      <c r="I23" s="145" t="s">
        <v>118</v>
      </c>
      <c r="J23" s="145" t="s">
        <v>118</v>
      </c>
      <c r="K23" s="145" t="s">
        <v>118</v>
      </c>
      <c r="L23" s="145" t="s">
        <v>118</v>
      </c>
      <c r="M23" s="145" t="s">
        <v>118</v>
      </c>
      <c r="N23" s="145" t="s">
        <v>118</v>
      </c>
      <c r="O23" s="142" t="e">
        <f t="shared" si="0"/>
        <v>#DIV/0!</v>
      </c>
      <c r="P23" s="59"/>
      <c r="Q23" s="143" t="s">
        <v>451</v>
      </c>
    </row>
    <row r="24" spans="1:18" ht="45" hidden="1" customHeight="1">
      <c r="A24" s="153" t="s">
        <v>154</v>
      </c>
      <c r="B24" s="39">
        <v>0</v>
      </c>
      <c r="C24" s="141" t="s">
        <v>150</v>
      </c>
      <c r="D24" s="141" t="s">
        <v>26</v>
      </c>
      <c r="E24" s="141" t="s">
        <v>48</v>
      </c>
      <c r="F24" s="141"/>
      <c r="G24" s="141"/>
      <c r="H24" s="29">
        <v>0</v>
      </c>
      <c r="I24" s="145">
        <v>0</v>
      </c>
      <c r="J24" s="145">
        <v>0</v>
      </c>
      <c r="K24" s="145">
        <v>0</v>
      </c>
      <c r="L24" s="145">
        <v>0</v>
      </c>
      <c r="M24" s="145">
        <v>0</v>
      </c>
      <c r="N24" s="145">
        <v>0</v>
      </c>
      <c r="O24" s="142">
        <f t="shared" si="0"/>
        <v>0</v>
      </c>
      <c r="P24" s="59"/>
      <c r="Q24" s="143" t="s">
        <v>529</v>
      </c>
    </row>
    <row r="25" spans="1:18" ht="45" customHeight="1">
      <c r="A25" s="153" t="s">
        <v>415</v>
      </c>
      <c r="B25" s="39">
        <v>0</v>
      </c>
      <c r="C25" s="21" t="s">
        <v>51</v>
      </c>
      <c r="D25" s="21" t="s">
        <v>6</v>
      </c>
      <c r="E25" s="21"/>
      <c r="F25" s="21"/>
      <c r="G25" s="21"/>
      <c r="H25" s="48"/>
      <c r="I25" s="51"/>
      <c r="J25" s="51"/>
      <c r="K25" s="51"/>
      <c r="L25" s="51"/>
      <c r="M25" s="51"/>
      <c r="N25" s="51"/>
      <c r="O25" s="142" t="e">
        <f t="shared" si="0"/>
        <v>#DIV/0!</v>
      </c>
      <c r="P25" s="143"/>
      <c r="Q25" s="62" t="s">
        <v>583</v>
      </c>
    </row>
    <row r="26" spans="1:18" ht="45" hidden="1" customHeight="1">
      <c r="A26" s="41" t="s">
        <v>227</v>
      </c>
      <c r="B26" s="39">
        <v>2</v>
      </c>
      <c r="C26" s="141" t="s">
        <v>51</v>
      </c>
      <c r="D26" s="141" t="s">
        <v>6</v>
      </c>
      <c r="E26" s="141"/>
      <c r="F26" s="141"/>
      <c r="G26" s="141"/>
      <c r="H26" s="29" t="s">
        <v>118</v>
      </c>
      <c r="I26" s="145" t="s">
        <v>118</v>
      </c>
      <c r="J26" s="145" t="s">
        <v>118</v>
      </c>
      <c r="K26" s="145" t="s">
        <v>118</v>
      </c>
      <c r="L26" s="145" t="s">
        <v>118</v>
      </c>
      <c r="M26" s="145" t="s">
        <v>118</v>
      </c>
      <c r="N26" s="145" t="s">
        <v>118</v>
      </c>
      <c r="O26" s="142" t="e">
        <f t="shared" si="0"/>
        <v>#DIV/0!</v>
      </c>
      <c r="P26" s="143"/>
      <c r="Q26" s="143" t="s">
        <v>570</v>
      </c>
    </row>
    <row r="27" spans="1:18" ht="45" hidden="1" customHeight="1">
      <c r="A27" s="153" t="s">
        <v>180</v>
      </c>
      <c r="B27" s="39">
        <v>0</v>
      </c>
      <c r="C27" s="141" t="s">
        <v>174</v>
      </c>
      <c r="D27" s="141" t="s">
        <v>6</v>
      </c>
      <c r="E27" s="141"/>
      <c r="F27" s="141"/>
      <c r="G27" s="141"/>
      <c r="H27" s="29" t="s">
        <v>118</v>
      </c>
      <c r="I27" s="145" t="s">
        <v>118</v>
      </c>
      <c r="J27" s="145" t="s">
        <v>118</v>
      </c>
      <c r="K27" s="145" t="s">
        <v>118</v>
      </c>
      <c r="L27" s="145" t="s">
        <v>118</v>
      </c>
      <c r="M27" s="145" t="s">
        <v>118</v>
      </c>
      <c r="N27" s="145" t="s">
        <v>118</v>
      </c>
      <c r="O27" s="142" t="e">
        <f t="shared" si="0"/>
        <v>#DIV/0!</v>
      </c>
      <c r="P27" s="59"/>
      <c r="Q27" s="143" t="s">
        <v>493</v>
      </c>
    </row>
    <row r="28" spans="1:18" ht="45" hidden="1" customHeight="1">
      <c r="A28" s="40" t="s">
        <v>215</v>
      </c>
      <c r="B28" s="39">
        <v>0</v>
      </c>
      <c r="C28" s="141" t="s">
        <v>51</v>
      </c>
      <c r="D28" s="141" t="s">
        <v>6</v>
      </c>
      <c r="E28" s="141"/>
      <c r="F28" s="141"/>
      <c r="G28" s="141"/>
      <c r="H28" s="30">
        <v>0</v>
      </c>
      <c r="I28" s="139">
        <v>0</v>
      </c>
      <c r="J28" s="139">
        <v>0</v>
      </c>
      <c r="K28" s="139">
        <v>0</v>
      </c>
      <c r="L28" s="139">
        <v>0</v>
      </c>
      <c r="M28" s="139">
        <v>0</v>
      </c>
      <c r="N28" s="139">
        <v>0</v>
      </c>
      <c r="O28" s="142">
        <f t="shared" si="0"/>
        <v>0</v>
      </c>
      <c r="P28" s="143"/>
      <c r="Q28" s="138" t="s">
        <v>494</v>
      </c>
      <c r="R28" s="13" t="s">
        <v>578</v>
      </c>
    </row>
    <row r="29" spans="1:18" ht="45" hidden="1" customHeight="1">
      <c r="A29" s="153" t="s">
        <v>156</v>
      </c>
      <c r="B29" s="39">
        <v>0</v>
      </c>
      <c r="C29" s="141" t="s">
        <v>150</v>
      </c>
      <c r="D29" s="141" t="s">
        <v>14</v>
      </c>
      <c r="E29" s="141" t="s">
        <v>44</v>
      </c>
      <c r="F29" s="141" t="s">
        <v>39</v>
      </c>
      <c r="G29" s="45"/>
      <c r="H29" s="29">
        <v>2</v>
      </c>
      <c r="I29" s="145">
        <v>5</v>
      </c>
      <c r="J29" s="145">
        <v>4</v>
      </c>
      <c r="K29" s="145">
        <v>5</v>
      </c>
      <c r="L29" s="145">
        <v>0</v>
      </c>
      <c r="M29" s="145">
        <v>3</v>
      </c>
      <c r="N29" s="145">
        <v>2</v>
      </c>
      <c r="O29" s="142">
        <f t="shared" si="0"/>
        <v>3</v>
      </c>
      <c r="P29" s="59"/>
      <c r="Q29" s="143" t="s">
        <v>531</v>
      </c>
    </row>
    <row r="30" spans="1:18" ht="45" customHeight="1">
      <c r="A30" s="153" t="s">
        <v>98</v>
      </c>
      <c r="B30" s="39">
        <v>0</v>
      </c>
      <c r="C30" s="141" t="s">
        <v>51</v>
      </c>
      <c r="D30" s="141" t="s">
        <v>26</v>
      </c>
      <c r="E30" s="141" t="s">
        <v>47</v>
      </c>
      <c r="F30" s="141" t="s">
        <v>39</v>
      </c>
      <c r="G30" s="141" t="s">
        <v>230</v>
      </c>
      <c r="H30" s="29">
        <v>2</v>
      </c>
      <c r="I30" s="145">
        <v>0</v>
      </c>
      <c r="J30" s="145">
        <v>0</v>
      </c>
      <c r="K30" s="145">
        <v>0</v>
      </c>
      <c r="L30" s="145">
        <v>0</v>
      </c>
      <c r="M30" s="145">
        <v>2</v>
      </c>
      <c r="N30" s="145">
        <v>1</v>
      </c>
      <c r="O30" s="142">
        <f t="shared" si="0"/>
        <v>0.7142857142857143</v>
      </c>
      <c r="P30" s="143"/>
      <c r="Q30" s="61" t="s">
        <v>584</v>
      </c>
      <c r="R30" s="13" t="s">
        <v>594</v>
      </c>
    </row>
    <row r="31" spans="1:18" ht="45" hidden="1" customHeight="1">
      <c r="A31" s="153" t="s">
        <v>283</v>
      </c>
      <c r="B31" s="39">
        <v>0</v>
      </c>
      <c r="C31" s="21" t="s">
        <v>174</v>
      </c>
      <c r="D31" s="21" t="s">
        <v>6</v>
      </c>
      <c r="E31" s="21"/>
      <c r="F31" s="21"/>
      <c r="G31" s="21"/>
      <c r="H31" s="48"/>
      <c r="I31" s="51"/>
      <c r="J31" s="51"/>
      <c r="K31" s="51"/>
      <c r="L31" s="51"/>
      <c r="M31" s="51"/>
      <c r="N31" s="51"/>
      <c r="O31" s="142" t="e">
        <f t="shared" si="0"/>
        <v>#DIV/0!</v>
      </c>
      <c r="P31" s="59"/>
      <c r="Q31" s="46" t="s">
        <v>532</v>
      </c>
    </row>
    <row r="32" spans="1:18" ht="45" customHeight="1">
      <c r="A32" s="153" t="s">
        <v>103</v>
      </c>
      <c r="B32" s="39">
        <v>0</v>
      </c>
      <c r="C32" s="141" t="s">
        <v>51</v>
      </c>
      <c r="D32" s="141" t="s">
        <v>26</v>
      </c>
      <c r="E32" s="141" t="s">
        <v>48</v>
      </c>
      <c r="F32" s="141"/>
      <c r="G32" s="141"/>
      <c r="H32" s="29">
        <v>0</v>
      </c>
      <c r="I32" s="145" t="s">
        <v>104</v>
      </c>
      <c r="J32" s="145" t="s">
        <v>104</v>
      </c>
      <c r="K32" s="145" t="s">
        <v>104</v>
      </c>
      <c r="L32" s="145" t="s">
        <v>101</v>
      </c>
      <c r="M32" s="145" t="s">
        <v>101</v>
      </c>
      <c r="N32" s="145" t="s">
        <v>101</v>
      </c>
      <c r="O32" s="142">
        <f t="shared" si="0"/>
        <v>0</v>
      </c>
      <c r="P32" s="143"/>
      <c r="Q32" s="143" t="s">
        <v>561</v>
      </c>
    </row>
    <row r="33" spans="1:18" ht="45" hidden="1" customHeight="1">
      <c r="A33" s="153" t="s">
        <v>441</v>
      </c>
      <c r="B33" s="39">
        <v>0</v>
      </c>
      <c r="C33" s="21" t="s">
        <v>150</v>
      </c>
      <c r="D33" s="21"/>
      <c r="E33" s="21"/>
      <c r="F33" s="21"/>
      <c r="G33" s="21"/>
      <c r="H33" s="48">
        <v>0</v>
      </c>
      <c r="I33" s="51">
        <v>0</v>
      </c>
      <c r="J33" s="51">
        <v>0</v>
      </c>
      <c r="K33" s="51">
        <v>0</v>
      </c>
      <c r="L33" s="51">
        <v>0</v>
      </c>
      <c r="M33" s="51">
        <v>0</v>
      </c>
      <c r="N33" s="51">
        <v>0</v>
      </c>
      <c r="O33" s="142">
        <f t="shared" si="0"/>
        <v>0</v>
      </c>
      <c r="P33" s="59"/>
      <c r="Q33" s="46" t="s">
        <v>533</v>
      </c>
    </row>
    <row r="34" spans="1:18" ht="45" hidden="1" customHeight="1">
      <c r="A34" s="153" t="s">
        <v>225</v>
      </c>
      <c r="B34" s="39">
        <v>0</v>
      </c>
      <c r="C34" s="141" t="s">
        <v>267</v>
      </c>
      <c r="D34" s="141" t="s">
        <v>6</v>
      </c>
      <c r="E34" s="141"/>
      <c r="F34" s="141"/>
      <c r="G34" s="141"/>
      <c r="H34" s="29">
        <v>0</v>
      </c>
      <c r="I34" s="145">
        <v>0</v>
      </c>
      <c r="J34" s="145">
        <v>0</v>
      </c>
      <c r="K34" s="145">
        <v>0</v>
      </c>
      <c r="L34" s="145">
        <v>0</v>
      </c>
      <c r="M34" s="145">
        <v>0</v>
      </c>
      <c r="N34" s="145">
        <v>0</v>
      </c>
      <c r="O34" s="142">
        <f t="shared" si="0"/>
        <v>0</v>
      </c>
      <c r="P34" s="59"/>
      <c r="Q34" s="143" t="s">
        <v>226</v>
      </c>
    </row>
    <row r="35" spans="1:18" ht="45" hidden="1" customHeight="1">
      <c r="A35" s="153" t="s">
        <v>132</v>
      </c>
      <c r="B35" s="39">
        <v>0</v>
      </c>
      <c r="C35" s="141" t="s">
        <v>123</v>
      </c>
      <c r="D35" s="141" t="s">
        <v>26</v>
      </c>
      <c r="E35" s="141" t="s">
        <v>48</v>
      </c>
      <c r="F35" s="141"/>
      <c r="G35" s="141"/>
      <c r="H35" s="29">
        <v>1</v>
      </c>
      <c r="I35" s="145">
        <v>2</v>
      </c>
      <c r="J35" s="145">
        <v>0</v>
      </c>
      <c r="K35" s="145">
        <v>0</v>
      </c>
      <c r="L35" s="145">
        <v>0</v>
      </c>
      <c r="M35" s="145">
        <v>0</v>
      </c>
      <c r="N35" s="145">
        <v>0</v>
      </c>
      <c r="O35" s="142">
        <f t="shared" ref="O35:O66" si="1">AVERAGE(H35:N35)</f>
        <v>0.42857142857142855</v>
      </c>
      <c r="P35" s="59"/>
      <c r="Q35" s="143" t="s">
        <v>534</v>
      </c>
    </row>
    <row r="36" spans="1:18" ht="45" hidden="1" customHeight="1">
      <c r="A36" s="40" t="s">
        <v>147</v>
      </c>
      <c r="B36" s="39">
        <v>0</v>
      </c>
      <c r="C36" s="141" t="s">
        <v>123</v>
      </c>
      <c r="D36" s="141" t="s">
        <v>6</v>
      </c>
      <c r="E36" s="141"/>
      <c r="F36" s="141" t="s">
        <v>39</v>
      </c>
      <c r="G36" s="141"/>
      <c r="H36" s="29">
        <v>3</v>
      </c>
      <c r="I36" s="145">
        <v>0</v>
      </c>
      <c r="J36" s="145">
        <v>0</v>
      </c>
      <c r="K36" s="145">
        <v>0</v>
      </c>
      <c r="L36" s="145">
        <v>0</v>
      </c>
      <c r="M36" s="145">
        <v>0</v>
      </c>
      <c r="N36" s="145">
        <v>0</v>
      </c>
      <c r="O36" s="142">
        <f t="shared" si="1"/>
        <v>0.42857142857142855</v>
      </c>
      <c r="P36" s="59"/>
      <c r="Q36" s="143" t="s">
        <v>245</v>
      </c>
    </row>
    <row r="37" spans="1:18" ht="45" hidden="1" customHeight="1">
      <c r="A37" s="153" t="s">
        <v>165</v>
      </c>
      <c r="B37" s="39">
        <v>0</v>
      </c>
      <c r="C37" s="141" t="s">
        <v>150</v>
      </c>
      <c r="D37" s="141"/>
      <c r="E37" s="141"/>
      <c r="F37" s="141"/>
      <c r="G37" s="141"/>
      <c r="H37" s="29">
        <v>0</v>
      </c>
      <c r="I37" s="145">
        <v>0</v>
      </c>
      <c r="J37" s="145">
        <v>0</v>
      </c>
      <c r="K37" s="145">
        <v>0</v>
      </c>
      <c r="L37" s="145">
        <v>0</v>
      </c>
      <c r="M37" s="145">
        <v>0</v>
      </c>
      <c r="N37" s="145">
        <v>1</v>
      </c>
      <c r="O37" s="142">
        <f t="shared" si="1"/>
        <v>0.14285714285714285</v>
      </c>
      <c r="P37" s="59"/>
      <c r="Q37" s="143" t="s">
        <v>535</v>
      </c>
    </row>
    <row r="38" spans="1:18" ht="45" hidden="1" customHeight="1">
      <c r="A38" s="40" t="s">
        <v>110</v>
      </c>
      <c r="B38" s="39">
        <v>0</v>
      </c>
      <c r="C38" s="141" t="s">
        <v>150</v>
      </c>
      <c r="D38" s="141" t="s">
        <v>6</v>
      </c>
      <c r="E38" s="141"/>
      <c r="F38" s="141"/>
      <c r="G38" s="141"/>
      <c r="H38" s="29" t="s">
        <v>101</v>
      </c>
      <c r="I38" s="145" t="s">
        <v>101</v>
      </c>
      <c r="J38" s="145" t="s">
        <v>101</v>
      </c>
      <c r="K38" s="145" t="s">
        <v>104</v>
      </c>
      <c r="L38" s="145" t="s">
        <v>101</v>
      </c>
      <c r="M38" s="145" t="s">
        <v>101</v>
      </c>
      <c r="N38" s="145" t="s">
        <v>101</v>
      </c>
      <c r="O38" s="142" t="e">
        <f t="shared" si="1"/>
        <v>#DIV/0!</v>
      </c>
      <c r="P38" s="59"/>
      <c r="Q38" s="143" t="s">
        <v>536</v>
      </c>
    </row>
    <row r="39" spans="1:18" ht="45" hidden="1" customHeight="1">
      <c r="A39" s="153" t="s">
        <v>162</v>
      </c>
      <c r="B39" s="39">
        <v>0</v>
      </c>
      <c r="C39" s="141" t="s">
        <v>150</v>
      </c>
      <c r="D39" s="141"/>
      <c r="E39" s="141"/>
      <c r="F39" s="141"/>
      <c r="G39" s="141"/>
      <c r="H39" s="29">
        <v>0</v>
      </c>
      <c r="I39" s="145">
        <v>0</v>
      </c>
      <c r="J39" s="145">
        <v>0</v>
      </c>
      <c r="K39" s="145">
        <v>0</v>
      </c>
      <c r="L39" s="145">
        <v>0</v>
      </c>
      <c r="M39" s="145">
        <v>0</v>
      </c>
      <c r="N39" s="145">
        <v>0</v>
      </c>
      <c r="O39" s="142">
        <f t="shared" si="1"/>
        <v>0</v>
      </c>
      <c r="P39" s="59"/>
      <c r="Q39" s="143" t="s">
        <v>500</v>
      </c>
    </row>
    <row r="40" spans="1:18" ht="45" hidden="1" customHeight="1">
      <c r="A40" s="28" t="s">
        <v>164</v>
      </c>
      <c r="B40" s="39">
        <v>0</v>
      </c>
      <c r="C40" s="141" t="s">
        <v>150</v>
      </c>
      <c r="D40" s="141"/>
      <c r="E40" s="141"/>
      <c r="F40" s="141"/>
      <c r="G40" s="141"/>
      <c r="H40" s="29">
        <v>0</v>
      </c>
      <c r="I40" s="145">
        <v>0</v>
      </c>
      <c r="J40" s="145">
        <v>0</v>
      </c>
      <c r="K40" s="145">
        <v>0</v>
      </c>
      <c r="L40" s="145">
        <v>0</v>
      </c>
      <c r="M40" s="145">
        <v>0</v>
      </c>
      <c r="N40" s="145">
        <v>0</v>
      </c>
      <c r="O40" s="142">
        <f t="shared" si="1"/>
        <v>0</v>
      </c>
      <c r="P40" s="59"/>
      <c r="Q40" s="143" t="s">
        <v>107</v>
      </c>
      <c r="R40" s="13" t="s">
        <v>259</v>
      </c>
    </row>
    <row r="41" spans="1:18" ht="45" hidden="1" customHeight="1">
      <c r="A41" s="153" t="s">
        <v>136</v>
      </c>
      <c r="B41" s="39">
        <v>0</v>
      </c>
      <c r="C41" s="141" t="s">
        <v>123</v>
      </c>
      <c r="D41" s="141" t="s">
        <v>10</v>
      </c>
      <c r="E41" s="141" t="s">
        <v>44</v>
      </c>
      <c r="F41" s="141" t="s">
        <v>38</v>
      </c>
      <c r="G41" s="141"/>
      <c r="H41" s="29">
        <v>3</v>
      </c>
      <c r="I41" s="145">
        <v>0</v>
      </c>
      <c r="J41" s="145">
        <v>1</v>
      </c>
      <c r="K41" s="145">
        <v>0</v>
      </c>
      <c r="L41" s="145">
        <v>0</v>
      </c>
      <c r="M41" s="145">
        <v>1</v>
      </c>
      <c r="N41" s="145">
        <v>0</v>
      </c>
      <c r="O41" s="142">
        <f t="shared" si="1"/>
        <v>0.7142857142857143</v>
      </c>
      <c r="P41" s="59"/>
      <c r="Q41" s="143" t="s">
        <v>537</v>
      </c>
      <c r="R41" s="13" t="s">
        <v>259</v>
      </c>
    </row>
    <row r="42" spans="1:18" ht="45" hidden="1" customHeight="1">
      <c r="A42" s="153" t="s">
        <v>205</v>
      </c>
      <c r="B42" s="39">
        <v>0</v>
      </c>
      <c r="C42" s="141" t="s">
        <v>174</v>
      </c>
      <c r="D42" s="141" t="s">
        <v>6</v>
      </c>
      <c r="E42" s="141"/>
      <c r="F42" s="141"/>
      <c r="G42" s="141"/>
      <c r="H42" s="29">
        <v>0</v>
      </c>
      <c r="I42" s="145">
        <v>0</v>
      </c>
      <c r="J42" s="145">
        <v>0</v>
      </c>
      <c r="K42" s="145">
        <v>0</v>
      </c>
      <c r="L42" s="145">
        <v>0</v>
      </c>
      <c r="M42" s="145">
        <v>0</v>
      </c>
      <c r="N42" s="145">
        <v>0</v>
      </c>
      <c r="O42" s="142">
        <f t="shared" si="1"/>
        <v>0</v>
      </c>
      <c r="P42" s="59"/>
      <c r="Q42" s="143" t="s">
        <v>538</v>
      </c>
    </row>
    <row r="43" spans="1:18" ht="45" hidden="1" customHeight="1">
      <c r="A43" s="153" t="s">
        <v>158</v>
      </c>
      <c r="B43" s="39">
        <v>0</v>
      </c>
      <c r="C43" s="141" t="s">
        <v>150</v>
      </c>
      <c r="D43" s="141" t="s">
        <v>10</v>
      </c>
      <c r="E43" s="141" t="s">
        <v>48</v>
      </c>
      <c r="F43" s="141" t="s">
        <v>38</v>
      </c>
      <c r="G43" s="141"/>
      <c r="H43" s="139">
        <v>2</v>
      </c>
      <c r="I43" s="139" t="s">
        <v>118</v>
      </c>
      <c r="J43" s="139" t="s">
        <v>118</v>
      </c>
      <c r="K43" s="139">
        <v>2</v>
      </c>
      <c r="L43" s="139">
        <v>0</v>
      </c>
      <c r="M43" s="139">
        <v>0</v>
      </c>
      <c r="N43" s="139" t="s">
        <v>118</v>
      </c>
      <c r="O43" s="142">
        <f t="shared" si="1"/>
        <v>1</v>
      </c>
      <c r="P43" s="59"/>
      <c r="Q43" s="138" t="s">
        <v>502</v>
      </c>
    </row>
    <row r="44" spans="1:18" ht="45" customHeight="1">
      <c r="A44" s="153" t="s">
        <v>234</v>
      </c>
      <c r="B44" s="39">
        <v>0</v>
      </c>
      <c r="C44" s="141" t="s">
        <v>51</v>
      </c>
      <c r="D44" s="141" t="s">
        <v>18</v>
      </c>
      <c r="E44" s="141" t="s">
        <v>44</v>
      </c>
      <c r="F44" s="141" t="s">
        <v>40</v>
      </c>
      <c r="G44" s="141"/>
      <c r="H44" s="31">
        <v>4</v>
      </c>
      <c r="I44" s="146">
        <v>4</v>
      </c>
      <c r="J44" s="146">
        <v>1</v>
      </c>
      <c r="K44" s="146">
        <v>4</v>
      </c>
      <c r="L44" s="146">
        <v>1</v>
      </c>
      <c r="M44" s="146">
        <v>3</v>
      </c>
      <c r="N44" s="146">
        <v>3</v>
      </c>
      <c r="O44" s="142">
        <f t="shared" si="1"/>
        <v>2.8571428571428572</v>
      </c>
      <c r="P44" s="143"/>
      <c r="Q44" s="63" t="s">
        <v>585</v>
      </c>
    </row>
    <row r="45" spans="1:18" ht="45" customHeight="1">
      <c r="A45" s="153" t="s">
        <v>111</v>
      </c>
      <c r="B45" s="39">
        <v>0</v>
      </c>
      <c r="C45" s="141" t="s">
        <v>51</v>
      </c>
      <c r="D45" s="141" t="s">
        <v>26</v>
      </c>
      <c r="E45" s="141" t="s">
        <v>45</v>
      </c>
      <c r="F45" s="141" t="s">
        <v>37</v>
      </c>
      <c r="G45" s="141"/>
      <c r="H45" s="30">
        <v>0</v>
      </c>
      <c r="I45" s="139">
        <v>0</v>
      </c>
      <c r="J45" s="139">
        <v>0</v>
      </c>
      <c r="K45" s="139">
        <v>0</v>
      </c>
      <c r="L45" s="139">
        <v>0</v>
      </c>
      <c r="M45" s="139">
        <v>0</v>
      </c>
      <c r="N45" s="139">
        <v>0</v>
      </c>
      <c r="O45" s="142">
        <f t="shared" si="1"/>
        <v>0</v>
      </c>
      <c r="P45" s="143"/>
      <c r="Q45" s="138" t="s">
        <v>586</v>
      </c>
    </row>
    <row r="46" spans="1:18" ht="45" hidden="1" customHeight="1">
      <c r="A46" s="153" t="s">
        <v>139</v>
      </c>
      <c r="B46" s="39">
        <v>0</v>
      </c>
      <c r="C46" s="141" t="s">
        <v>150</v>
      </c>
      <c r="D46" s="141" t="s">
        <v>26</v>
      </c>
      <c r="E46" s="141" t="s">
        <v>48</v>
      </c>
      <c r="F46" s="141"/>
      <c r="G46" s="141"/>
      <c r="H46" s="30">
        <v>2</v>
      </c>
      <c r="I46" s="139">
        <v>0</v>
      </c>
      <c r="J46" s="139">
        <v>0</v>
      </c>
      <c r="K46" s="139">
        <v>0</v>
      </c>
      <c r="L46" s="139">
        <v>0</v>
      </c>
      <c r="M46" s="139">
        <v>1</v>
      </c>
      <c r="N46" s="139">
        <v>0</v>
      </c>
      <c r="O46" s="142">
        <f t="shared" si="1"/>
        <v>0.42857142857142855</v>
      </c>
      <c r="P46" s="59"/>
      <c r="Q46" s="138" t="s">
        <v>505</v>
      </c>
    </row>
    <row r="47" spans="1:18" ht="45" customHeight="1">
      <c r="A47" s="153" t="s">
        <v>152</v>
      </c>
      <c r="B47" s="39">
        <v>5</v>
      </c>
      <c r="C47" s="141" t="s">
        <v>51</v>
      </c>
      <c r="D47" s="141" t="s">
        <v>14</v>
      </c>
      <c r="E47" s="141" t="s">
        <v>45</v>
      </c>
      <c r="F47" s="141" t="s">
        <v>42</v>
      </c>
      <c r="G47" s="141"/>
      <c r="H47" s="30">
        <v>3</v>
      </c>
      <c r="I47" s="139">
        <v>5</v>
      </c>
      <c r="J47" s="139">
        <v>5</v>
      </c>
      <c r="K47" s="139">
        <v>4</v>
      </c>
      <c r="L47" s="139">
        <v>2</v>
      </c>
      <c r="M47" s="139">
        <v>1</v>
      </c>
      <c r="N47" s="139" t="s">
        <v>118</v>
      </c>
      <c r="O47" s="142">
        <f t="shared" si="1"/>
        <v>3.3333333333333335</v>
      </c>
      <c r="P47" s="143"/>
      <c r="Q47" s="138" t="s">
        <v>539</v>
      </c>
    </row>
    <row r="48" spans="1:18" ht="45" customHeight="1">
      <c r="A48" s="153" t="s">
        <v>172</v>
      </c>
      <c r="B48" s="39">
        <v>3</v>
      </c>
      <c r="C48" s="141" t="s">
        <v>51</v>
      </c>
      <c r="D48" s="141"/>
      <c r="E48" s="141"/>
      <c r="F48" s="141"/>
      <c r="G48" s="141"/>
      <c r="H48" s="30">
        <v>0</v>
      </c>
      <c r="I48" s="139">
        <v>0</v>
      </c>
      <c r="J48" s="139">
        <v>0</v>
      </c>
      <c r="K48" s="139">
        <v>0</v>
      </c>
      <c r="L48" s="139">
        <v>0</v>
      </c>
      <c r="M48" s="139">
        <v>0</v>
      </c>
      <c r="N48" s="139">
        <v>0</v>
      </c>
      <c r="O48" s="142">
        <f t="shared" si="1"/>
        <v>0</v>
      </c>
      <c r="P48" s="143"/>
      <c r="Q48" s="138" t="s">
        <v>370</v>
      </c>
    </row>
    <row r="49" spans="1:19" ht="45" customHeight="1">
      <c r="A49" s="153" t="s">
        <v>106</v>
      </c>
      <c r="B49" s="39">
        <v>0</v>
      </c>
      <c r="C49" s="141" t="s">
        <v>51</v>
      </c>
      <c r="D49" s="141"/>
      <c r="E49" s="141"/>
      <c r="F49" s="141"/>
      <c r="G49" s="141"/>
      <c r="H49" s="29">
        <v>0</v>
      </c>
      <c r="I49" s="145" t="s">
        <v>101</v>
      </c>
      <c r="J49" s="145" t="s">
        <v>101</v>
      </c>
      <c r="K49" s="145" t="s">
        <v>104</v>
      </c>
      <c r="L49" s="145" t="s">
        <v>101</v>
      </c>
      <c r="M49" s="145" t="s">
        <v>101</v>
      </c>
      <c r="N49" s="145" t="s">
        <v>96</v>
      </c>
      <c r="O49" s="142">
        <f t="shared" si="1"/>
        <v>0</v>
      </c>
      <c r="P49" s="143"/>
      <c r="Q49" s="61" t="s">
        <v>587</v>
      </c>
    </row>
    <row r="50" spans="1:19" ht="45" hidden="1" customHeight="1">
      <c r="A50" s="153" t="s">
        <v>168</v>
      </c>
      <c r="B50" s="39">
        <v>5</v>
      </c>
      <c r="C50" s="141" t="s">
        <v>123</v>
      </c>
      <c r="D50" s="141" t="s">
        <v>10</v>
      </c>
      <c r="E50" s="141" t="s">
        <v>44</v>
      </c>
      <c r="F50" s="141" t="s">
        <v>38</v>
      </c>
      <c r="G50" s="141"/>
      <c r="H50" s="30">
        <v>3</v>
      </c>
      <c r="I50" s="139">
        <v>0</v>
      </c>
      <c r="J50" s="139" t="s">
        <v>118</v>
      </c>
      <c r="K50" s="139">
        <v>3</v>
      </c>
      <c r="L50" s="139" t="s">
        <v>118</v>
      </c>
      <c r="M50" s="139">
        <v>3</v>
      </c>
      <c r="N50" s="139" t="s">
        <v>118</v>
      </c>
      <c r="O50" s="142">
        <f t="shared" si="1"/>
        <v>2.25</v>
      </c>
      <c r="P50" s="59"/>
      <c r="Q50" s="138" t="s">
        <v>507</v>
      </c>
    </row>
    <row r="51" spans="1:19" ht="45" hidden="1" customHeight="1">
      <c r="A51" s="153" t="s">
        <v>167</v>
      </c>
      <c r="B51" s="39">
        <v>5</v>
      </c>
      <c r="C51" s="141" t="s">
        <v>123</v>
      </c>
      <c r="D51" s="141" t="s">
        <v>10</v>
      </c>
      <c r="E51" s="141" t="s">
        <v>44</v>
      </c>
      <c r="F51" s="141" t="s">
        <v>38</v>
      </c>
      <c r="G51" s="141"/>
      <c r="H51" s="30">
        <v>3</v>
      </c>
      <c r="I51" s="139">
        <v>0</v>
      </c>
      <c r="J51" s="139" t="s">
        <v>118</v>
      </c>
      <c r="K51" s="139">
        <v>3</v>
      </c>
      <c r="L51" s="139" t="s">
        <v>118</v>
      </c>
      <c r="M51" s="139">
        <v>3</v>
      </c>
      <c r="N51" s="139" t="s">
        <v>118</v>
      </c>
      <c r="O51" s="142">
        <f t="shared" si="1"/>
        <v>2.25</v>
      </c>
      <c r="P51" s="59"/>
      <c r="Q51" s="138" t="s">
        <v>541</v>
      </c>
    </row>
    <row r="52" spans="1:19" ht="45" hidden="1" customHeight="1">
      <c r="A52" s="152" t="s">
        <v>439</v>
      </c>
      <c r="B52" s="39">
        <v>5</v>
      </c>
      <c r="C52" s="141" t="s">
        <v>123</v>
      </c>
      <c r="D52" s="141" t="s">
        <v>14</v>
      </c>
      <c r="E52" s="141"/>
      <c r="F52" s="141"/>
      <c r="G52" s="141"/>
      <c r="H52" s="56">
        <f>AVERAGE(A52:G52)</f>
        <v>5</v>
      </c>
      <c r="I52" s="57" t="s">
        <v>302</v>
      </c>
      <c r="J52" s="52"/>
      <c r="K52" s="52"/>
      <c r="L52" s="52"/>
      <c r="M52" s="52"/>
      <c r="N52" s="52"/>
      <c r="O52" s="142">
        <f t="shared" si="1"/>
        <v>5</v>
      </c>
      <c r="P52" s="59"/>
      <c r="Q52" s="24" t="s">
        <v>509</v>
      </c>
    </row>
    <row r="53" spans="1:19" ht="45" customHeight="1">
      <c r="A53" s="153" t="s">
        <v>315</v>
      </c>
      <c r="B53" s="39">
        <v>0</v>
      </c>
      <c r="C53" s="141" t="s">
        <v>51</v>
      </c>
      <c r="D53" s="21" t="s">
        <v>6</v>
      </c>
      <c r="E53" s="21"/>
      <c r="F53" s="21"/>
      <c r="G53" s="21"/>
      <c r="H53" s="48"/>
      <c r="I53" s="51"/>
      <c r="J53" s="51"/>
      <c r="K53" s="51"/>
      <c r="L53" s="51"/>
      <c r="M53" s="51"/>
      <c r="N53" s="51"/>
      <c r="O53" s="142" t="e">
        <f t="shared" si="1"/>
        <v>#DIV/0!</v>
      </c>
      <c r="P53" s="143"/>
      <c r="Q53" s="46" t="s">
        <v>572</v>
      </c>
    </row>
    <row r="54" spans="1:19" ht="45" customHeight="1">
      <c r="A54" s="153" t="s">
        <v>543</v>
      </c>
      <c r="B54" s="39">
        <v>0</v>
      </c>
      <c r="C54" s="141" t="s">
        <v>51</v>
      </c>
      <c r="D54" s="21"/>
      <c r="E54" s="21"/>
      <c r="F54" s="21"/>
      <c r="G54" s="21"/>
      <c r="H54" s="48"/>
      <c r="I54" s="51"/>
      <c r="J54" s="51"/>
      <c r="K54" s="51"/>
      <c r="L54" s="51"/>
      <c r="M54" s="51"/>
      <c r="N54" s="51"/>
      <c r="O54" s="142" t="e">
        <f t="shared" si="1"/>
        <v>#DIV/0!</v>
      </c>
      <c r="P54" s="143"/>
      <c r="Q54" s="62" t="s">
        <v>588</v>
      </c>
      <c r="R54" s="26" t="s">
        <v>595</v>
      </c>
      <c r="S54" s="13" t="s">
        <v>596</v>
      </c>
    </row>
    <row r="55" spans="1:19" ht="45" customHeight="1">
      <c r="A55" s="153" t="s">
        <v>589</v>
      </c>
      <c r="B55" s="39">
        <v>0</v>
      </c>
      <c r="C55" s="141" t="s">
        <v>51</v>
      </c>
      <c r="D55" s="21"/>
      <c r="E55" s="21"/>
      <c r="F55" s="21"/>
      <c r="G55" s="21"/>
      <c r="H55" s="142">
        <f>AVERAGE(A55:G55)</f>
        <v>0</v>
      </c>
      <c r="I55" s="143"/>
      <c r="J55" s="62" t="s">
        <v>588</v>
      </c>
      <c r="K55" s="51"/>
      <c r="L55" s="51"/>
      <c r="M55" s="51"/>
      <c r="N55" s="51"/>
      <c r="O55" s="142"/>
      <c r="P55" s="143"/>
      <c r="Q55" s="62" t="s">
        <v>590</v>
      </c>
    </row>
    <row r="56" spans="1:19" ht="45" customHeight="1">
      <c r="A56" s="153" t="s">
        <v>545</v>
      </c>
      <c r="B56" s="39">
        <v>0</v>
      </c>
      <c r="C56" s="141" t="s">
        <v>51</v>
      </c>
      <c r="D56" s="21" t="s">
        <v>6</v>
      </c>
      <c r="E56" s="21"/>
      <c r="F56" s="21"/>
      <c r="G56" s="21"/>
      <c r="H56" s="48"/>
      <c r="I56" s="51"/>
      <c r="J56" s="51"/>
      <c r="K56" s="51"/>
      <c r="L56" s="51"/>
      <c r="M56" s="51"/>
      <c r="N56" s="51"/>
      <c r="O56" s="142" t="e">
        <f>AVERAGE(H56:N56)</f>
        <v>#DIV/0!</v>
      </c>
      <c r="P56" s="143"/>
      <c r="Q56" s="62" t="s">
        <v>591</v>
      </c>
    </row>
    <row r="57" spans="1:19" ht="45" customHeight="1">
      <c r="A57" s="153" t="s">
        <v>564</v>
      </c>
      <c r="B57" s="39">
        <v>0</v>
      </c>
      <c r="C57" s="141" t="s">
        <v>51</v>
      </c>
      <c r="D57" s="21"/>
      <c r="E57" s="21"/>
      <c r="F57" s="21"/>
      <c r="G57" s="21"/>
      <c r="H57" s="48"/>
      <c r="I57" s="51"/>
      <c r="J57" s="51"/>
      <c r="K57" s="51"/>
      <c r="L57" s="51"/>
      <c r="M57" s="51"/>
      <c r="N57" s="51"/>
      <c r="O57" s="142"/>
      <c r="P57" s="143"/>
      <c r="Q57" s="46" t="s">
        <v>575</v>
      </c>
    </row>
    <row r="58" spans="1:19" ht="45" customHeight="1">
      <c r="A58" s="64" t="s">
        <v>576</v>
      </c>
      <c r="B58" s="39">
        <v>0</v>
      </c>
      <c r="C58" s="141" t="s">
        <v>51</v>
      </c>
      <c r="D58" s="21" t="s">
        <v>6</v>
      </c>
      <c r="E58" s="21"/>
      <c r="F58" s="21"/>
      <c r="G58" s="21"/>
      <c r="H58" s="48"/>
      <c r="I58" s="51"/>
      <c r="J58" s="51"/>
      <c r="K58" s="51"/>
      <c r="L58" s="51"/>
      <c r="M58" s="51"/>
      <c r="N58" s="51"/>
      <c r="O58" s="142"/>
      <c r="P58" s="143"/>
      <c r="Q58" s="62" t="s">
        <v>597</v>
      </c>
    </row>
    <row r="59" spans="1:19" ht="45" customHeight="1">
      <c r="A59" s="153" t="s">
        <v>149</v>
      </c>
      <c r="B59" s="39">
        <v>0</v>
      </c>
      <c r="C59" s="141" t="s">
        <v>51</v>
      </c>
      <c r="D59" s="141" t="s">
        <v>26</v>
      </c>
      <c r="E59" s="141" t="s">
        <v>44</v>
      </c>
      <c r="F59" s="141" t="s">
        <v>37</v>
      </c>
      <c r="G59" s="141"/>
      <c r="H59" s="29">
        <v>5</v>
      </c>
      <c r="I59" s="145">
        <v>5</v>
      </c>
      <c r="J59" s="145">
        <v>5</v>
      </c>
      <c r="K59" s="145">
        <v>5</v>
      </c>
      <c r="L59" s="145">
        <v>5</v>
      </c>
      <c r="M59" s="145">
        <v>5</v>
      </c>
      <c r="N59" s="145">
        <v>5</v>
      </c>
      <c r="O59" s="142">
        <f t="shared" ref="O59:O77" si="2">AVERAGE(H59:N59)</f>
        <v>5</v>
      </c>
      <c r="P59" s="143"/>
      <c r="Q59" s="61" t="s">
        <v>593</v>
      </c>
    </row>
    <row r="60" spans="1:19" ht="45" hidden="1" customHeight="1">
      <c r="A60" s="153" t="s">
        <v>129</v>
      </c>
      <c r="B60" s="39">
        <v>0</v>
      </c>
      <c r="C60" s="141" t="s">
        <v>123</v>
      </c>
      <c r="D60" s="141" t="s">
        <v>26</v>
      </c>
      <c r="E60" s="141" t="s">
        <v>47</v>
      </c>
      <c r="F60" s="141" t="s">
        <v>41</v>
      </c>
      <c r="G60" s="141"/>
      <c r="H60" s="29">
        <v>0</v>
      </c>
      <c r="I60" s="145">
        <v>0</v>
      </c>
      <c r="J60" s="145">
        <v>0</v>
      </c>
      <c r="K60" s="145">
        <v>0</v>
      </c>
      <c r="L60" s="145">
        <v>0</v>
      </c>
      <c r="M60" s="145">
        <v>0</v>
      </c>
      <c r="N60" s="145">
        <v>0</v>
      </c>
      <c r="O60" s="142">
        <f t="shared" si="2"/>
        <v>0</v>
      </c>
      <c r="P60" s="59"/>
      <c r="Q60" s="143" t="s">
        <v>548</v>
      </c>
    </row>
    <row r="61" spans="1:19" ht="45" hidden="1" customHeight="1">
      <c r="A61" s="40" t="s">
        <v>134</v>
      </c>
      <c r="B61" s="39">
        <v>0</v>
      </c>
      <c r="C61" s="141" t="s">
        <v>123</v>
      </c>
      <c r="D61" s="141" t="s">
        <v>18</v>
      </c>
      <c r="E61" s="141" t="s">
        <v>44</v>
      </c>
      <c r="F61" s="141" t="s">
        <v>38</v>
      </c>
      <c r="G61" s="141"/>
      <c r="H61" s="29">
        <v>0</v>
      </c>
      <c r="I61" s="145">
        <v>0</v>
      </c>
      <c r="J61" s="145">
        <v>0</v>
      </c>
      <c r="K61" s="145">
        <v>0</v>
      </c>
      <c r="L61" s="145">
        <v>0</v>
      </c>
      <c r="M61" s="145">
        <v>0</v>
      </c>
      <c r="N61" s="145">
        <v>0</v>
      </c>
      <c r="O61" s="142">
        <f t="shared" si="2"/>
        <v>0</v>
      </c>
      <c r="P61" s="59"/>
      <c r="Q61" s="143" t="s">
        <v>512</v>
      </c>
    </row>
    <row r="62" spans="1:19" ht="45" hidden="1" customHeight="1">
      <c r="A62" s="153" t="s">
        <v>281</v>
      </c>
      <c r="B62" s="39">
        <v>0</v>
      </c>
      <c r="C62" s="21" t="s">
        <v>150</v>
      </c>
      <c r="D62" s="21" t="s">
        <v>6</v>
      </c>
      <c r="E62" s="21"/>
      <c r="F62" s="21" t="s">
        <v>38</v>
      </c>
      <c r="G62" s="21"/>
      <c r="H62" s="48">
        <v>0</v>
      </c>
      <c r="I62" s="51">
        <v>0</v>
      </c>
      <c r="J62" s="51">
        <v>0</v>
      </c>
      <c r="K62" s="51">
        <v>0</v>
      </c>
      <c r="L62" s="51">
        <v>0</v>
      </c>
      <c r="M62" s="51">
        <v>0</v>
      </c>
      <c r="N62" s="51">
        <v>0</v>
      </c>
      <c r="O62" s="142">
        <f t="shared" si="2"/>
        <v>0</v>
      </c>
      <c r="P62" s="59"/>
      <c r="Q62" s="46" t="s">
        <v>549</v>
      </c>
    </row>
    <row r="63" spans="1:19" ht="45" hidden="1" customHeight="1">
      <c r="A63" s="153" t="s">
        <v>221</v>
      </c>
      <c r="B63" s="39">
        <v>0</v>
      </c>
      <c r="C63" s="141" t="s">
        <v>267</v>
      </c>
      <c r="D63" s="141" t="s">
        <v>6</v>
      </c>
      <c r="E63" s="141"/>
      <c r="F63" s="141"/>
      <c r="G63" s="141"/>
      <c r="H63" s="29">
        <v>0</v>
      </c>
      <c r="I63" s="145">
        <v>0</v>
      </c>
      <c r="J63" s="145">
        <v>0</v>
      </c>
      <c r="K63" s="145">
        <v>0</v>
      </c>
      <c r="L63" s="145">
        <v>0</v>
      </c>
      <c r="M63" s="145">
        <v>0</v>
      </c>
      <c r="N63" s="145">
        <v>0</v>
      </c>
      <c r="O63" s="142">
        <f t="shared" si="2"/>
        <v>0</v>
      </c>
      <c r="P63" s="59"/>
      <c r="Q63" s="143" t="s">
        <v>222</v>
      </c>
    </row>
    <row r="64" spans="1:19" ht="45" hidden="1" customHeight="1">
      <c r="A64" s="153" t="s">
        <v>468</v>
      </c>
      <c r="B64" s="39">
        <v>0</v>
      </c>
      <c r="C64" s="141" t="s">
        <v>150</v>
      </c>
      <c r="D64" s="141" t="s">
        <v>10</v>
      </c>
      <c r="E64" s="141" t="s">
        <v>44</v>
      </c>
      <c r="F64" s="141" t="s">
        <v>38</v>
      </c>
      <c r="G64" s="141"/>
      <c r="H64" s="29">
        <v>0</v>
      </c>
      <c r="I64" s="29">
        <v>3</v>
      </c>
      <c r="J64" s="29">
        <v>0</v>
      </c>
      <c r="K64" s="29">
        <v>3</v>
      </c>
      <c r="L64" s="29">
        <v>0</v>
      </c>
      <c r="M64" s="29">
        <v>0</v>
      </c>
      <c r="N64" s="29" t="s">
        <v>118</v>
      </c>
      <c r="O64" s="142">
        <f t="shared" si="2"/>
        <v>1</v>
      </c>
      <c r="P64" s="59"/>
      <c r="Q64" s="143" t="s">
        <v>550</v>
      </c>
    </row>
    <row r="65" spans="1:17" ht="45" hidden="1" customHeight="1">
      <c r="A65" s="40" t="s">
        <v>130</v>
      </c>
      <c r="B65" s="39">
        <v>0</v>
      </c>
      <c r="C65" s="141" t="s">
        <v>123</v>
      </c>
      <c r="D65" s="141" t="s">
        <v>26</v>
      </c>
      <c r="E65" s="141" t="s">
        <v>44</v>
      </c>
      <c r="F65" s="141" t="s">
        <v>40</v>
      </c>
      <c r="G65" s="42"/>
      <c r="H65" s="139">
        <v>1</v>
      </c>
      <c r="I65" s="139">
        <v>1</v>
      </c>
      <c r="J65" s="139">
        <v>1</v>
      </c>
      <c r="K65" s="139">
        <v>1</v>
      </c>
      <c r="L65" s="139">
        <v>1</v>
      </c>
      <c r="M65" s="139">
        <v>0</v>
      </c>
      <c r="N65" s="139">
        <v>0</v>
      </c>
      <c r="O65" s="142">
        <f t="shared" si="2"/>
        <v>0.7142857142857143</v>
      </c>
      <c r="P65" s="59"/>
      <c r="Q65" s="138" t="s">
        <v>432</v>
      </c>
    </row>
    <row r="66" spans="1:17" ht="45" hidden="1" customHeight="1">
      <c r="A66" s="153" t="s">
        <v>173</v>
      </c>
      <c r="B66" s="39">
        <v>0</v>
      </c>
      <c r="C66" s="141" t="s">
        <v>174</v>
      </c>
      <c r="D66" s="141" t="s">
        <v>6</v>
      </c>
      <c r="E66" s="141"/>
      <c r="F66" s="141"/>
      <c r="G66" s="42"/>
      <c r="H66" s="139" t="s">
        <v>118</v>
      </c>
      <c r="I66" s="139" t="s">
        <v>118</v>
      </c>
      <c r="J66" s="139" t="s">
        <v>118</v>
      </c>
      <c r="K66" s="139" t="s">
        <v>118</v>
      </c>
      <c r="L66" s="139" t="s">
        <v>118</v>
      </c>
      <c r="M66" s="139" t="s">
        <v>118</v>
      </c>
      <c r="N66" s="139" t="s">
        <v>118</v>
      </c>
      <c r="O66" s="142" t="e">
        <f t="shared" si="2"/>
        <v>#DIV/0!</v>
      </c>
      <c r="P66" s="59"/>
      <c r="Q66" s="138" t="s">
        <v>551</v>
      </c>
    </row>
    <row r="67" spans="1:17" ht="45" hidden="1" customHeight="1">
      <c r="A67" s="28" t="s">
        <v>433</v>
      </c>
      <c r="B67" s="39">
        <v>0</v>
      </c>
      <c r="C67" s="141" t="s">
        <v>150</v>
      </c>
      <c r="D67" s="35" t="s">
        <v>26</v>
      </c>
      <c r="E67" s="35" t="s">
        <v>48</v>
      </c>
      <c r="F67" s="35"/>
      <c r="G67" s="43"/>
      <c r="H67" s="139">
        <v>0</v>
      </c>
      <c r="I67" s="139">
        <v>0</v>
      </c>
      <c r="J67" s="139">
        <v>0</v>
      </c>
      <c r="K67" s="139">
        <v>0</v>
      </c>
      <c r="L67" s="139">
        <v>0</v>
      </c>
      <c r="M67" s="139">
        <v>0</v>
      </c>
      <c r="N67" s="139">
        <v>0</v>
      </c>
      <c r="O67" s="142">
        <f t="shared" si="2"/>
        <v>0</v>
      </c>
      <c r="P67" s="59"/>
      <c r="Q67" s="138" t="s">
        <v>552</v>
      </c>
    </row>
    <row r="68" spans="1:17" ht="45" hidden="1" customHeight="1">
      <c r="A68" s="140" t="s">
        <v>176</v>
      </c>
      <c r="B68" s="39">
        <v>0</v>
      </c>
      <c r="C68" s="141" t="s">
        <v>174</v>
      </c>
      <c r="D68" s="141"/>
      <c r="E68" s="141"/>
      <c r="F68" s="141"/>
      <c r="G68" s="42"/>
      <c r="H68" s="139" t="s">
        <v>118</v>
      </c>
      <c r="I68" s="139" t="s">
        <v>118</v>
      </c>
      <c r="J68" s="139" t="s">
        <v>118</v>
      </c>
      <c r="K68" s="139" t="s">
        <v>118</v>
      </c>
      <c r="L68" s="139" t="s">
        <v>118</v>
      </c>
      <c r="M68" s="139" t="s">
        <v>118</v>
      </c>
      <c r="N68" s="139" t="s">
        <v>118</v>
      </c>
      <c r="O68" s="142" t="e">
        <f t="shared" si="2"/>
        <v>#DIV/0!</v>
      </c>
      <c r="P68" s="59"/>
      <c r="Q68" s="138" t="s">
        <v>553</v>
      </c>
    </row>
    <row r="69" spans="1:17" ht="45" hidden="1" customHeight="1">
      <c r="A69" s="140" t="s">
        <v>246</v>
      </c>
      <c r="B69" s="39">
        <v>0</v>
      </c>
      <c r="C69" s="141" t="s">
        <v>150</v>
      </c>
      <c r="D69" s="141" t="s">
        <v>6</v>
      </c>
      <c r="E69" s="141"/>
      <c r="F69" s="141"/>
      <c r="G69" s="42"/>
      <c r="H69" s="139" t="s">
        <v>118</v>
      </c>
      <c r="I69" s="139" t="s">
        <v>118</v>
      </c>
      <c r="J69" s="139" t="s">
        <v>118</v>
      </c>
      <c r="K69" s="139" t="s">
        <v>118</v>
      </c>
      <c r="L69" s="139" t="s">
        <v>118</v>
      </c>
      <c r="M69" s="139" t="s">
        <v>118</v>
      </c>
      <c r="N69" s="139" t="s">
        <v>118</v>
      </c>
      <c r="O69" s="142" t="e">
        <f t="shared" si="2"/>
        <v>#DIV/0!</v>
      </c>
      <c r="P69" s="59"/>
      <c r="Q69" s="138" t="s">
        <v>566</v>
      </c>
    </row>
    <row r="70" spans="1:17" ht="45" hidden="1" customHeight="1">
      <c r="A70" s="140" t="s">
        <v>184</v>
      </c>
      <c r="B70" s="39">
        <v>0</v>
      </c>
      <c r="C70" s="141" t="s">
        <v>174</v>
      </c>
      <c r="D70" s="141" t="s">
        <v>14</v>
      </c>
      <c r="E70" s="141"/>
      <c r="F70" s="141"/>
      <c r="G70" s="42"/>
      <c r="H70" s="139">
        <v>0</v>
      </c>
      <c r="I70" s="139">
        <v>0</v>
      </c>
      <c r="J70" s="139">
        <v>0</v>
      </c>
      <c r="K70" s="139">
        <v>0</v>
      </c>
      <c r="L70" s="139">
        <v>0</v>
      </c>
      <c r="M70" s="139">
        <v>0</v>
      </c>
      <c r="N70" s="139">
        <v>0</v>
      </c>
      <c r="O70" s="142">
        <f t="shared" si="2"/>
        <v>0</v>
      </c>
      <c r="P70" s="59"/>
      <c r="Q70" s="138" t="s">
        <v>554</v>
      </c>
    </row>
    <row r="71" spans="1:17" ht="45" hidden="1" customHeight="1">
      <c r="A71" s="140" t="s">
        <v>182</v>
      </c>
      <c r="B71" s="39">
        <v>0</v>
      </c>
      <c r="C71" s="141" t="s">
        <v>174</v>
      </c>
      <c r="D71" s="141" t="s">
        <v>14</v>
      </c>
      <c r="E71" s="141"/>
      <c r="F71" s="141"/>
      <c r="G71" s="42"/>
      <c r="H71" s="50">
        <v>0</v>
      </c>
      <c r="I71" s="50">
        <v>0</v>
      </c>
      <c r="J71" s="50">
        <v>0</v>
      </c>
      <c r="K71" s="50">
        <v>0</v>
      </c>
      <c r="L71" s="50">
        <v>0</v>
      </c>
      <c r="M71" s="50">
        <v>0</v>
      </c>
      <c r="N71" s="50">
        <v>0</v>
      </c>
      <c r="O71" s="142">
        <f t="shared" si="2"/>
        <v>0</v>
      </c>
      <c r="P71" s="59"/>
      <c r="Q71" s="148" t="s">
        <v>555</v>
      </c>
    </row>
    <row r="72" spans="1:17" ht="45" hidden="1" customHeight="1">
      <c r="A72" s="58" t="s">
        <v>122</v>
      </c>
      <c r="B72" s="39">
        <v>0</v>
      </c>
      <c r="C72" s="141" t="s">
        <v>123</v>
      </c>
      <c r="D72" s="141" t="s">
        <v>14</v>
      </c>
      <c r="E72" s="141" t="s">
        <v>44</v>
      </c>
      <c r="F72" s="141" t="s">
        <v>40</v>
      </c>
      <c r="G72" s="141"/>
      <c r="H72" s="50">
        <v>3</v>
      </c>
      <c r="I72" s="50">
        <v>0</v>
      </c>
      <c r="J72" s="50">
        <v>4</v>
      </c>
      <c r="K72" s="50">
        <v>1</v>
      </c>
      <c r="L72" s="50" t="s">
        <v>118</v>
      </c>
      <c r="M72" s="50">
        <v>2</v>
      </c>
      <c r="N72" s="50" t="s">
        <v>118</v>
      </c>
      <c r="O72" s="142">
        <f t="shared" si="2"/>
        <v>2</v>
      </c>
      <c r="P72" s="59"/>
      <c r="Q72" s="148" t="s">
        <v>556</v>
      </c>
    </row>
    <row r="73" spans="1:17" ht="45" hidden="1" customHeight="1">
      <c r="A73" s="140" t="s">
        <v>223</v>
      </c>
      <c r="B73" s="39">
        <v>0</v>
      </c>
      <c r="C73" s="141" t="s">
        <v>267</v>
      </c>
      <c r="D73" s="141" t="s">
        <v>6</v>
      </c>
      <c r="E73" s="141"/>
      <c r="F73" s="141"/>
      <c r="G73" s="141"/>
      <c r="H73" s="139">
        <v>0</v>
      </c>
      <c r="I73" s="139">
        <v>0</v>
      </c>
      <c r="J73" s="139">
        <v>0</v>
      </c>
      <c r="K73" s="139">
        <v>0</v>
      </c>
      <c r="L73" s="139">
        <v>0</v>
      </c>
      <c r="M73" s="139">
        <v>0</v>
      </c>
      <c r="N73" s="139">
        <v>0</v>
      </c>
      <c r="O73" s="142">
        <f t="shared" si="2"/>
        <v>0</v>
      </c>
      <c r="P73" s="59"/>
      <c r="Q73" s="138" t="s">
        <v>475</v>
      </c>
    </row>
    <row r="74" spans="1:17" ht="45" hidden="1" customHeight="1">
      <c r="A74" s="140" t="s">
        <v>437</v>
      </c>
      <c r="B74" s="39">
        <v>0</v>
      </c>
      <c r="C74" s="21" t="s">
        <v>123</v>
      </c>
      <c r="D74" s="21" t="s">
        <v>6</v>
      </c>
      <c r="E74" s="21"/>
      <c r="F74" s="21"/>
      <c r="G74" s="21"/>
      <c r="H74" s="22">
        <v>0</v>
      </c>
      <c r="I74" s="22">
        <v>0</v>
      </c>
      <c r="J74" s="22">
        <v>0</v>
      </c>
      <c r="K74" s="22">
        <v>0</v>
      </c>
      <c r="L74" s="22">
        <v>0</v>
      </c>
      <c r="M74" s="22">
        <v>0</v>
      </c>
      <c r="N74" s="22">
        <v>0</v>
      </c>
      <c r="O74" s="142">
        <f t="shared" si="2"/>
        <v>0</v>
      </c>
      <c r="P74" s="59"/>
      <c r="Q74" s="24" t="s">
        <v>314</v>
      </c>
    </row>
    <row r="75" spans="1:17" ht="45" hidden="1" customHeight="1">
      <c r="A75" s="140" t="s">
        <v>138</v>
      </c>
      <c r="B75" s="39">
        <v>0</v>
      </c>
      <c r="C75" s="53" t="s">
        <v>150</v>
      </c>
      <c r="D75" s="141" t="s">
        <v>26</v>
      </c>
      <c r="E75" s="141" t="s">
        <v>48</v>
      </c>
      <c r="F75" s="141"/>
      <c r="G75" s="141"/>
      <c r="H75" s="139">
        <v>1</v>
      </c>
      <c r="I75" s="139">
        <v>0</v>
      </c>
      <c r="J75" s="139">
        <v>0</v>
      </c>
      <c r="K75" s="139">
        <v>0</v>
      </c>
      <c r="L75" s="139">
        <v>0</v>
      </c>
      <c r="M75" s="139">
        <v>1</v>
      </c>
      <c r="N75" s="139">
        <v>0</v>
      </c>
      <c r="O75" s="142">
        <f t="shared" si="2"/>
        <v>0.2857142857142857</v>
      </c>
      <c r="P75" s="59"/>
      <c r="Q75" s="138" t="s">
        <v>347</v>
      </c>
    </row>
    <row r="76" spans="1:17" ht="45" hidden="1" customHeight="1">
      <c r="A76" s="140" t="s">
        <v>217</v>
      </c>
      <c r="B76" s="39">
        <v>0</v>
      </c>
      <c r="C76" s="141" t="s">
        <v>123</v>
      </c>
      <c r="D76" s="141" t="s">
        <v>6</v>
      </c>
      <c r="E76" s="141"/>
      <c r="F76" s="141"/>
      <c r="G76" s="141"/>
      <c r="H76" s="139">
        <v>0</v>
      </c>
      <c r="I76" s="139">
        <v>0</v>
      </c>
      <c r="J76" s="139">
        <v>0</v>
      </c>
      <c r="K76" s="139">
        <v>0</v>
      </c>
      <c r="L76" s="139">
        <v>0</v>
      </c>
      <c r="M76" s="139">
        <v>0</v>
      </c>
      <c r="N76" s="139">
        <v>0</v>
      </c>
      <c r="O76" s="142">
        <f t="shared" si="2"/>
        <v>0</v>
      </c>
      <c r="P76" s="59"/>
      <c r="Q76" s="138" t="s">
        <v>557</v>
      </c>
    </row>
    <row r="77" spans="1:17" ht="45" hidden="1" customHeight="1">
      <c r="A77" s="41" t="s">
        <v>171</v>
      </c>
      <c r="B77" s="39">
        <v>0</v>
      </c>
      <c r="C77" s="141" t="s">
        <v>150</v>
      </c>
      <c r="D77" s="141" t="s">
        <v>6</v>
      </c>
      <c r="E77" s="141"/>
      <c r="F77" s="141" t="s">
        <v>41</v>
      </c>
      <c r="G77" s="141"/>
      <c r="H77" s="54">
        <v>0</v>
      </c>
      <c r="I77" s="139">
        <v>0</v>
      </c>
      <c r="J77" s="139">
        <v>0</v>
      </c>
      <c r="K77" s="139">
        <v>0</v>
      </c>
      <c r="L77" s="139">
        <v>0</v>
      </c>
      <c r="M77" s="139">
        <v>0</v>
      </c>
      <c r="N77" s="139">
        <v>0</v>
      </c>
      <c r="O77" s="142">
        <f t="shared" si="2"/>
        <v>0</v>
      </c>
      <c r="P77" s="59"/>
      <c r="Q77" s="138" t="s">
        <v>520</v>
      </c>
    </row>
    <row r="78" spans="1:17" ht="45" hidden="1" customHeight="1">
      <c r="A78" s="140" t="s">
        <v>521</v>
      </c>
      <c r="B78" s="39">
        <v>0</v>
      </c>
      <c r="C78" s="141" t="s">
        <v>150</v>
      </c>
      <c r="D78" s="141"/>
      <c r="E78" s="141"/>
      <c r="F78" s="141"/>
      <c r="G78" s="141"/>
      <c r="H78" s="139"/>
      <c r="I78" s="139"/>
      <c r="J78" s="139"/>
      <c r="K78" s="139"/>
      <c r="L78" s="139"/>
      <c r="M78" s="139"/>
      <c r="N78" s="139"/>
      <c r="O78" s="142"/>
      <c r="P78" s="59"/>
      <c r="Q78" s="138" t="s">
        <v>522</v>
      </c>
    </row>
    <row r="79" spans="1:17" ht="45" hidden="1" customHeight="1">
      <c r="A79" s="140"/>
      <c r="B79" s="39">
        <v>0</v>
      </c>
      <c r="C79" s="21"/>
      <c r="D79" s="21"/>
      <c r="E79" s="21"/>
      <c r="F79" s="21"/>
      <c r="G79" s="21"/>
      <c r="H79" s="22"/>
      <c r="I79" s="22"/>
      <c r="J79" s="22"/>
      <c r="K79" s="22"/>
      <c r="L79" s="22"/>
      <c r="M79" s="22"/>
      <c r="N79" s="22"/>
      <c r="O79" s="142" t="e">
        <f t="shared" ref="O79:O86" si="3">AVERAGE(H79:N79)</f>
        <v>#DIV/0!</v>
      </c>
      <c r="P79" s="59"/>
      <c r="Q79" s="24"/>
    </row>
    <row r="80" spans="1:17" ht="45" hidden="1" customHeight="1">
      <c r="A80" s="140"/>
      <c r="B80" s="39">
        <v>0</v>
      </c>
      <c r="C80" s="21"/>
      <c r="D80" s="21"/>
      <c r="E80" s="21"/>
      <c r="F80" s="21"/>
      <c r="G80" s="21"/>
      <c r="H80" s="22"/>
      <c r="I80" s="22"/>
      <c r="J80" s="22"/>
      <c r="K80" s="22"/>
      <c r="L80" s="22"/>
      <c r="M80" s="22"/>
      <c r="N80" s="22"/>
      <c r="O80" s="142" t="e">
        <f t="shared" si="3"/>
        <v>#DIV/0!</v>
      </c>
      <c r="P80" s="59"/>
      <c r="Q80" s="24"/>
    </row>
    <row r="81" spans="1:17" ht="45" hidden="1" customHeight="1">
      <c r="A81" s="140"/>
      <c r="B81" s="39">
        <v>0</v>
      </c>
      <c r="C81" s="21"/>
      <c r="D81" s="21"/>
      <c r="E81" s="21"/>
      <c r="F81" s="21"/>
      <c r="G81" s="21"/>
      <c r="H81" s="22">
        <v>0</v>
      </c>
      <c r="I81" s="22">
        <v>0</v>
      </c>
      <c r="J81" s="22">
        <v>0</v>
      </c>
      <c r="K81" s="22">
        <v>0</v>
      </c>
      <c r="L81" s="22">
        <v>0</v>
      </c>
      <c r="M81" s="22">
        <v>0</v>
      </c>
      <c r="N81" s="22">
        <v>0</v>
      </c>
      <c r="O81" s="142">
        <f t="shared" si="3"/>
        <v>0</v>
      </c>
      <c r="P81" s="59"/>
      <c r="Q81" s="24"/>
    </row>
    <row r="82" spans="1:17" ht="45" hidden="1" customHeight="1">
      <c r="A82" s="140"/>
      <c r="B82" s="39">
        <v>0</v>
      </c>
      <c r="C82" s="21"/>
      <c r="D82" s="21"/>
      <c r="E82" s="21"/>
      <c r="F82" s="21"/>
      <c r="G82" s="21"/>
      <c r="H82" s="22"/>
      <c r="I82" s="22"/>
      <c r="J82" s="22"/>
      <c r="K82" s="22"/>
      <c r="L82" s="22"/>
      <c r="M82" s="22"/>
      <c r="N82" s="22"/>
      <c r="O82" s="142" t="e">
        <f t="shared" si="3"/>
        <v>#DIV/0!</v>
      </c>
      <c r="P82" s="59"/>
      <c r="Q82" s="24"/>
    </row>
    <row r="83" spans="1:17" ht="45" hidden="1" customHeight="1">
      <c r="A83" s="140"/>
      <c r="B83" s="39">
        <v>0</v>
      </c>
      <c r="C83" s="21"/>
      <c r="D83" s="21"/>
      <c r="E83" s="21"/>
      <c r="F83" s="21"/>
      <c r="G83" s="21"/>
      <c r="H83" s="22"/>
      <c r="I83" s="22"/>
      <c r="J83" s="22"/>
      <c r="K83" s="22"/>
      <c r="L83" s="22"/>
      <c r="M83" s="22"/>
      <c r="N83" s="22"/>
      <c r="O83" s="142" t="e">
        <f t="shared" si="3"/>
        <v>#DIV/0!</v>
      </c>
      <c r="P83" s="59"/>
      <c r="Q83" s="24"/>
    </row>
    <row r="84" spans="1:17" ht="45" hidden="1" customHeight="1">
      <c r="A84" s="140"/>
      <c r="B84" s="39">
        <v>0</v>
      </c>
      <c r="C84" s="21"/>
      <c r="D84" s="21"/>
      <c r="E84" s="21"/>
      <c r="F84" s="21"/>
      <c r="G84" s="21"/>
      <c r="H84" s="22">
        <v>0</v>
      </c>
      <c r="I84" s="22">
        <v>0</v>
      </c>
      <c r="J84" s="22">
        <v>0</v>
      </c>
      <c r="K84" s="22">
        <v>0</v>
      </c>
      <c r="L84" s="22">
        <v>0</v>
      </c>
      <c r="M84" s="22">
        <v>0</v>
      </c>
      <c r="N84" s="22">
        <v>0</v>
      </c>
      <c r="O84" s="142">
        <f t="shared" si="3"/>
        <v>0</v>
      </c>
      <c r="P84" s="59"/>
      <c r="Q84" s="24"/>
    </row>
    <row r="85" spans="1:17" ht="45" hidden="1" customHeight="1">
      <c r="A85" s="140"/>
      <c r="B85" s="39">
        <v>0</v>
      </c>
      <c r="C85" s="21"/>
      <c r="D85" s="21"/>
      <c r="E85" s="21"/>
      <c r="F85" s="21"/>
      <c r="G85" s="21"/>
      <c r="H85" s="22" t="s">
        <v>118</v>
      </c>
      <c r="I85" s="22"/>
      <c r="J85" s="22"/>
      <c r="K85" s="22"/>
      <c r="L85" s="22"/>
      <c r="M85" s="22"/>
      <c r="N85" s="22"/>
      <c r="O85" s="142" t="e">
        <f t="shared" si="3"/>
        <v>#DIV/0!</v>
      </c>
      <c r="P85" s="59"/>
      <c r="Q85" s="24"/>
    </row>
    <row r="86" spans="1:17" ht="45" hidden="1" customHeight="1">
      <c r="A86" s="140"/>
      <c r="B86" s="39">
        <v>0</v>
      </c>
      <c r="C86" s="21"/>
      <c r="D86" s="21"/>
      <c r="E86" s="21"/>
      <c r="F86" s="21"/>
      <c r="G86" s="21"/>
      <c r="H86" s="22"/>
      <c r="I86" s="22"/>
      <c r="J86" s="22"/>
      <c r="K86" s="22"/>
      <c r="L86" s="22"/>
      <c r="M86" s="22"/>
      <c r="N86" s="22"/>
      <c r="O86" s="142" t="e">
        <f t="shared" si="3"/>
        <v>#DIV/0!</v>
      </c>
      <c r="P86" s="59"/>
      <c r="Q86" s="24"/>
    </row>
    <row r="87" spans="1:17" ht="45" hidden="1" customHeight="1">
      <c r="A87" s="140"/>
      <c r="B87" s="39">
        <v>0</v>
      </c>
      <c r="C87" s="21"/>
      <c r="D87" s="21"/>
      <c r="E87" s="21"/>
      <c r="F87" s="21"/>
      <c r="G87" s="21"/>
      <c r="H87" s="22">
        <v>0</v>
      </c>
      <c r="I87" s="22">
        <v>0</v>
      </c>
      <c r="J87" s="22">
        <v>0</v>
      </c>
      <c r="K87" s="22">
        <v>0</v>
      </c>
      <c r="L87" s="22">
        <v>0</v>
      </c>
      <c r="M87" s="22">
        <v>0</v>
      </c>
      <c r="N87" s="22">
        <v>0</v>
      </c>
      <c r="O87" s="23">
        <f t="shared" ref="O87:O118" si="4">AVERAGE(H87:N89)</f>
        <v>0</v>
      </c>
      <c r="P87" s="23"/>
      <c r="Q87" s="24"/>
    </row>
    <row r="88" spans="1:17" ht="45" hidden="1" customHeight="1">
      <c r="A88" s="140"/>
      <c r="B88" s="39">
        <v>0</v>
      </c>
      <c r="C88" s="21"/>
      <c r="D88" s="21"/>
      <c r="E88" s="21"/>
      <c r="F88" s="21"/>
      <c r="G88" s="21"/>
      <c r="H88" s="22">
        <v>0</v>
      </c>
      <c r="I88" s="22">
        <v>0</v>
      </c>
      <c r="J88" s="22">
        <v>0</v>
      </c>
      <c r="K88" s="22">
        <v>0</v>
      </c>
      <c r="L88" s="22">
        <v>0</v>
      </c>
      <c r="M88" s="22">
        <v>0</v>
      </c>
      <c r="N88" s="22">
        <v>0</v>
      </c>
      <c r="O88" s="23">
        <f t="shared" si="4"/>
        <v>0</v>
      </c>
      <c r="P88" s="23"/>
      <c r="Q88" s="24"/>
    </row>
    <row r="89" spans="1:17" ht="45" hidden="1" customHeight="1">
      <c r="A89" s="140"/>
      <c r="B89" s="39">
        <v>0</v>
      </c>
      <c r="C89" s="21"/>
      <c r="D89" s="21"/>
      <c r="E89" s="21"/>
      <c r="F89" s="21"/>
      <c r="G89" s="21"/>
      <c r="H89" s="22">
        <v>0</v>
      </c>
      <c r="I89" s="22">
        <v>0</v>
      </c>
      <c r="J89" s="22">
        <v>0</v>
      </c>
      <c r="K89" s="22">
        <v>0</v>
      </c>
      <c r="L89" s="22">
        <v>0</v>
      </c>
      <c r="M89" s="22">
        <v>0</v>
      </c>
      <c r="N89" s="22">
        <v>0</v>
      </c>
      <c r="O89" s="23">
        <f t="shared" si="4"/>
        <v>0</v>
      </c>
      <c r="P89" s="23"/>
      <c r="Q89" s="24"/>
    </row>
    <row r="90" spans="1:17" ht="45" hidden="1" customHeight="1">
      <c r="A90" s="140"/>
      <c r="B90" s="39">
        <v>0</v>
      </c>
      <c r="C90" s="21"/>
      <c r="D90" s="21"/>
      <c r="E90" s="21"/>
      <c r="F90" s="21"/>
      <c r="G90" s="21"/>
      <c r="H90" s="22">
        <v>0</v>
      </c>
      <c r="I90" s="22">
        <v>0</v>
      </c>
      <c r="J90" s="22">
        <v>0</v>
      </c>
      <c r="K90" s="22">
        <v>0</v>
      </c>
      <c r="L90" s="22">
        <v>0</v>
      </c>
      <c r="M90" s="22">
        <v>0</v>
      </c>
      <c r="N90" s="22">
        <v>0</v>
      </c>
      <c r="O90" s="23">
        <f t="shared" si="4"/>
        <v>0</v>
      </c>
      <c r="P90" s="23"/>
      <c r="Q90" s="24"/>
    </row>
    <row r="91" spans="1:17" ht="45" hidden="1" customHeight="1">
      <c r="A91" s="140"/>
      <c r="B91" s="39">
        <v>0</v>
      </c>
      <c r="C91" s="21"/>
      <c r="D91" s="21"/>
      <c r="E91" s="21"/>
      <c r="F91" s="21"/>
      <c r="G91" s="21"/>
      <c r="H91" s="22">
        <v>0</v>
      </c>
      <c r="I91" s="22">
        <v>0</v>
      </c>
      <c r="J91" s="22">
        <v>0</v>
      </c>
      <c r="K91" s="22">
        <v>0</v>
      </c>
      <c r="L91" s="22">
        <v>0</v>
      </c>
      <c r="M91" s="22">
        <v>0</v>
      </c>
      <c r="N91" s="22">
        <v>0</v>
      </c>
      <c r="O91" s="23">
        <f t="shared" si="4"/>
        <v>0</v>
      </c>
      <c r="P91" s="23"/>
      <c r="Q91" s="24"/>
    </row>
    <row r="92" spans="1:17" ht="45" hidden="1" customHeight="1">
      <c r="A92" s="140"/>
      <c r="B92" s="39">
        <v>0</v>
      </c>
      <c r="C92" s="21"/>
      <c r="D92" s="21"/>
      <c r="E92" s="21"/>
      <c r="F92" s="21"/>
      <c r="G92" s="21"/>
      <c r="H92" s="22">
        <v>0</v>
      </c>
      <c r="I92" s="22">
        <v>0</v>
      </c>
      <c r="J92" s="22">
        <v>0</v>
      </c>
      <c r="K92" s="22">
        <v>0</v>
      </c>
      <c r="L92" s="22">
        <v>0</v>
      </c>
      <c r="M92" s="22">
        <v>0</v>
      </c>
      <c r="N92" s="22">
        <v>0</v>
      </c>
      <c r="O92" s="23">
        <f t="shared" si="4"/>
        <v>0</v>
      </c>
      <c r="P92" s="23"/>
      <c r="Q92" s="24"/>
    </row>
    <row r="93" spans="1:17" ht="45" hidden="1" customHeight="1">
      <c r="A93" s="140"/>
      <c r="B93" s="39">
        <v>0</v>
      </c>
      <c r="C93" s="21"/>
      <c r="D93" s="21"/>
      <c r="E93" s="21"/>
      <c r="F93" s="21"/>
      <c r="G93" s="21"/>
      <c r="H93" s="22">
        <v>0</v>
      </c>
      <c r="I93" s="22">
        <v>0</v>
      </c>
      <c r="J93" s="22">
        <v>0</v>
      </c>
      <c r="K93" s="22">
        <v>0</v>
      </c>
      <c r="L93" s="22">
        <v>0</v>
      </c>
      <c r="M93" s="22">
        <v>0</v>
      </c>
      <c r="N93" s="22">
        <v>0</v>
      </c>
      <c r="O93" s="23">
        <f t="shared" si="4"/>
        <v>0</v>
      </c>
      <c r="P93" s="23"/>
      <c r="Q93" s="24"/>
    </row>
    <row r="94" spans="1:17" ht="45" hidden="1" customHeight="1">
      <c r="A94" s="140"/>
      <c r="B94" s="39">
        <v>0</v>
      </c>
      <c r="C94" s="21"/>
      <c r="D94" s="21"/>
      <c r="E94" s="21"/>
      <c r="F94" s="21"/>
      <c r="G94" s="21"/>
      <c r="H94" s="22">
        <v>0</v>
      </c>
      <c r="I94" s="22">
        <v>0</v>
      </c>
      <c r="J94" s="22">
        <v>0</v>
      </c>
      <c r="K94" s="22">
        <v>0</v>
      </c>
      <c r="L94" s="22">
        <v>0</v>
      </c>
      <c r="M94" s="22">
        <v>0</v>
      </c>
      <c r="N94" s="22">
        <v>0</v>
      </c>
      <c r="O94" s="23">
        <f t="shared" si="4"/>
        <v>0</v>
      </c>
      <c r="P94" s="23"/>
      <c r="Q94" s="24"/>
    </row>
    <row r="95" spans="1:17" ht="45" hidden="1" customHeight="1">
      <c r="A95" s="140"/>
      <c r="B95" s="39">
        <v>0</v>
      </c>
      <c r="C95" s="21"/>
      <c r="D95" s="21"/>
      <c r="E95" s="21"/>
      <c r="F95" s="21"/>
      <c r="G95" s="21"/>
      <c r="H95" s="22">
        <v>0</v>
      </c>
      <c r="I95" s="22">
        <v>0</v>
      </c>
      <c r="J95" s="22">
        <v>0</v>
      </c>
      <c r="K95" s="22">
        <v>0</v>
      </c>
      <c r="L95" s="22">
        <v>0</v>
      </c>
      <c r="M95" s="22">
        <v>0</v>
      </c>
      <c r="N95" s="22">
        <v>0</v>
      </c>
      <c r="O95" s="23">
        <f t="shared" si="4"/>
        <v>0</v>
      </c>
      <c r="P95" s="23"/>
      <c r="Q95" s="24"/>
    </row>
    <row r="96" spans="1:17" ht="45" hidden="1" customHeight="1">
      <c r="A96" s="140"/>
      <c r="B96" s="39">
        <v>0</v>
      </c>
      <c r="C96" s="21"/>
      <c r="D96" s="21"/>
      <c r="E96" s="21"/>
      <c r="F96" s="21"/>
      <c r="G96" s="21"/>
      <c r="H96" s="22">
        <v>0</v>
      </c>
      <c r="I96" s="22">
        <v>0</v>
      </c>
      <c r="J96" s="22">
        <v>0</v>
      </c>
      <c r="K96" s="22">
        <v>0</v>
      </c>
      <c r="L96" s="22">
        <v>0</v>
      </c>
      <c r="M96" s="22">
        <v>0</v>
      </c>
      <c r="N96" s="22">
        <v>0</v>
      </c>
      <c r="O96" s="23">
        <f t="shared" si="4"/>
        <v>0</v>
      </c>
      <c r="P96" s="23"/>
      <c r="Q96" s="24"/>
    </row>
    <row r="97" spans="1:17" ht="45" hidden="1" customHeight="1">
      <c r="A97" s="140"/>
      <c r="B97" s="39">
        <v>0</v>
      </c>
      <c r="C97" s="21"/>
      <c r="D97" s="21"/>
      <c r="E97" s="21"/>
      <c r="F97" s="21"/>
      <c r="G97" s="21"/>
      <c r="H97" s="22">
        <v>0</v>
      </c>
      <c r="I97" s="22">
        <v>0</v>
      </c>
      <c r="J97" s="22">
        <v>0</v>
      </c>
      <c r="K97" s="22">
        <v>0</v>
      </c>
      <c r="L97" s="22">
        <v>0</v>
      </c>
      <c r="M97" s="22">
        <v>0</v>
      </c>
      <c r="N97" s="22">
        <v>0</v>
      </c>
      <c r="O97" s="23">
        <f t="shared" si="4"/>
        <v>0</v>
      </c>
      <c r="P97" s="23"/>
      <c r="Q97" s="24"/>
    </row>
    <row r="98" spans="1:17" ht="45" hidden="1" customHeight="1">
      <c r="A98" s="140"/>
      <c r="B98" s="39">
        <v>0</v>
      </c>
      <c r="C98" s="21"/>
      <c r="D98" s="21"/>
      <c r="E98" s="21"/>
      <c r="F98" s="21"/>
      <c r="G98" s="21"/>
      <c r="H98" s="22">
        <v>0</v>
      </c>
      <c r="I98" s="22">
        <v>0</v>
      </c>
      <c r="J98" s="22">
        <v>0</v>
      </c>
      <c r="K98" s="22">
        <v>0</v>
      </c>
      <c r="L98" s="22">
        <v>0</v>
      </c>
      <c r="M98" s="22">
        <v>0</v>
      </c>
      <c r="N98" s="22">
        <v>0</v>
      </c>
      <c r="O98" s="23">
        <f t="shared" si="4"/>
        <v>0</v>
      </c>
      <c r="P98" s="23"/>
      <c r="Q98" s="24"/>
    </row>
    <row r="99" spans="1:17" ht="45" hidden="1" customHeight="1">
      <c r="A99" s="140"/>
      <c r="B99" s="39">
        <v>0</v>
      </c>
      <c r="C99" s="21"/>
      <c r="D99" s="21"/>
      <c r="E99" s="21"/>
      <c r="F99" s="21"/>
      <c r="G99" s="21"/>
      <c r="H99" s="22">
        <v>0</v>
      </c>
      <c r="I99" s="22">
        <v>0</v>
      </c>
      <c r="J99" s="22">
        <v>0</v>
      </c>
      <c r="K99" s="22">
        <v>0</v>
      </c>
      <c r="L99" s="22">
        <v>0</v>
      </c>
      <c r="M99" s="22">
        <v>0</v>
      </c>
      <c r="N99" s="22">
        <v>0</v>
      </c>
      <c r="O99" s="23">
        <f t="shared" si="4"/>
        <v>0</v>
      </c>
      <c r="P99" s="23"/>
      <c r="Q99" s="24"/>
    </row>
    <row r="100" spans="1:17" ht="45" hidden="1" customHeight="1">
      <c r="A100" s="140"/>
      <c r="B100" s="39">
        <v>0</v>
      </c>
      <c r="C100" s="21"/>
      <c r="D100" s="21"/>
      <c r="E100" s="21"/>
      <c r="F100" s="21"/>
      <c r="G100" s="21"/>
      <c r="H100" s="22">
        <v>0</v>
      </c>
      <c r="I100" s="22">
        <v>0</v>
      </c>
      <c r="J100" s="22">
        <v>0</v>
      </c>
      <c r="K100" s="22">
        <v>0</v>
      </c>
      <c r="L100" s="22">
        <v>0</v>
      </c>
      <c r="M100" s="22">
        <v>0</v>
      </c>
      <c r="N100" s="22">
        <v>0</v>
      </c>
      <c r="O100" s="23">
        <f t="shared" si="4"/>
        <v>0</v>
      </c>
      <c r="P100" s="23"/>
      <c r="Q100" s="24"/>
    </row>
    <row r="101" spans="1:17" ht="45" hidden="1" customHeight="1">
      <c r="A101" s="140"/>
      <c r="B101" s="39">
        <v>0</v>
      </c>
      <c r="C101" s="21"/>
      <c r="D101" s="21"/>
      <c r="E101" s="21"/>
      <c r="F101" s="21"/>
      <c r="G101" s="21"/>
      <c r="H101" s="22">
        <v>0</v>
      </c>
      <c r="I101" s="22">
        <v>0</v>
      </c>
      <c r="J101" s="22">
        <v>0</v>
      </c>
      <c r="K101" s="22">
        <v>0</v>
      </c>
      <c r="L101" s="22">
        <v>0</v>
      </c>
      <c r="M101" s="22">
        <v>0</v>
      </c>
      <c r="N101" s="22">
        <v>0</v>
      </c>
      <c r="O101" s="23">
        <f t="shared" si="4"/>
        <v>0</v>
      </c>
      <c r="P101" s="23"/>
      <c r="Q101" s="24"/>
    </row>
    <row r="102" spans="1:17" ht="45" hidden="1" customHeight="1">
      <c r="A102" s="140"/>
      <c r="B102" s="39">
        <v>0</v>
      </c>
      <c r="C102" s="21"/>
      <c r="D102" s="21"/>
      <c r="E102" s="21"/>
      <c r="F102" s="21"/>
      <c r="G102" s="21"/>
      <c r="H102" s="22">
        <v>0</v>
      </c>
      <c r="I102" s="22">
        <v>0</v>
      </c>
      <c r="J102" s="22">
        <v>0</v>
      </c>
      <c r="K102" s="22">
        <v>0</v>
      </c>
      <c r="L102" s="22">
        <v>0</v>
      </c>
      <c r="M102" s="22">
        <v>0</v>
      </c>
      <c r="N102" s="22">
        <v>0</v>
      </c>
      <c r="O102" s="23">
        <f t="shared" si="4"/>
        <v>0</v>
      </c>
      <c r="P102" s="23"/>
      <c r="Q102" s="24"/>
    </row>
    <row r="103" spans="1:17" ht="45" hidden="1" customHeight="1">
      <c r="A103" s="140"/>
      <c r="B103" s="39">
        <v>0</v>
      </c>
      <c r="C103" s="21"/>
      <c r="D103" s="21"/>
      <c r="E103" s="21"/>
      <c r="F103" s="21"/>
      <c r="G103" s="21"/>
      <c r="H103" s="22">
        <v>0</v>
      </c>
      <c r="I103" s="22">
        <v>0</v>
      </c>
      <c r="J103" s="22">
        <v>0</v>
      </c>
      <c r="K103" s="22">
        <v>0</v>
      </c>
      <c r="L103" s="22">
        <v>0</v>
      </c>
      <c r="M103" s="22">
        <v>0</v>
      </c>
      <c r="N103" s="22">
        <v>0</v>
      </c>
      <c r="O103" s="23">
        <f t="shared" si="4"/>
        <v>0</v>
      </c>
      <c r="P103" s="23"/>
      <c r="Q103" s="24"/>
    </row>
    <row r="104" spans="1:17" ht="45" hidden="1" customHeight="1">
      <c r="A104" s="140"/>
      <c r="B104" s="39">
        <v>0</v>
      </c>
      <c r="C104" s="21"/>
      <c r="D104" s="21"/>
      <c r="E104" s="21"/>
      <c r="F104" s="21"/>
      <c r="G104" s="21"/>
      <c r="H104" s="22">
        <v>0</v>
      </c>
      <c r="I104" s="22">
        <v>0</v>
      </c>
      <c r="J104" s="22">
        <v>0</v>
      </c>
      <c r="K104" s="22">
        <v>0</v>
      </c>
      <c r="L104" s="22">
        <v>0</v>
      </c>
      <c r="M104" s="22">
        <v>0</v>
      </c>
      <c r="N104" s="22">
        <v>0</v>
      </c>
      <c r="O104" s="23">
        <f t="shared" si="4"/>
        <v>0</v>
      </c>
      <c r="P104" s="23"/>
      <c r="Q104" s="24"/>
    </row>
    <row r="105" spans="1:17" ht="45" hidden="1" customHeight="1">
      <c r="A105" s="140"/>
      <c r="B105" s="39">
        <v>0</v>
      </c>
      <c r="C105" s="21"/>
      <c r="D105" s="21"/>
      <c r="E105" s="21"/>
      <c r="F105" s="21"/>
      <c r="G105" s="21"/>
      <c r="H105" s="22">
        <v>0</v>
      </c>
      <c r="I105" s="22">
        <v>0</v>
      </c>
      <c r="J105" s="22">
        <v>0</v>
      </c>
      <c r="K105" s="22">
        <v>0</v>
      </c>
      <c r="L105" s="22">
        <v>0</v>
      </c>
      <c r="M105" s="22">
        <v>0</v>
      </c>
      <c r="N105" s="22">
        <v>0</v>
      </c>
      <c r="O105" s="23">
        <f t="shared" si="4"/>
        <v>0</v>
      </c>
      <c r="P105" s="23"/>
      <c r="Q105" s="24"/>
    </row>
    <row r="106" spans="1:17" ht="45" hidden="1" customHeight="1">
      <c r="A106" s="140"/>
      <c r="B106" s="39">
        <v>0</v>
      </c>
      <c r="C106" s="21"/>
      <c r="D106" s="21"/>
      <c r="E106" s="21"/>
      <c r="F106" s="21"/>
      <c r="G106" s="21"/>
      <c r="H106" s="22">
        <v>0</v>
      </c>
      <c r="I106" s="22">
        <v>0</v>
      </c>
      <c r="J106" s="22">
        <v>0</v>
      </c>
      <c r="K106" s="22">
        <v>0</v>
      </c>
      <c r="L106" s="22">
        <v>0</v>
      </c>
      <c r="M106" s="22">
        <v>0</v>
      </c>
      <c r="N106" s="22">
        <v>0</v>
      </c>
      <c r="O106" s="23">
        <f t="shared" si="4"/>
        <v>0</v>
      </c>
      <c r="P106" s="23"/>
      <c r="Q106" s="24"/>
    </row>
    <row r="107" spans="1:17" ht="45" hidden="1" customHeight="1">
      <c r="A107" s="140"/>
      <c r="B107" s="39">
        <v>0</v>
      </c>
      <c r="C107" s="21"/>
      <c r="D107" s="21"/>
      <c r="E107" s="21"/>
      <c r="F107" s="21"/>
      <c r="G107" s="21"/>
      <c r="H107" s="22">
        <v>0</v>
      </c>
      <c r="I107" s="22">
        <v>0</v>
      </c>
      <c r="J107" s="22">
        <v>0</v>
      </c>
      <c r="K107" s="22">
        <v>0</v>
      </c>
      <c r="L107" s="22">
        <v>0</v>
      </c>
      <c r="M107" s="22">
        <v>0</v>
      </c>
      <c r="N107" s="22">
        <v>0</v>
      </c>
      <c r="O107" s="23">
        <f t="shared" si="4"/>
        <v>0</v>
      </c>
      <c r="P107" s="23"/>
      <c r="Q107" s="24"/>
    </row>
    <row r="108" spans="1:17" ht="45" hidden="1" customHeight="1">
      <c r="A108" s="140"/>
      <c r="B108" s="39">
        <v>0</v>
      </c>
      <c r="C108" s="21"/>
      <c r="D108" s="21"/>
      <c r="E108" s="21"/>
      <c r="F108" s="21"/>
      <c r="G108" s="21"/>
      <c r="H108" s="22">
        <v>0</v>
      </c>
      <c r="I108" s="22">
        <v>0</v>
      </c>
      <c r="J108" s="22">
        <v>0</v>
      </c>
      <c r="K108" s="22">
        <v>0</v>
      </c>
      <c r="L108" s="22">
        <v>0</v>
      </c>
      <c r="M108" s="22">
        <v>0</v>
      </c>
      <c r="N108" s="22">
        <v>0</v>
      </c>
      <c r="O108" s="23">
        <f t="shared" si="4"/>
        <v>0</v>
      </c>
      <c r="P108" s="23"/>
      <c r="Q108" s="24"/>
    </row>
    <row r="109" spans="1:17" ht="45" hidden="1" customHeight="1">
      <c r="A109" s="140"/>
      <c r="B109" s="39">
        <v>0</v>
      </c>
      <c r="C109" s="21"/>
      <c r="D109" s="21"/>
      <c r="E109" s="21"/>
      <c r="F109" s="21"/>
      <c r="G109" s="21"/>
      <c r="H109" s="22">
        <v>0</v>
      </c>
      <c r="I109" s="22">
        <v>0</v>
      </c>
      <c r="J109" s="22">
        <v>0</v>
      </c>
      <c r="K109" s="22">
        <v>0</v>
      </c>
      <c r="L109" s="22">
        <v>0</v>
      </c>
      <c r="M109" s="22">
        <v>0</v>
      </c>
      <c r="N109" s="22">
        <v>0</v>
      </c>
      <c r="O109" s="23">
        <f t="shared" si="4"/>
        <v>0</v>
      </c>
      <c r="P109" s="23"/>
      <c r="Q109" s="24"/>
    </row>
    <row r="110" spans="1:17" ht="45" hidden="1" customHeight="1">
      <c r="A110" s="140"/>
      <c r="B110" s="39">
        <v>0</v>
      </c>
      <c r="C110" s="21"/>
      <c r="D110" s="21"/>
      <c r="E110" s="21"/>
      <c r="F110" s="21"/>
      <c r="G110" s="21"/>
      <c r="H110" s="22">
        <v>0</v>
      </c>
      <c r="I110" s="22">
        <v>0</v>
      </c>
      <c r="J110" s="22">
        <v>0</v>
      </c>
      <c r="K110" s="22">
        <v>0</v>
      </c>
      <c r="L110" s="22">
        <v>0</v>
      </c>
      <c r="M110" s="22">
        <v>0</v>
      </c>
      <c r="N110" s="22">
        <v>0</v>
      </c>
      <c r="O110" s="23">
        <f t="shared" si="4"/>
        <v>0</v>
      </c>
      <c r="P110" s="23"/>
      <c r="Q110" s="24"/>
    </row>
    <row r="111" spans="1:17" ht="45" hidden="1" customHeight="1">
      <c r="A111" s="140"/>
      <c r="B111" s="39">
        <v>0</v>
      </c>
      <c r="C111" s="21"/>
      <c r="D111" s="21"/>
      <c r="E111" s="21"/>
      <c r="F111" s="21"/>
      <c r="G111" s="21"/>
      <c r="H111" s="22">
        <v>0</v>
      </c>
      <c r="I111" s="22">
        <v>0</v>
      </c>
      <c r="J111" s="22">
        <v>0</v>
      </c>
      <c r="K111" s="22">
        <v>0</v>
      </c>
      <c r="L111" s="22">
        <v>0</v>
      </c>
      <c r="M111" s="22">
        <v>0</v>
      </c>
      <c r="N111" s="22">
        <v>0</v>
      </c>
      <c r="O111" s="23">
        <f t="shared" si="4"/>
        <v>0</v>
      </c>
      <c r="P111" s="23"/>
      <c r="Q111" s="24"/>
    </row>
    <row r="112" spans="1:17" ht="45" hidden="1" customHeight="1">
      <c r="A112" s="140"/>
      <c r="B112" s="39">
        <v>0</v>
      </c>
      <c r="C112" s="21"/>
      <c r="D112" s="21"/>
      <c r="E112" s="21"/>
      <c r="F112" s="21"/>
      <c r="G112" s="21"/>
      <c r="H112" s="22">
        <v>0</v>
      </c>
      <c r="I112" s="22">
        <v>0</v>
      </c>
      <c r="J112" s="22">
        <v>0</v>
      </c>
      <c r="K112" s="22">
        <v>0</v>
      </c>
      <c r="L112" s="22">
        <v>0</v>
      </c>
      <c r="M112" s="22">
        <v>0</v>
      </c>
      <c r="N112" s="22">
        <v>0</v>
      </c>
      <c r="O112" s="23">
        <f t="shared" si="4"/>
        <v>0</v>
      </c>
      <c r="P112" s="23"/>
      <c r="Q112" s="24"/>
    </row>
    <row r="113" spans="1:17" ht="45" hidden="1" customHeight="1">
      <c r="A113" s="140"/>
      <c r="B113" s="39">
        <v>0</v>
      </c>
      <c r="C113" s="21"/>
      <c r="D113" s="21"/>
      <c r="E113" s="21"/>
      <c r="F113" s="21"/>
      <c r="G113" s="21"/>
      <c r="H113" s="22">
        <v>0</v>
      </c>
      <c r="I113" s="22">
        <v>0</v>
      </c>
      <c r="J113" s="22">
        <v>0</v>
      </c>
      <c r="K113" s="22">
        <v>0</v>
      </c>
      <c r="L113" s="22">
        <v>0</v>
      </c>
      <c r="M113" s="22">
        <v>0</v>
      </c>
      <c r="N113" s="22">
        <v>0</v>
      </c>
      <c r="O113" s="23">
        <f t="shared" si="4"/>
        <v>0</v>
      </c>
      <c r="P113" s="23"/>
      <c r="Q113" s="24"/>
    </row>
    <row r="114" spans="1:17" ht="45" hidden="1" customHeight="1">
      <c r="A114" s="140"/>
      <c r="B114" s="39">
        <v>0</v>
      </c>
      <c r="C114" s="21"/>
      <c r="D114" s="21"/>
      <c r="E114" s="21"/>
      <c r="F114" s="21"/>
      <c r="G114" s="21"/>
      <c r="H114" s="22">
        <v>0</v>
      </c>
      <c r="I114" s="22">
        <v>0</v>
      </c>
      <c r="J114" s="22">
        <v>0</v>
      </c>
      <c r="K114" s="22">
        <v>0</v>
      </c>
      <c r="L114" s="22">
        <v>0</v>
      </c>
      <c r="M114" s="22">
        <v>0</v>
      </c>
      <c r="N114" s="22">
        <v>0</v>
      </c>
      <c r="O114" s="23">
        <f t="shared" si="4"/>
        <v>0</v>
      </c>
      <c r="P114" s="23"/>
      <c r="Q114" s="24"/>
    </row>
    <row r="115" spans="1:17" ht="45" hidden="1" customHeight="1">
      <c r="A115" s="140"/>
      <c r="B115" s="39">
        <v>0</v>
      </c>
      <c r="C115" s="21"/>
      <c r="D115" s="21"/>
      <c r="E115" s="21"/>
      <c r="F115" s="21"/>
      <c r="G115" s="21"/>
      <c r="H115" s="22">
        <v>0</v>
      </c>
      <c r="I115" s="22">
        <v>0</v>
      </c>
      <c r="J115" s="22">
        <v>0</v>
      </c>
      <c r="K115" s="22">
        <v>0</v>
      </c>
      <c r="L115" s="22">
        <v>0</v>
      </c>
      <c r="M115" s="22">
        <v>0</v>
      </c>
      <c r="N115" s="22">
        <v>0</v>
      </c>
      <c r="O115" s="23">
        <f t="shared" si="4"/>
        <v>0</v>
      </c>
      <c r="P115" s="23"/>
      <c r="Q115" s="24"/>
    </row>
    <row r="116" spans="1:17" ht="45" hidden="1" customHeight="1">
      <c r="A116" s="140"/>
      <c r="B116" s="39">
        <v>0</v>
      </c>
      <c r="C116" s="21"/>
      <c r="D116" s="21"/>
      <c r="E116" s="21"/>
      <c r="F116" s="21"/>
      <c r="G116" s="21"/>
      <c r="H116" s="22">
        <v>0</v>
      </c>
      <c r="I116" s="22">
        <v>0</v>
      </c>
      <c r="J116" s="22">
        <v>0</v>
      </c>
      <c r="K116" s="22">
        <v>0</v>
      </c>
      <c r="L116" s="22">
        <v>0</v>
      </c>
      <c r="M116" s="22">
        <v>0</v>
      </c>
      <c r="N116" s="22">
        <v>0</v>
      </c>
      <c r="O116" s="23">
        <f t="shared" si="4"/>
        <v>0</v>
      </c>
      <c r="P116" s="23"/>
      <c r="Q116" s="24"/>
    </row>
    <row r="117" spans="1:17" ht="45" hidden="1" customHeight="1">
      <c r="A117" s="140"/>
      <c r="B117" s="39">
        <v>0</v>
      </c>
      <c r="C117" s="21"/>
      <c r="D117" s="21"/>
      <c r="E117" s="21"/>
      <c r="F117" s="21"/>
      <c r="G117" s="21"/>
      <c r="H117" s="22">
        <v>0</v>
      </c>
      <c r="I117" s="22">
        <v>0</v>
      </c>
      <c r="J117" s="22">
        <v>0</v>
      </c>
      <c r="K117" s="22">
        <v>0</v>
      </c>
      <c r="L117" s="22">
        <v>0</v>
      </c>
      <c r="M117" s="22">
        <v>0</v>
      </c>
      <c r="N117" s="22">
        <v>0</v>
      </c>
      <c r="O117" s="23">
        <f t="shared" si="4"/>
        <v>0</v>
      </c>
      <c r="P117" s="23"/>
      <c r="Q117" s="24"/>
    </row>
    <row r="118" spans="1:17" ht="45" hidden="1" customHeight="1">
      <c r="A118" s="140"/>
      <c r="B118" s="39">
        <v>0</v>
      </c>
      <c r="C118" s="21"/>
      <c r="D118" s="21"/>
      <c r="E118" s="21"/>
      <c r="F118" s="21"/>
      <c r="G118" s="21"/>
      <c r="H118" s="22">
        <v>0</v>
      </c>
      <c r="I118" s="22">
        <v>0</v>
      </c>
      <c r="J118" s="22">
        <v>0</v>
      </c>
      <c r="K118" s="22">
        <v>0</v>
      </c>
      <c r="L118" s="22">
        <v>0</v>
      </c>
      <c r="M118" s="22">
        <v>0</v>
      </c>
      <c r="N118" s="22">
        <v>0</v>
      </c>
      <c r="O118" s="23">
        <f t="shared" si="4"/>
        <v>0</v>
      </c>
      <c r="P118" s="23"/>
      <c r="Q118" s="24"/>
    </row>
    <row r="119" spans="1:17" ht="45" hidden="1" customHeight="1">
      <c r="A119" s="140"/>
      <c r="B119" s="39">
        <v>0</v>
      </c>
      <c r="C119" s="21"/>
      <c r="D119" s="21"/>
      <c r="E119" s="21"/>
      <c r="F119" s="21"/>
      <c r="G119" s="21"/>
      <c r="H119" s="22">
        <v>0</v>
      </c>
      <c r="I119" s="22">
        <v>0</v>
      </c>
      <c r="J119" s="22">
        <v>0</v>
      </c>
      <c r="K119" s="22">
        <v>0</v>
      </c>
      <c r="L119" s="22">
        <v>0</v>
      </c>
      <c r="M119" s="22">
        <v>0</v>
      </c>
      <c r="N119" s="22">
        <v>0</v>
      </c>
      <c r="O119" s="23">
        <f t="shared" ref="O119:O150" si="5">AVERAGE(H119:N121)</f>
        <v>0</v>
      </c>
      <c r="P119" s="23"/>
      <c r="Q119" s="24"/>
    </row>
    <row r="120" spans="1:17" ht="45" hidden="1" customHeight="1">
      <c r="A120" s="140"/>
      <c r="B120" s="39">
        <v>0</v>
      </c>
      <c r="C120" s="21"/>
      <c r="D120" s="21"/>
      <c r="E120" s="21"/>
      <c r="F120" s="21"/>
      <c r="G120" s="21"/>
      <c r="H120" s="22">
        <v>0</v>
      </c>
      <c r="I120" s="22">
        <v>0</v>
      </c>
      <c r="J120" s="22">
        <v>0</v>
      </c>
      <c r="K120" s="22">
        <v>0</v>
      </c>
      <c r="L120" s="22">
        <v>0</v>
      </c>
      <c r="M120" s="22">
        <v>0</v>
      </c>
      <c r="N120" s="22">
        <v>0</v>
      </c>
      <c r="O120" s="23">
        <f t="shared" si="5"/>
        <v>0</v>
      </c>
      <c r="P120" s="23"/>
      <c r="Q120" s="24"/>
    </row>
    <row r="121" spans="1:17" ht="45" hidden="1" customHeight="1">
      <c r="A121" s="140"/>
      <c r="B121" s="39">
        <v>0</v>
      </c>
      <c r="C121" s="21"/>
      <c r="D121" s="21"/>
      <c r="E121" s="21"/>
      <c r="F121" s="21"/>
      <c r="G121" s="21"/>
      <c r="H121" s="22">
        <v>0</v>
      </c>
      <c r="I121" s="22">
        <v>0</v>
      </c>
      <c r="J121" s="22">
        <v>0</v>
      </c>
      <c r="K121" s="22">
        <v>0</v>
      </c>
      <c r="L121" s="22">
        <v>0</v>
      </c>
      <c r="M121" s="22">
        <v>0</v>
      </c>
      <c r="N121" s="22">
        <v>0</v>
      </c>
      <c r="O121" s="23">
        <f t="shared" si="5"/>
        <v>0</v>
      </c>
      <c r="P121" s="23"/>
      <c r="Q121" s="24"/>
    </row>
    <row r="122" spans="1:17" ht="45" hidden="1" customHeight="1">
      <c r="A122" s="140"/>
      <c r="B122" s="39">
        <v>0</v>
      </c>
      <c r="C122" s="21"/>
      <c r="D122" s="21"/>
      <c r="E122" s="21"/>
      <c r="F122" s="21"/>
      <c r="G122" s="21"/>
      <c r="H122" s="22">
        <v>0</v>
      </c>
      <c r="I122" s="22">
        <v>0</v>
      </c>
      <c r="J122" s="22">
        <v>0</v>
      </c>
      <c r="K122" s="22">
        <v>0</v>
      </c>
      <c r="L122" s="22">
        <v>0</v>
      </c>
      <c r="M122" s="22">
        <v>0</v>
      </c>
      <c r="N122" s="22">
        <v>0</v>
      </c>
      <c r="O122" s="23">
        <f t="shared" si="5"/>
        <v>0</v>
      </c>
      <c r="P122" s="23"/>
      <c r="Q122" s="24"/>
    </row>
    <row r="123" spans="1:17" ht="45" hidden="1" customHeight="1">
      <c r="A123" s="140"/>
      <c r="B123" s="39">
        <v>0</v>
      </c>
      <c r="C123" s="21"/>
      <c r="D123" s="21"/>
      <c r="E123" s="21"/>
      <c r="F123" s="21"/>
      <c r="G123" s="21"/>
      <c r="H123" s="22">
        <v>0</v>
      </c>
      <c r="I123" s="22">
        <v>0</v>
      </c>
      <c r="J123" s="22">
        <v>0</v>
      </c>
      <c r="K123" s="22">
        <v>0</v>
      </c>
      <c r="L123" s="22">
        <v>0</v>
      </c>
      <c r="M123" s="22">
        <v>0</v>
      </c>
      <c r="N123" s="22">
        <v>0</v>
      </c>
      <c r="O123" s="23">
        <f t="shared" si="5"/>
        <v>0</v>
      </c>
      <c r="P123" s="23"/>
      <c r="Q123" s="24"/>
    </row>
    <row r="124" spans="1:17" ht="45" hidden="1" customHeight="1">
      <c r="A124" s="140"/>
      <c r="B124" s="39">
        <v>0</v>
      </c>
      <c r="C124" s="21"/>
      <c r="D124" s="21"/>
      <c r="E124" s="21"/>
      <c r="F124" s="21"/>
      <c r="G124" s="21"/>
      <c r="H124" s="22">
        <v>0</v>
      </c>
      <c r="I124" s="22">
        <v>0</v>
      </c>
      <c r="J124" s="22">
        <v>0</v>
      </c>
      <c r="K124" s="22">
        <v>0</v>
      </c>
      <c r="L124" s="22">
        <v>0</v>
      </c>
      <c r="M124" s="22">
        <v>0</v>
      </c>
      <c r="N124" s="22">
        <v>0</v>
      </c>
      <c r="O124" s="23">
        <f t="shared" si="5"/>
        <v>0</v>
      </c>
      <c r="P124" s="23"/>
      <c r="Q124" s="24"/>
    </row>
    <row r="125" spans="1:17" ht="45" hidden="1" customHeight="1">
      <c r="A125" s="140"/>
      <c r="B125" s="39">
        <v>0</v>
      </c>
      <c r="C125" s="21"/>
      <c r="D125" s="21"/>
      <c r="E125" s="21"/>
      <c r="F125" s="21"/>
      <c r="G125" s="21"/>
      <c r="H125" s="22">
        <v>0</v>
      </c>
      <c r="I125" s="22">
        <v>0</v>
      </c>
      <c r="J125" s="22">
        <v>0</v>
      </c>
      <c r="K125" s="22">
        <v>0</v>
      </c>
      <c r="L125" s="22">
        <v>0</v>
      </c>
      <c r="M125" s="22">
        <v>0</v>
      </c>
      <c r="N125" s="22">
        <v>0</v>
      </c>
      <c r="O125" s="23">
        <f t="shared" si="5"/>
        <v>0</v>
      </c>
      <c r="P125" s="23"/>
      <c r="Q125" s="24"/>
    </row>
    <row r="126" spans="1:17" ht="45" hidden="1" customHeight="1">
      <c r="A126" s="140"/>
      <c r="B126" s="39">
        <v>0</v>
      </c>
      <c r="C126" s="21"/>
      <c r="D126" s="21"/>
      <c r="E126" s="21"/>
      <c r="F126" s="21"/>
      <c r="G126" s="21"/>
      <c r="H126" s="22">
        <v>0</v>
      </c>
      <c r="I126" s="22">
        <v>0</v>
      </c>
      <c r="J126" s="22">
        <v>0</v>
      </c>
      <c r="K126" s="22">
        <v>0</v>
      </c>
      <c r="L126" s="22">
        <v>0</v>
      </c>
      <c r="M126" s="22">
        <v>0</v>
      </c>
      <c r="N126" s="22">
        <v>0</v>
      </c>
      <c r="O126" s="23">
        <f t="shared" si="5"/>
        <v>0</v>
      </c>
      <c r="P126" s="23"/>
      <c r="Q126" s="24"/>
    </row>
    <row r="127" spans="1:17" ht="45" hidden="1" customHeight="1">
      <c r="A127" s="140"/>
      <c r="B127" s="39">
        <v>0</v>
      </c>
      <c r="C127" s="21"/>
      <c r="D127" s="21"/>
      <c r="E127" s="21"/>
      <c r="F127" s="21"/>
      <c r="G127" s="21"/>
      <c r="H127" s="22">
        <v>0</v>
      </c>
      <c r="I127" s="22">
        <v>0</v>
      </c>
      <c r="J127" s="22">
        <v>0</v>
      </c>
      <c r="K127" s="22">
        <v>0</v>
      </c>
      <c r="L127" s="22">
        <v>0</v>
      </c>
      <c r="M127" s="22">
        <v>0</v>
      </c>
      <c r="N127" s="22">
        <v>0</v>
      </c>
      <c r="O127" s="23">
        <f t="shared" si="5"/>
        <v>0</v>
      </c>
      <c r="P127" s="23"/>
      <c r="Q127" s="24"/>
    </row>
    <row r="128" spans="1:17" ht="45" hidden="1" customHeight="1">
      <c r="A128" s="140"/>
      <c r="B128" s="39">
        <v>0</v>
      </c>
      <c r="C128" s="21"/>
      <c r="D128" s="21"/>
      <c r="E128" s="21"/>
      <c r="F128" s="21"/>
      <c r="G128" s="21"/>
      <c r="H128" s="22">
        <v>0</v>
      </c>
      <c r="I128" s="22">
        <v>0</v>
      </c>
      <c r="J128" s="22">
        <v>0</v>
      </c>
      <c r="K128" s="22">
        <v>0</v>
      </c>
      <c r="L128" s="22">
        <v>0</v>
      </c>
      <c r="M128" s="22">
        <v>0</v>
      </c>
      <c r="N128" s="22">
        <v>0</v>
      </c>
      <c r="O128" s="23">
        <f t="shared" si="5"/>
        <v>0</v>
      </c>
      <c r="P128" s="23"/>
      <c r="Q128" s="24"/>
    </row>
    <row r="129" spans="1:17" ht="45" hidden="1" customHeight="1">
      <c r="A129" s="140"/>
      <c r="B129" s="39">
        <v>0</v>
      </c>
      <c r="C129" s="21"/>
      <c r="D129" s="21"/>
      <c r="E129" s="21"/>
      <c r="F129" s="21"/>
      <c r="G129" s="21"/>
      <c r="H129" s="22">
        <v>0</v>
      </c>
      <c r="I129" s="22">
        <v>0</v>
      </c>
      <c r="J129" s="22">
        <v>0</v>
      </c>
      <c r="K129" s="22">
        <v>0</v>
      </c>
      <c r="L129" s="22">
        <v>0</v>
      </c>
      <c r="M129" s="22">
        <v>0</v>
      </c>
      <c r="N129" s="22">
        <v>0</v>
      </c>
      <c r="O129" s="23">
        <f t="shared" si="5"/>
        <v>0</v>
      </c>
      <c r="P129" s="23"/>
      <c r="Q129" s="24"/>
    </row>
    <row r="130" spans="1:17" ht="45" hidden="1" customHeight="1">
      <c r="A130" s="140"/>
      <c r="B130" s="39">
        <v>0</v>
      </c>
      <c r="C130" s="21"/>
      <c r="D130" s="21"/>
      <c r="E130" s="21"/>
      <c r="F130" s="21"/>
      <c r="G130" s="21"/>
      <c r="H130" s="22">
        <v>0</v>
      </c>
      <c r="I130" s="22">
        <v>0</v>
      </c>
      <c r="J130" s="22">
        <v>0</v>
      </c>
      <c r="K130" s="22">
        <v>0</v>
      </c>
      <c r="L130" s="22">
        <v>0</v>
      </c>
      <c r="M130" s="22">
        <v>0</v>
      </c>
      <c r="N130" s="22">
        <v>0</v>
      </c>
      <c r="O130" s="23">
        <f t="shared" si="5"/>
        <v>0</v>
      </c>
      <c r="P130" s="23"/>
      <c r="Q130" s="24"/>
    </row>
    <row r="131" spans="1:17" ht="45" hidden="1" customHeight="1">
      <c r="A131" s="140"/>
      <c r="B131" s="39">
        <v>0</v>
      </c>
      <c r="C131" s="21"/>
      <c r="D131" s="21"/>
      <c r="E131" s="21"/>
      <c r="F131" s="21"/>
      <c r="G131" s="21"/>
      <c r="H131" s="22">
        <v>0</v>
      </c>
      <c r="I131" s="22">
        <v>0</v>
      </c>
      <c r="J131" s="22">
        <v>0</v>
      </c>
      <c r="K131" s="22">
        <v>0</v>
      </c>
      <c r="L131" s="22">
        <v>0</v>
      </c>
      <c r="M131" s="22">
        <v>0</v>
      </c>
      <c r="N131" s="22">
        <v>0</v>
      </c>
      <c r="O131" s="23">
        <f t="shared" si="5"/>
        <v>0</v>
      </c>
      <c r="P131" s="23"/>
      <c r="Q131" s="24"/>
    </row>
    <row r="132" spans="1:17" ht="45" hidden="1" customHeight="1">
      <c r="A132" s="140"/>
      <c r="B132" s="39">
        <v>0</v>
      </c>
      <c r="C132" s="21"/>
      <c r="D132" s="21"/>
      <c r="E132" s="21"/>
      <c r="F132" s="21"/>
      <c r="G132" s="21"/>
      <c r="H132" s="22">
        <v>0</v>
      </c>
      <c r="I132" s="22">
        <v>0</v>
      </c>
      <c r="J132" s="22">
        <v>0</v>
      </c>
      <c r="K132" s="22">
        <v>0</v>
      </c>
      <c r="L132" s="22">
        <v>0</v>
      </c>
      <c r="M132" s="22">
        <v>0</v>
      </c>
      <c r="N132" s="22">
        <v>0</v>
      </c>
      <c r="O132" s="23">
        <f t="shared" si="5"/>
        <v>0</v>
      </c>
      <c r="P132" s="23"/>
      <c r="Q132" s="24"/>
    </row>
    <row r="133" spans="1:17" ht="45" hidden="1" customHeight="1">
      <c r="A133" s="140"/>
      <c r="B133" s="39">
        <v>0</v>
      </c>
      <c r="C133" s="21"/>
      <c r="D133" s="21"/>
      <c r="E133" s="21"/>
      <c r="F133" s="21"/>
      <c r="G133" s="21"/>
      <c r="H133" s="22">
        <v>0</v>
      </c>
      <c r="I133" s="22">
        <v>0</v>
      </c>
      <c r="J133" s="22">
        <v>0</v>
      </c>
      <c r="K133" s="22">
        <v>0</v>
      </c>
      <c r="L133" s="22">
        <v>0</v>
      </c>
      <c r="M133" s="22">
        <v>0</v>
      </c>
      <c r="N133" s="22">
        <v>0</v>
      </c>
      <c r="O133" s="23">
        <f t="shared" si="5"/>
        <v>0</v>
      </c>
      <c r="P133" s="23"/>
      <c r="Q133" s="24"/>
    </row>
    <row r="134" spans="1:17" ht="45" hidden="1" customHeight="1">
      <c r="A134" s="140"/>
      <c r="B134" s="39">
        <v>0</v>
      </c>
      <c r="C134" s="21"/>
      <c r="D134" s="21"/>
      <c r="E134" s="21"/>
      <c r="F134" s="21"/>
      <c r="G134" s="21"/>
      <c r="H134" s="22">
        <v>0</v>
      </c>
      <c r="I134" s="22">
        <v>0</v>
      </c>
      <c r="J134" s="22">
        <v>0</v>
      </c>
      <c r="K134" s="22">
        <v>0</v>
      </c>
      <c r="L134" s="22">
        <v>0</v>
      </c>
      <c r="M134" s="22">
        <v>0</v>
      </c>
      <c r="N134" s="22">
        <v>0</v>
      </c>
      <c r="O134" s="23">
        <f t="shared" si="5"/>
        <v>0</v>
      </c>
      <c r="P134" s="23"/>
      <c r="Q134" s="24"/>
    </row>
    <row r="135" spans="1:17" ht="45" hidden="1" customHeight="1">
      <c r="A135" s="140"/>
      <c r="B135" s="39">
        <v>0</v>
      </c>
      <c r="C135" s="21"/>
      <c r="D135" s="21"/>
      <c r="E135" s="21"/>
      <c r="F135" s="21"/>
      <c r="G135" s="21"/>
      <c r="H135" s="22">
        <v>0</v>
      </c>
      <c r="I135" s="22">
        <v>0</v>
      </c>
      <c r="J135" s="22">
        <v>0</v>
      </c>
      <c r="K135" s="22">
        <v>0</v>
      </c>
      <c r="L135" s="22">
        <v>0</v>
      </c>
      <c r="M135" s="22">
        <v>0</v>
      </c>
      <c r="N135" s="22">
        <v>0</v>
      </c>
      <c r="O135" s="23">
        <f t="shared" si="5"/>
        <v>0</v>
      </c>
      <c r="P135" s="23"/>
      <c r="Q135" s="24"/>
    </row>
    <row r="136" spans="1:17" ht="45" hidden="1" customHeight="1">
      <c r="A136" s="140"/>
      <c r="B136" s="39">
        <v>0</v>
      </c>
      <c r="C136" s="21"/>
      <c r="D136" s="21"/>
      <c r="E136" s="21"/>
      <c r="F136" s="21"/>
      <c r="G136" s="21"/>
      <c r="H136" s="22">
        <v>0</v>
      </c>
      <c r="I136" s="22">
        <v>0</v>
      </c>
      <c r="J136" s="22">
        <v>0</v>
      </c>
      <c r="K136" s="22">
        <v>0</v>
      </c>
      <c r="L136" s="22">
        <v>0</v>
      </c>
      <c r="M136" s="22">
        <v>0</v>
      </c>
      <c r="N136" s="22">
        <v>0</v>
      </c>
      <c r="O136" s="23">
        <f t="shared" si="5"/>
        <v>0</v>
      </c>
      <c r="P136" s="23"/>
      <c r="Q136" s="24"/>
    </row>
    <row r="137" spans="1:17" ht="45" hidden="1" customHeight="1">
      <c r="A137" s="140"/>
      <c r="B137" s="39">
        <v>0</v>
      </c>
      <c r="C137" s="21"/>
      <c r="D137" s="21"/>
      <c r="E137" s="21"/>
      <c r="F137" s="21"/>
      <c r="G137" s="21"/>
      <c r="H137" s="22">
        <v>0</v>
      </c>
      <c r="I137" s="22">
        <v>0</v>
      </c>
      <c r="J137" s="22">
        <v>0</v>
      </c>
      <c r="K137" s="22">
        <v>0</v>
      </c>
      <c r="L137" s="22">
        <v>0</v>
      </c>
      <c r="M137" s="22">
        <v>0</v>
      </c>
      <c r="N137" s="22">
        <v>0</v>
      </c>
      <c r="O137" s="23">
        <f t="shared" si="5"/>
        <v>0</v>
      </c>
      <c r="P137" s="23"/>
      <c r="Q137" s="24"/>
    </row>
    <row r="138" spans="1:17" ht="45" hidden="1" customHeight="1">
      <c r="A138" s="140"/>
      <c r="B138" s="39">
        <v>0</v>
      </c>
      <c r="C138" s="21"/>
      <c r="D138" s="21"/>
      <c r="E138" s="21"/>
      <c r="F138" s="21"/>
      <c r="G138" s="21"/>
      <c r="H138" s="22">
        <v>0</v>
      </c>
      <c r="I138" s="22">
        <v>0</v>
      </c>
      <c r="J138" s="22">
        <v>0</v>
      </c>
      <c r="K138" s="22">
        <v>0</v>
      </c>
      <c r="L138" s="22">
        <v>0</v>
      </c>
      <c r="M138" s="22">
        <v>0</v>
      </c>
      <c r="N138" s="22">
        <v>0</v>
      </c>
      <c r="O138" s="23">
        <f t="shared" si="5"/>
        <v>0</v>
      </c>
      <c r="P138" s="23"/>
      <c r="Q138" s="24"/>
    </row>
    <row r="139" spans="1:17" ht="45" hidden="1" customHeight="1">
      <c r="A139" s="140"/>
      <c r="B139" s="39">
        <v>0</v>
      </c>
      <c r="C139" s="21"/>
      <c r="D139" s="21"/>
      <c r="E139" s="21"/>
      <c r="F139" s="21"/>
      <c r="G139" s="21"/>
      <c r="H139" s="22">
        <v>0</v>
      </c>
      <c r="I139" s="22">
        <v>0</v>
      </c>
      <c r="J139" s="22">
        <v>0</v>
      </c>
      <c r="K139" s="22">
        <v>0</v>
      </c>
      <c r="L139" s="22">
        <v>0</v>
      </c>
      <c r="M139" s="22">
        <v>0</v>
      </c>
      <c r="N139" s="22">
        <v>0</v>
      </c>
      <c r="O139" s="23">
        <f t="shared" si="5"/>
        <v>0</v>
      </c>
      <c r="P139" s="23"/>
      <c r="Q139" s="24"/>
    </row>
    <row r="140" spans="1:17" ht="45" hidden="1" customHeight="1">
      <c r="A140" s="140"/>
      <c r="B140" s="39">
        <v>0</v>
      </c>
      <c r="C140" s="21"/>
      <c r="D140" s="21"/>
      <c r="E140" s="21"/>
      <c r="F140" s="21"/>
      <c r="G140" s="21"/>
      <c r="H140" s="22">
        <v>0</v>
      </c>
      <c r="I140" s="22">
        <v>0</v>
      </c>
      <c r="J140" s="22">
        <v>0</v>
      </c>
      <c r="K140" s="22">
        <v>0</v>
      </c>
      <c r="L140" s="22">
        <v>0</v>
      </c>
      <c r="M140" s="22">
        <v>0</v>
      </c>
      <c r="N140" s="22">
        <v>0</v>
      </c>
      <c r="O140" s="23">
        <f t="shared" si="5"/>
        <v>0</v>
      </c>
      <c r="P140" s="23"/>
      <c r="Q140" s="24"/>
    </row>
    <row r="141" spans="1:17" ht="45" hidden="1" customHeight="1">
      <c r="A141" s="140"/>
      <c r="B141" s="39">
        <v>0</v>
      </c>
      <c r="C141" s="21"/>
      <c r="D141" s="21"/>
      <c r="E141" s="21"/>
      <c r="F141" s="21"/>
      <c r="G141" s="21"/>
      <c r="H141" s="22">
        <v>0</v>
      </c>
      <c r="I141" s="22">
        <v>0</v>
      </c>
      <c r="J141" s="22">
        <v>0</v>
      </c>
      <c r="K141" s="22">
        <v>0</v>
      </c>
      <c r="L141" s="22">
        <v>0</v>
      </c>
      <c r="M141" s="22">
        <v>0</v>
      </c>
      <c r="N141" s="22">
        <v>0</v>
      </c>
      <c r="O141" s="23">
        <f t="shared" si="5"/>
        <v>0</v>
      </c>
      <c r="P141" s="23"/>
      <c r="Q141" s="24"/>
    </row>
    <row r="142" spans="1:17" ht="45" hidden="1" customHeight="1">
      <c r="A142" s="140"/>
      <c r="B142" s="39">
        <v>0</v>
      </c>
      <c r="C142" s="21"/>
      <c r="D142" s="21"/>
      <c r="E142" s="21"/>
      <c r="F142" s="21"/>
      <c r="G142" s="21"/>
      <c r="H142" s="22">
        <v>0</v>
      </c>
      <c r="I142" s="22">
        <v>0</v>
      </c>
      <c r="J142" s="22">
        <v>0</v>
      </c>
      <c r="K142" s="22">
        <v>0</v>
      </c>
      <c r="L142" s="22">
        <v>0</v>
      </c>
      <c r="M142" s="22">
        <v>0</v>
      </c>
      <c r="N142" s="22">
        <v>0</v>
      </c>
      <c r="O142" s="23">
        <f t="shared" si="5"/>
        <v>0</v>
      </c>
      <c r="P142" s="23"/>
      <c r="Q142" s="24"/>
    </row>
    <row r="143" spans="1:17" ht="45" hidden="1" customHeight="1">
      <c r="A143" s="140"/>
      <c r="B143" s="39">
        <v>0</v>
      </c>
      <c r="C143" s="21"/>
      <c r="D143" s="21"/>
      <c r="E143" s="21"/>
      <c r="F143" s="21"/>
      <c r="G143" s="21"/>
      <c r="H143" s="22">
        <v>0</v>
      </c>
      <c r="I143" s="22">
        <v>0</v>
      </c>
      <c r="J143" s="22">
        <v>0</v>
      </c>
      <c r="K143" s="22">
        <v>0</v>
      </c>
      <c r="L143" s="22">
        <v>0</v>
      </c>
      <c r="M143" s="22">
        <v>0</v>
      </c>
      <c r="N143" s="22">
        <v>0</v>
      </c>
      <c r="O143" s="23">
        <f t="shared" si="5"/>
        <v>0</v>
      </c>
      <c r="P143" s="23"/>
      <c r="Q143" s="24"/>
    </row>
    <row r="144" spans="1:17" ht="45" hidden="1" customHeight="1">
      <c r="A144" s="140"/>
      <c r="B144" s="39">
        <v>0</v>
      </c>
      <c r="C144" s="21"/>
      <c r="D144" s="21"/>
      <c r="E144" s="21"/>
      <c r="F144" s="21"/>
      <c r="G144" s="21"/>
      <c r="H144" s="22">
        <v>0</v>
      </c>
      <c r="I144" s="22">
        <v>0</v>
      </c>
      <c r="J144" s="22">
        <v>0</v>
      </c>
      <c r="K144" s="22">
        <v>0</v>
      </c>
      <c r="L144" s="22">
        <v>0</v>
      </c>
      <c r="M144" s="22">
        <v>0</v>
      </c>
      <c r="N144" s="22">
        <v>0</v>
      </c>
      <c r="O144" s="23">
        <f t="shared" si="5"/>
        <v>0</v>
      </c>
      <c r="P144" s="23"/>
      <c r="Q144" s="24"/>
    </row>
    <row r="145" spans="1:17" ht="45" hidden="1" customHeight="1">
      <c r="A145" s="152"/>
      <c r="B145" s="39">
        <v>0</v>
      </c>
      <c r="C145" s="25"/>
      <c r="D145" s="25"/>
      <c r="E145" s="25"/>
      <c r="F145" s="25"/>
      <c r="G145" s="25"/>
      <c r="H145" s="36">
        <v>0</v>
      </c>
      <c r="I145" s="37">
        <v>0</v>
      </c>
      <c r="J145" s="37">
        <v>0</v>
      </c>
      <c r="K145" s="37">
        <v>0</v>
      </c>
      <c r="L145" s="37">
        <v>0</v>
      </c>
      <c r="M145" s="37">
        <v>0</v>
      </c>
      <c r="N145" s="37">
        <v>0</v>
      </c>
      <c r="O145" s="38">
        <f t="shared" si="5"/>
        <v>0</v>
      </c>
      <c r="P145" s="38"/>
      <c r="Q145" s="19"/>
    </row>
    <row r="146" spans="1:17" ht="45" hidden="1" customHeight="1">
      <c r="A146" s="153"/>
      <c r="B146" s="39">
        <v>0</v>
      </c>
      <c r="C146" s="21"/>
      <c r="D146" s="21"/>
      <c r="E146" s="21"/>
      <c r="F146" s="21"/>
      <c r="G146" s="21"/>
      <c r="H146" s="32">
        <v>0</v>
      </c>
      <c r="I146" s="22">
        <v>0</v>
      </c>
      <c r="J146" s="22">
        <v>0</v>
      </c>
      <c r="K146" s="22">
        <v>0</v>
      </c>
      <c r="L146" s="22">
        <v>0</v>
      </c>
      <c r="M146" s="22">
        <v>0</v>
      </c>
      <c r="N146" s="22">
        <v>0</v>
      </c>
      <c r="O146" s="23">
        <f t="shared" si="5"/>
        <v>0</v>
      </c>
      <c r="P146" s="23"/>
      <c r="Q146" s="24"/>
    </row>
    <row r="147" spans="1:17" ht="45" hidden="1" customHeight="1">
      <c r="A147" s="153"/>
      <c r="B147" s="39">
        <v>0</v>
      </c>
      <c r="C147" s="21"/>
      <c r="D147" s="21"/>
      <c r="E147" s="21"/>
      <c r="F147" s="21"/>
      <c r="G147" s="21"/>
      <c r="H147" s="32">
        <v>0</v>
      </c>
      <c r="I147" s="22">
        <v>0</v>
      </c>
      <c r="J147" s="22">
        <v>0</v>
      </c>
      <c r="K147" s="22">
        <v>0</v>
      </c>
      <c r="L147" s="22">
        <v>0</v>
      </c>
      <c r="M147" s="22">
        <v>0</v>
      </c>
      <c r="N147" s="22">
        <v>0</v>
      </c>
      <c r="O147" s="23">
        <f t="shared" si="5"/>
        <v>0.23809523809523808</v>
      </c>
      <c r="P147" s="23"/>
      <c r="Q147" s="24"/>
    </row>
    <row r="148" spans="1:17" ht="45" hidden="1" customHeight="1">
      <c r="A148" s="153"/>
      <c r="B148" s="39">
        <v>0</v>
      </c>
      <c r="C148" s="21"/>
      <c r="D148" s="21"/>
      <c r="E148" s="21"/>
      <c r="F148" s="21"/>
      <c r="G148" s="21"/>
      <c r="H148" s="32">
        <v>0</v>
      </c>
      <c r="I148" s="22">
        <v>0</v>
      </c>
      <c r="J148" s="22">
        <v>0</v>
      </c>
      <c r="K148" s="22">
        <v>0</v>
      </c>
      <c r="L148" s="22">
        <v>0</v>
      </c>
      <c r="M148" s="22">
        <v>0</v>
      </c>
      <c r="N148" s="22">
        <v>0</v>
      </c>
      <c r="O148" s="23">
        <f t="shared" si="5"/>
        <v>0.35714285714285715</v>
      </c>
      <c r="P148" s="23"/>
      <c r="Q148" s="24"/>
    </row>
    <row r="149" spans="1:17" ht="45" hidden="1" customHeight="1">
      <c r="A149" s="153"/>
      <c r="B149" s="39">
        <v>5</v>
      </c>
      <c r="C149" s="21"/>
      <c r="D149" s="21"/>
      <c r="E149" s="21"/>
      <c r="F149" s="21"/>
      <c r="G149" s="21"/>
      <c r="H149" s="32">
        <v>0</v>
      </c>
      <c r="I149" s="22">
        <v>0</v>
      </c>
      <c r="J149" s="22">
        <v>0</v>
      </c>
      <c r="K149" s="22">
        <v>0</v>
      </c>
      <c r="L149" s="22">
        <v>0</v>
      </c>
      <c r="M149" s="22">
        <v>0</v>
      </c>
      <c r="N149" s="22">
        <v>5</v>
      </c>
      <c r="O149" s="23">
        <f t="shared" si="5"/>
        <v>0.7142857142857143</v>
      </c>
      <c r="P149" s="23"/>
      <c r="Q149" s="24"/>
    </row>
  </sheetData>
  <autoFilter ref="A2:Q149" xr:uid="{6831539B-1EF2-456C-A99A-6624932F8169}">
    <filterColumn colId="0">
      <colorFilter dxfId="77"/>
    </filterColumn>
    <filterColumn colId="2">
      <filters>
        <filter val="Benjamin D"/>
      </filters>
    </filterColumn>
    <sortState xmlns:xlrd2="http://schemas.microsoft.com/office/spreadsheetml/2017/richdata2" ref="A3:Q149">
      <sortCondition ref="A2:A149"/>
    </sortState>
  </autoFilter>
  <mergeCells count="2">
    <mergeCell ref="J1:K1"/>
    <mergeCell ref="L1:N1"/>
  </mergeCells>
  <conditionalFormatting sqref="B3:B149">
    <cfRule type="iconSet" priority="1">
      <iconSet iconSet="5Rating">
        <cfvo type="percent" val="0"/>
        <cfvo type="percent" val="20"/>
        <cfvo type="percent" val="40"/>
        <cfvo type="percent" val="60"/>
        <cfvo type="percent" val="80"/>
      </iconSet>
    </cfRule>
  </conditionalFormatting>
  <conditionalFormatting sqref="H78:P889 J77:P77 H77 H4:P4 H3:O3 H6:P6 H5:O5 H8:P18 H7:O7 H20:P21 H19:O19 H23:P24 H22:O22 H27:P27 H25:O26 H29:P29 H28:O28 H31:P31 H30:O30 H33:P43 H32:O32 H46:P46 H44:O45 H50:P52 H47:O49 H60:P76 H53:O54 H56:O59 K55:O55 H55">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9" xr:uid="{40AD1FDC-4C2D-444F-9F9B-0D22E438D21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41092F5-7696-4F7A-8998-D050087E6D7D}">
          <x14:formula1>
            <xm:f>'Guide suivi GDP '!$E$14:$E$19</xm:f>
          </x14:formula1>
          <xm:sqref>F3:F149</xm:sqref>
        </x14:dataValidation>
        <x14:dataValidation type="list" allowBlank="1" showInputMessage="1" showErrorMessage="1" xr:uid="{F8F9FE3A-180E-4BD1-AA36-3BEB488B244F}">
          <x14:formula1>
            <xm:f>'Guide suivi GDP '!$E$20:$E$24</xm:f>
          </x14:formula1>
          <xm:sqref>E3:E149</xm:sqref>
        </x14:dataValidation>
        <x14:dataValidation type="list" allowBlank="1" showInputMessage="1" showErrorMessage="1" xr:uid="{6B5B2584-412A-4AB5-AA02-AA17C2F356CD}">
          <x14:formula1>
            <xm:f>'Guide suivi GDP '!$E$3:$E$8</xm:f>
          </x14:formula1>
          <xm:sqref>D3:D149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70AE-0BFC-4118-BFA2-1DC66AFD2289}">
  <dimension ref="A1:D52"/>
  <sheetViews>
    <sheetView workbookViewId="0">
      <selection activeCell="C5" sqref="C5"/>
    </sheetView>
  </sheetViews>
  <sheetFormatPr baseColWidth="10" defaultColWidth="9.140625" defaultRowHeight="12.75"/>
  <cols>
    <col min="1" max="1" width="36.28515625" bestFit="1" customWidth="1"/>
    <col min="2" max="2" width="16.28515625" bestFit="1" customWidth="1"/>
    <col min="3" max="3" width="255.7109375" bestFit="1" customWidth="1"/>
    <col min="4" max="5" width="128.5703125" bestFit="1" customWidth="1"/>
    <col min="6" max="6" width="62" bestFit="1" customWidth="1"/>
    <col min="7" max="7" width="43" bestFit="1" customWidth="1"/>
    <col min="8" max="8" width="72" bestFit="1" customWidth="1"/>
    <col min="9" max="9" width="138" bestFit="1" customWidth="1"/>
    <col min="10" max="10" width="77.5703125" bestFit="1" customWidth="1"/>
    <col min="11" max="11" width="97.28515625" bestFit="1" customWidth="1"/>
    <col min="12" max="12" width="126.7109375" bestFit="1" customWidth="1"/>
    <col min="13" max="13" width="6.140625" bestFit="1" customWidth="1"/>
    <col min="14" max="14" width="12.5703125" bestFit="1" customWidth="1"/>
    <col min="15" max="15" width="157.140625" bestFit="1" customWidth="1"/>
    <col min="16" max="16" width="163.85546875" bestFit="1" customWidth="1"/>
    <col min="17" max="17" width="25.28515625" bestFit="1" customWidth="1"/>
    <col min="18" max="18" width="94.140625" bestFit="1" customWidth="1"/>
    <col min="19" max="19" width="113" bestFit="1" customWidth="1"/>
    <col min="20" max="20" width="255.7109375" bestFit="1" customWidth="1"/>
    <col min="21" max="21" width="48.140625" bestFit="1" customWidth="1"/>
    <col min="22" max="22" width="126.7109375" bestFit="1" customWidth="1"/>
    <col min="23" max="23" width="255.7109375" bestFit="1" customWidth="1"/>
    <col min="24" max="24" width="39.42578125" bestFit="1" customWidth="1"/>
    <col min="25" max="25" width="136" bestFit="1" customWidth="1"/>
    <col min="26" max="26" width="170" bestFit="1" customWidth="1"/>
    <col min="27" max="27" width="87.42578125" bestFit="1" customWidth="1"/>
    <col min="28" max="28" width="194.28515625" bestFit="1" customWidth="1"/>
    <col min="29" max="29" width="135.85546875" bestFit="1" customWidth="1"/>
    <col min="30" max="30" width="34.7109375" bestFit="1" customWidth="1"/>
    <col min="31" max="31" width="34.140625" bestFit="1" customWidth="1"/>
    <col min="32" max="32" width="136.28515625" bestFit="1" customWidth="1"/>
    <col min="33" max="33" width="69.5703125" bestFit="1" customWidth="1"/>
    <col min="34" max="34" width="124.7109375" bestFit="1" customWidth="1"/>
    <col min="35" max="35" width="168.42578125" bestFit="1" customWidth="1"/>
    <col min="36" max="36" width="255.7109375" bestFit="1" customWidth="1"/>
    <col min="37" max="37" width="138" bestFit="1" customWidth="1"/>
    <col min="38" max="38" width="6.140625" bestFit="1" customWidth="1"/>
    <col min="39" max="39" width="12.5703125" bestFit="1" customWidth="1"/>
    <col min="40" max="40" width="168.42578125" bestFit="1" customWidth="1"/>
    <col min="41" max="41" width="138" bestFit="1" customWidth="1"/>
    <col min="42" max="42" width="6.140625" bestFit="1" customWidth="1"/>
    <col min="43" max="43" width="12.5703125" bestFit="1" customWidth="1"/>
  </cols>
  <sheetData>
    <row r="1" spans="1:4">
      <c r="A1" s="120" t="s">
        <v>598</v>
      </c>
      <c r="B1" t="s">
        <v>599</v>
      </c>
    </row>
    <row r="2" spans="1:4">
      <c r="A2" s="120" t="s">
        <v>86</v>
      </c>
      <c r="B2" t="s">
        <v>599</v>
      </c>
    </row>
    <row r="3" spans="1:4">
      <c r="A3" s="120" t="s">
        <v>600</v>
      </c>
      <c r="B3" t="s">
        <v>599</v>
      </c>
    </row>
    <row r="4" spans="1:4">
      <c r="A4" s="120" t="s">
        <v>601</v>
      </c>
      <c r="B4" t="s">
        <v>599</v>
      </c>
    </row>
    <row r="6" spans="1:4">
      <c r="A6" s="120" t="s">
        <v>85</v>
      </c>
      <c r="B6" s="120" t="s">
        <v>602</v>
      </c>
      <c r="C6" s="120" t="s">
        <v>603</v>
      </c>
      <c r="D6" s="120" t="s">
        <v>604</v>
      </c>
    </row>
    <row r="7" spans="1:4">
      <c r="A7" t="s">
        <v>605</v>
      </c>
      <c r="B7" t="s">
        <v>606</v>
      </c>
      <c r="C7" t="s">
        <v>607</v>
      </c>
      <c r="D7" t="s">
        <v>607</v>
      </c>
    </row>
    <row r="8" spans="1:4">
      <c r="A8" t="s">
        <v>608</v>
      </c>
      <c r="B8" t="s">
        <v>609</v>
      </c>
      <c r="C8" t="s">
        <v>610</v>
      </c>
      <c r="D8" t="s">
        <v>607</v>
      </c>
    </row>
    <row r="9" spans="1:4">
      <c r="A9" t="s">
        <v>611</v>
      </c>
      <c r="B9" t="s">
        <v>612</v>
      </c>
      <c r="C9" t="s">
        <v>613</v>
      </c>
      <c r="D9" t="s">
        <v>614</v>
      </c>
    </row>
    <row r="10" spans="1:4">
      <c r="A10" t="s">
        <v>615</v>
      </c>
      <c r="B10" t="s">
        <v>616</v>
      </c>
      <c r="C10" t="s">
        <v>607</v>
      </c>
      <c r="D10" t="s">
        <v>607</v>
      </c>
    </row>
    <row r="11" spans="1:4">
      <c r="A11" t="s">
        <v>617</v>
      </c>
      <c r="B11" t="s">
        <v>618</v>
      </c>
      <c r="C11" t="s">
        <v>619</v>
      </c>
      <c r="D11" t="s">
        <v>607</v>
      </c>
    </row>
    <row r="12" spans="1:4">
      <c r="A12" t="s">
        <v>620</v>
      </c>
      <c r="B12" t="s">
        <v>621</v>
      </c>
      <c r="C12" t="s">
        <v>622</v>
      </c>
      <c r="D12" t="s">
        <v>623</v>
      </c>
    </row>
    <row r="13" spans="1:4">
      <c r="A13" t="s">
        <v>624</v>
      </c>
      <c r="B13" t="s">
        <v>625</v>
      </c>
      <c r="C13" t="s">
        <v>626</v>
      </c>
      <c r="D13" t="s">
        <v>627</v>
      </c>
    </row>
    <row r="14" spans="1:4">
      <c r="A14" t="s">
        <v>628</v>
      </c>
      <c r="B14" t="s">
        <v>629</v>
      </c>
      <c r="C14" t="s">
        <v>607</v>
      </c>
      <c r="D14" t="s">
        <v>607</v>
      </c>
    </row>
    <row r="15" spans="1:4">
      <c r="A15" t="s">
        <v>630</v>
      </c>
      <c r="B15" t="s">
        <v>631</v>
      </c>
      <c r="C15" t="s">
        <v>632</v>
      </c>
      <c r="D15" t="s">
        <v>607</v>
      </c>
    </row>
    <row r="16" spans="1:4">
      <c r="A16" t="s">
        <v>633</v>
      </c>
      <c r="B16" t="s">
        <v>634</v>
      </c>
      <c r="C16" t="s">
        <v>635</v>
      </c>
      <c r="D16" t="s">
        <v>607</v>
      </c>
    </row>
    <row r="17" spans="1:4">
      <c r="A17" t="s">
        <v>125</v>
      </c>
      <c r="B17" t="s">
        <v>636</v>
      </c>
      <c r="C17" t="s">
        <v>637</v>
      </c>
      <c r="D17" t="s">
        <v>607</v>
      </c>
    </row>
    <row r="18" spans="1:4">
      <c r="A18" t="s">
        <v>141</v>
      </c>
      <c r="B18" t="s">
        <v>607</v>
      </c>
      <c r="C18" t="s">
        <v>638</v>
      </c>
      <c r="D18" t="s">
        <v>607</v>
      </c>
    </row>
    <row r="19" spans="1:4">
      <c r="A19" t="s">
        <v>639</v>
      </c>
      <c r="B19" t="s">
        <v>607</v>
      </c>
      <c r="C19" t="s">
        <v>607</v>
      </c>
      <c r="D19" t="s">
        <v>607</v>
      </c>
    </row>
    <row r="20" spans="1:4">
      <c r="A20" t="s">
        <v>154</v>
      </c>
      <c r="B20" t="s">
        <v>640</v>
      </c>
      <c r="C20" t="s">
        <v>641</v>
      </c>
      <c r="D20" t="s">
        <v>642</v>
      </c>
    </row>
    <row r="21" spans="1:4">
      <c r="A21" t="s">
        <v>643</v>
      </c>
      <c r="B21" t="s">
        <v>644</v>
      </c>
      <c r="C21" t="s">
        <v>645</v>
      </c>
      <c r="D21" t="s">
        <v>607</v>
      </c>
    </row>
    <row r="22" spans="1:4">
      <c r="A22" t="s">
        <v>646</v>
      </c>
      <c r="B22" t="s">
        <v>607</v>
      </c>
      <c r="C22" t="s">
        <v>607</v>
      </c>
      <c r="D22" t="s">
        <v>647</v>
      </c>
    </row>
    <row r="23" spans="1:4">
      <c r="A23" t="s">
        <v>648</v>
      </c>
      <c r="B23" t="s">
        <v>607</v>
      </c>
      <c r="C23" t="s">
        <v>649</v>
      </c>
      <c r="D23" t="s">
        <v>607</v>
      </c>
    </row>
    <row r="24" spans="1:4">
      <c r="A24" t="s">
        <v>650</v>
      </c>
      <c r="B24" t="s">
        <v>651</v>
      </c>
      <c r="C24" t="s">
        <v>652</v>
      </c>
      <c r="D24" t="s">
        <v>607</v>
      </c>
    </row>
    <row r="25" spans="1:4">
      <c r="A25" t="s">
        <v>653</v>
      </c>
      <c r="B25" t="s">
        <v>654</v>
      </c>
      <c r="C25" t="s">
        <v>607</v>
      </c>
      <c r="D25" t="s">
        <v>607</v>
      </c>
    </row>
    <row r="26" spans="1:4">
      <c r="A26" t="s">
        <v>655</v>
      </c>
      <c r="B26" t="s">
        <v>656</v>
      </c>
      <c r="C26" t="s">
        <v>657</v>
      </c>
      <c r="D26" t="s">
        <v>607</v>
      </c>
    </row>
    <row r="27" spans="1:4">
      <c r="A27" t="s">
        <v>658</v>
      </c>
      <c r="B27" t="s">
        <v>659</v>
      </c>
      <c r="C27" t="s">
        <v>660</v>
      </c>
      <c r="D27" t="s">
        <v>661</v>
      </c>
    </row>
    <row r="28" spans="1:4">
      <c r="A28" t="s">
        <v>662</v>
      </c>
      <c r="B28" t="s">
        <v>663</v>
      </c>
      <c r="C28" t="s">
        <v>664</v>
      </c>
      <c r="D28" t="s">
        <v>607</v>
      </c>
    </row>
    <row r="29" spans="1:4">
      <c r="A29" t="s">
        <v>665</v>
      </c>
      <c r="B29" t="s">
        <v>666</v>
      </c>
    </row>
    <row r="30" spans="1:4">
      <c r="A30" t="s">
        <v>667</v>
      </c>
      <c r="B30" t="s">
        <v>668</v>
      </c>
      <c r="C30" t="s">
        <v>669</v>
      </c>
      <c r="D30" t="s">
        <v>607</v>
      </c>
    </row>
    <row r="31" spans="1:4">
      <c r="A31" t="s">
        <v>670</v>
      </c>
      <c r="B31" t="s">
        <v>607</v>
      </c>
      <c r="C31" t="s">
        <v>607</v>
      </c>
      <c r="D31" t="s">
        <v>607</v>
      </c>
    </row>
    <row r="32" spans="1:4">
      <c r="A32" t="s">
        <v>671</v>
      </c>
      <c r="B32" t="s">
        <v>672</v>
      </c>
      <c r="C32" t="s">
        <v>673</v>
      </c>
      <c r="D32" t="s">
        <v>607</v>
      </c>
    </row>
    <row r="33" spans="1:4">
      <c r="A33" t="s">
        <v>674</v>
      </c>
      <c r="B33" t="s">
        <v>675</v>
      </c>
      <c r="C33" t="s">
        <v>676</v>
      </c>
      <c r="D33" t="s">
        <v>607</v>
      </c>
    </row>
    <row r="34" spans="1:4">
      <c r="A34" t="s">
        <v>677</v>
      </c>
      <c r="B34" t="s">
        <v>678</v>
      </c>
      <c r="C34" t="s">
        <v>679</v>
      </c>
      <c r="D34" t="s">
        <v>607</v>
      </c>
    </row>
    <row r="35" spans="1:4">
      <c r="A35" t="s">
        <v>680</v>
      </c>
      <c r="B35" t="s">
        <v>681</v>
      </c>
      <c r="C35" t="s">
        <v>682</v>
      </c>
      <c r="D35" t="s">
        <v>607</v>
      </c>
    </row>
    <row r="36" spans="1:4">
      <c r="A36" t="s">
        <v>683</v>
      </c>
      <c r="B36" t="s">
        <v>607</v>
      </c>
      <c r="C36" t="s">
        <v>684</v>
      </c>
      <c r="D36" t="s">
        <v>685</v>
      </c>
    </row>
    <row r="37" spans="1:4">
      <c r="A37" t="s">
        <v>152</v>
      </c>
      <c r="B37" t="s">
        <v>686</v>
      </c>
      <c r="C37" t="s">
        <v>687</v>
      </c>
      <c r="D37" t="s">
        <v>607</v>
      </c>
    </row>
    <row r="38" spans="1:4">
      <c r="A38" t="s">
        <v>688</v>
      </c>
      <c r="B38" t="s">
        <v>689</v>
      </c>
      <c r="C38" t="s">
        <v>607</v>
      </c>
      <c r="D38" t="s">
        <v>607</v>
      </c>
    </row>
    <row r="39" spans="1:4">
      <c r="A39" t="s">
        <v>690</v>
      </c>
      <c r="B39" t="s">
        <v>691</v>
      </c>
      <c r="C39" t="s">
        <v>692</v>
      </c>
      <c r="D39" t="s">
        <v>607</v>
      </c>
    </row>
    <row r="40" spans="1:4">
      <c r="A40" t="s">
        <v>693</v>
      </c>
      <c r="B40" t="s">
        <v>694</v>
      </c>
      <c r="C40" t="s">
        <v>695</v>
      </c>
      <c r="D40" t="s">
        <v>607</v>
      </c>
    </row>
    <row r="41" spans="1:4">
      <c r="A41" t="s">
        <v>696</v>
      </c>
      <c r="B41" t="s">
        <v>607</v>
      </c>
      <c r="C41" t="s">
        <v>607</v>
      </c>
      <c r="D41" t="s">
        <v>607</v>
      </c>
    </row>
    <row r="42" spans="1:4">
      <c r="A42" t="s">
        <v>697</v>
      </c>
      <c r="B42" t="s">
        <v>698</v>
      </c>
      <c r="C42" t="s">
        <v>699</v>
      </c>
      <c r="D42" t="s">
        <v>607</v>
      </c>
    </row>
    <row r="43" spans="1:4">
      <c r="A43" t="s">
        <v>143</v>
      </c>
      <c r="B43" t="s">
        <v>607</v>
      </c>
      <c r="C43" t="s">
        <v>607</v>
      </c>
      <c r="D43" t="s">
        <v>607</v>
      </c>
    </row>
    <row r="44" spans="1:4">
      <c r="A44" t="s">
        <v>246</v>
      </c>
      <c r="B44" t="s">
        <v>700</v>
      </c>
      <c r="C44" t="s">
        <v>701</v>
      </c>
      <c r="D44" t="s">
        <v>702</v>
      </c>
    </row>
    <row r="45" spans="1:4">
      <c r="A45" t="s">
        <v>703</v>
      </c>
      <c r="B45" t="s">
        <v>607</v>
      </c>
      <c r="C45" t="s">
        <v>704</v>
      </c>
      <c r="D45" t="s">
        <v>607</v>
      </c>
    </row>
    <row r="46" spans="1:4">
      <c r="A46" t="s">
        <v>705</v>
      </c>
      <c r="B46" t="s">
        <v>607</v>
      </c>
      <c r="C46" t="s">
        <v>706</v>
      </c>
      <c r="D46" t="s">
        <v>607</v>
      </c>
    </row>
    <row r="47" spans="1:4">
      <c r="A47" t="s">
        <v>707</v>
      </c>
      <c r="B47" t="s">
        <v>607</v>
      </c>
      <c r="C47" t="s">
        <v>607</v>
      </c>
      <c r="D47" t="s">
        <v>607</v>
      </c>
    </row>
    <row r="48" spans="1:4">
      <c r="A48" t="s">
        <v>708</v>
      </c>
      <c r="B48" t="s">
        <v>709</v>
      </c>
      <c r="C48" t="s">
        <v>710</v>
      </c>
      <c r="D48" t="s">
        <v>607</v>
      </c>
    </row>
    <row r="49" spans="1:4">
      <c r="A49" t="s">
        <v>711</v>
      </c>
      <c r="B49" t="s">
        <v>607</v>
      </c>
      <c r="C49" t="s">
        <v>712</v>
      </c>
      <c r="D49" t="s">
        <v>607</v>
      </c>
    </row>
    <row r="50" spans="1:4">
      <c r="A50" t="s">
        <v>713</v>
      </c>
      <c r="B50" t="s">
        <v>714</v>
      </c>
      <c r="C50" t="s">
        <v>715</v>
      </c>
      <c r="D50" t="s">
        <v>607</v>
      </c>
    </row>
    <row r="51" spans="1:4">
      <c r="A51" t="s">
        <v>607</v>
      </c>
      <c r="B51" t="s">
        <v>607</v>
      </c>
      <c r="C51" t="s">
        <v>607</v>
      </c>
      <c r="D51" t="s">
        <v>607</v>
      </c>
    </row>
    <row r="52" spans="1:4">
      <c r="A52" t="s">
        <v>716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02BA-561E-4DCB-9536-28EA9CF1990B}">
  <sheetPr>
    <tabColor rgb="FF92D050"/>
  </sheetPr>
  <dimension ref="A1:AS150"/>
  <sheetViews>
    <sheetView workbookViewId="0">
      <pane xSplit="4" ySplit="3" topLeftCell="I6" activePane="bottomRight" state="frozen"/>
      <selection pane="topRight"/>
      <selection pane="bottomLeft"/>
      <selection pane="bottomRight" activeCell="I6" sqref="I6"/>
    </sheetView>
  </sheetViews>
  <sheetFormatPr baseColWidth="10" defaultColWidth="9.140625" defaultRowHeight="12.75" outlineLevelCol="1"/>
  <cols>
    <col min="1" max="1" width="1.85546875" style="13" customWidth="1"/>
    <col min="2" max="2" width="9.140625" style="13" customWidth="1"/>
    <col min="3" max="3" width="12.42578125" style="13" customWidth="1"/>
    <col min="4" max="4" width="20.5703125" style="26" customWidth="1"/>
    <col min="5" max="6" width="9.140625" style="26" customWidth="1"/>
    <col min="7" max="7" width="13.5703125" style="26" customWidth="1"/>
    <col min="8" max="8" width="14.85546875" style="26" customWidth="1"/>
    <col min="9" max="9" width="33.7109375" style="98" customWidth="1"/>
    <col min="10" max="10" width="34.42578125" style="98" customWidth="1"/>
    <col min="11" max="11" width="39.28515625" style="98" customWidth="1"/>
    <col min="12" max="12" width="16.7109375" style="26" customWidth="1"/>
    <col min="13" max="13" width="33.42578125" style="26" customWidth="1"/>
    <col min="14" max="14" width="10.140625" style="26" customWidth="1"/>
    <col min="15" max="16" width="12.28515625" style="5" customWidth="1" outlineLevel="1"/>
    <col min="17" max="17" width="11.7109375" style="5" customWidth="1" outlineLevel="1"/>
    <col min="18" max="18" width="17.42578125" style="5" customWidth="1" outlineLevel="1"/>
    <col min="19" max="19" width="9.140625" style="27" customWidth="1"/>
    <col min="20" max="20" width="20" style="26" hidden="1" customWidth="1" outlineLevel="1" collapsed="1"/>
    <col min="21" max="21" width="17.7109375" style="26" hidden="1" customWidth="1" outlineLevel="1"/>
    <col min="22" max="22" width="13.28515625" style="26" hidden="1" customWidth="1" outlineLevel="1"/>
    <col min="23" max="23" width="11.140625" style="26" hidden="1" customWidth="1" outlineLevel="1"/>
    <col min="24" max="24" width="11.7109375" style="26" hidden="1" customWidth="1" outlineLevel="1"/>
    <col min="25" max="25" width="12.28515625" style="26" hidden="1" customWidth="1" outlineLevel="1"/>
    <col min="26" max="26" width="18" style="26" hidden="1" customWidth="1" outlineLevel="1"/>
    <col min="27" max="27" width="9.42578125" style="13" customWidth="1" collapsed="1"/>
    <col min="28" max="28" width="28.5703125" style="13" hidden="1" customWidth="1" outlineLevel="1"/>
    <col min="29" max="29" width="21.42578125" style="13" hidden="1" customWidth="1" outlineLevel="1"/>
    <col min="30" max="30" width="26.85546875" style="13" hidden="1" customWidth="1" outlineLevel="1"/>
    <col min="31" max="32" width="30" style="26" hidden="1" customWidth="1" outlineLevel="1"/>
    <col min="33" max="33" width="33.5703125" style="13" hidden="1" customWidth="1" outlineLevel="1"/>
    <col min="34" max="34" width="2" style="13" customWidth="1" collapsed="1"/>
    <col min="35" max="35" width="44.28515625" style="26" customWidth="1"/>
    <col min="36" max="36" width="10.85546875" style="74" customWidth="1" outlineLevel="1"/>
    <col min="37" max="37" width="13.85546875" style="13" customWidth="1" outlineLevel="1"/>
    <col min="38" max="38" width="9.85546875" style="13" customWidth="1" outlineLevel="1"/>
    <col min="39" max="39" width="8.7109375" style="13" customWidth="1" outlineLevel="1"/>
    <col min="40" max="40" width="23.28515625" style="13" customWidth="1" outlineLevel="1"/>
    <col min="41" max="41" width="9.5703125" style="13" customWidth="1" outlineLevel="1"/>
    <col min="42" max="42" width="9.28515625" style="13" customWidth="1" outlineLevel="1"/>
    <col min="43" max="45" width="9.140625" style="13" customWidth="1" outlineLevel="1"/>
    <col min="46" max="46" width="9.140625" style="13" customWidth="1"/>
    <col min="47" max="16384" width="9.140625" style="13"/>
  </cols>
  <sheetData>
    <row r="1" spans="1:45" s="78" customFormat="1" ht="23.25" customHeight="1">
      <c r="B1" s="88" t="s">
        <v>717</v>
      </c>
      <c r="C1" s="99">
        <v>45924</v>
      </c>
      <c r="D1" s="88" t="s">
        <v>718</v>
      </c>
      <c r="E1" s="82"/>
      <c r="F1" s="82"/>
      <c r="G1" s="204" t="s">
        <v>719</v>
      </c>
      <c r="H1" s="204"/>
      <c r="I1" s="204"/>
      <c r="J1" s="204"/>
      <c r="K1" s="205"/>
      <c r="L1" s="202" t="s">
        <v>720</v>
      </c>
      <c r="M1" s="202"/>
      <c r="N1" s="202"/>
      <c r="O1" s="202"/>
      <c r="P1" s="202"/>
      <c r="Q1" s="202"/>
      <c r="R1" s="203"/>
      <c r="S1" s="79"/>
      <c r="T1" s="79" t="s">
        <v>721</v>
      </c>
      <c r="U1" s="80"/>
      <c r="V1" s="80"/>
      <c r="W1" s="80"/>
      <c r="X1" s="80"/>
      <c r="Y1" s="80"/>
      <c r="Z1" s="80"/>
      <c r="AA1" s="80"/>
      <c r="AB1" s="77" t="s">
        <v>721</v>
      </c>
      <c r="AC1" s="81"/>
      <c r="AD1" s="81"/>
      <c r="AE1" s="81"/>
      <c r="AF1" s="81"/>
      <c r="AG1" s="81"/>
      <c r="AI1" s="207" t="s">
        <v>722</v>
      </c>
      <c r="AJ1" s="207"/>
      <c r="AK1" s="207"/>
      <c r="AL1" s="207"/>
      <c r="AM1" s="207"/>
      <c r="AN1" s="208"/>
      <c r="AO1" s="206" t="s">
        <v>723</v>
      </c>
      <c r="AP1" s="206"/>
      <c r="AQ1" s="206"/>
      <c r="AR1" s="206"/>
      <c r="AS1" s="206"/>
    </row>
    <row r="2" spans="1:45" s="78" customFormat="1" ht="19.5" customHeight="1">
      <c r="A2" s="82"/>
      <c r="B2" s="82"/>
      <c r="C2" s="82"/>
      <c r="D2" s="87">
        <f>SUBTOTAL(3,D4:D150)</f>
        <v>42</v>
      </c>
      <c r="E2" s="101">
        <f>SUBTOTAL(1,E4:E151)</f>
        <v>3.161290322580645</v>
      </c>
      <c r="F2" s="101">
        <f>SUBTOTAL(1,F4:F151)</f>
        <v>3.629032258064516</v>
      </c>
      <c r="G2" s="204"/>
      <c r="H2" s="204"/>
      <c r="I2" s="204"/>
      <c r="J2" s="204"/>
      <c r="K2" s="205"/>
      <c r="L2" s="202"/>
      <c r="M2" s="202"/>
      <c r="N2" s="202"/>
      <c r="O2" s="202"/>
      <c r="P2" s="202"/>
      <c r="Q2" s="202"/>
      <c r="R2" s="203"/>
      <c r="S2" s="83"/>
      <c r="T2" s="156" t="s">
        <v>68</v>
      </c>
      <c r="U2" s="156" t="s">
        <v>69</v>
      </c>
      <c r="V2" s="209" t="s">
        <v>71</v>
      </c>
      <c r="W2" s="209"/>
      <c r="X2" s="209" t="s">
        <v>76</v>
      </c>
      <c r="Y2" s="209"/>
      <c r="Z2" s="209"/>
      <c r="AA2" s="84">
        <f>SUBTOTAL(1,AA4:AA31)</f>
        <v>0</v>
      </c>
      <c r="AB2" s="81"/>
      <c r="AC2" s="81"/>
      <c r="AD2" s="81"/>
      <c r="AE2" s="81"/>
      <c r="AF2" s="81"/>
      <c r="AG2" s="81"/>
      <c r="AI2" s="85"/>
      <c r="AJ2" s="76">
        <f t="shared" ref="AJ2" si="0">SUBTOTAL(9,AJ4:AJ492)</f>
        <v>240</v>
      </c>
      <c r="AK2" s="75"/>
      <c r="AL2" s="76">
        <f>SUBTOTAL(9,AL4:AL492)</f>
        <v>370</v>
      </c>
      <c r="AM2" s="76">
        <f>SUBTOTAL(9,AM4:AM492)</f>
        <v>1870</v>
      </c>
      <c r="AN2" s="75"/>
      <c r="AO2" s="89">
        <f>SUBTOTAL(3,AO4:AO492)</f>
        <v>29</v>
      </c>
      <c r="AP2" s="89">
        <f t="shared" ref="AP2:AS2" si="1">SUBTOTAL(3,AP4:AP492)</f>
        <v>36</v>
      </c>
      <c r="AQ2" s="89">
        <f t="shared" si="1"/>
        <v>12</v>
      </c>
      <c r="AR2" s="89">
        <f t="shared" si="1"/>
        <v>8</v>
      </c>
      <c r="AS2" s="89">
        <f t="shared" si="1"/>
        <v>19</v>
      </c>
    </row>
    <row r="3" spans="1:45" ht="76.5">
      <c r="A3" s="72" t="s">
        <v>724</v>
      </c>
      <c r="B3" s="72" t="s">
        <v>725</v>
      </c>
      <c r="C3" s="72" t="s">
        <v>598</v>
      </c>
      <c r="D3" s="72" t="s">
        <v>85</v>
      </c>
      <c r="E3" s="73" t="s">
        <v>726</v>
      </c>
      <c r="F3" s="73" t="s">
        <v>727</v>
      </c>
      <c r="G3" s="72" t="s">
        <v>728</v>
      </c>
      <c r="H3" s="72" t="s">
        <v>601</v>
      </c>
      <c r="I3" s="97" t="s">
        <v>602</v>
      </c>
      <c r="J3" s="97" t="s">
        <v>603</v>
      </c>
      <c r="K3" s="97" t="s">
        <v>604</v>
      </c>
      <c r="L3" s="73" t="s">
        <v>729</v>
      </c>
      <c r="M3" s="73" t="s">
        <v>730</v>
      </c>
      <c r="N3" s="73" t="s">
        <v>229</v>
      </c>
      <c r="O3" s="73" t="s">
        <v>86</v>
      </c>
      <c r="P3" s="73" t="s">
        <v>731</v>
      </c>
      <c r="Q3" s="73" t="s">
        <v>732</v>
      </c>
      <c r="R3" s="73" t="s">
        <v>733</v>
      </c>
      <c r="S3" s="73" t="s">
        <v>734</v>
      </c>
      <c r="T3" s="73" t="s">
        <v>90</v>
      </c>
      <c r="U3" s="73" t="s">
        <v>91</v>
      </c>
      <c r="V3" s="73" t="s">
        <v>92</v>
      </c>
      <c r="W3" s="73" t="s">
        <v>93</v>
      </c>
      <c r="X3" s="73" t="s">
        <v>94</v>
      </c>
      <c r="Y3" s="73" t="s">
        <v>95</v>
      </c>
      <c r="Z3" s="73" t="s">
        <v>96</v>
      </c>
      <c r="AA3" s="73" t="s">
        <v>80</v>
      </c>
      <c r="AB3" s="72" t="s">
        <v>735</v>
      </c>
      <c r="AC3" s="72" t="s">
        <v>736</v>
      </c>
      <c r="AD3" s="72" t="s">
        <v>737</v>
      </c>
      <c r="AE3" s="72" t="s">
        <v>738</v>
      </c>
      <c r="AF3" s="72" t="s">
        <v>739</v>
      </c>
      <c r="AG3" s="72" t="s">
        <v>740</v>
      </c>
      <c r="AH3" s="72"/>
      <c r="AI3" s="72" t="s">
        <v>741</v>
      </c>
      <c r="AJ3" s="102" t="s">
        <v>742</v>
      </c>
      <c r="AK3" s="72" t="s">
        <v>743</v>
      </c>
      <c r="AL3" s="103" t="s">
        <v>744</v>
      </c>
      <c r="AM3" s="103" t="s">
        <v>745</v>
      </c>
      <c r="AN3" s="72" t="s">
        <v>746</v>
      </c>
      <c r="AO3" s="102" t="s">
        <v>85</v>
      </c>
      <c r="AP3" s="102" t="s">
        <v>747</v>
      </c>
      <c r="AQ3" s="102" t="s">
        <v>748</v>
      </c>
      <c r="AR3" s="102" t="s">
        <v>749</v>
      </c>
      <c r="AS3" s="102" t="s">
        <v>750</v>
      </c>
    </row>
    <row r="4" spans="1:45" ht="45" customHeight="1">
      <c r="A4" s="153">
        <v>1</v>
      </c>
      <c r="B4" s="153" t="s">
        <v>57</v>
      </c>
      <c r="C4" s="153" t="s">
        <v>61</v>
      </c>
      <c r="D4" s="153" t="s">
        <v>653</v>
      </c>
      <c r="E4" s="59">
        <v>4</v>
      </c>
      <c r="F4" s="59">
        <v>4</v>
      </c>
      <c r="G4" s="90">
        <v>45922</v>
      </c>
      <c r="H4" s="90">
        <v>45923</v>
      </c>
      <c r="I4" s="93" t="s">
        <v>751</v>
      </c>
      <c r="J4" s="94"/>
      <c r="K4" s="94"/>
      <c r="L4" s="69"/>
      <c r="M4" s="69" t="s">
        <v>752</v>
      </c>
      <c r="N4" s="39">
        <v>2</v>
      </c>
      <c r="O4" s="141" t="s">
        <v>753</v>
      </c>
      <c r="P4" s="141" t="s">
        <v>754</v>
      </c>
      <c r="Q4" s="141" t="s">
        <v>26</v>
      </c>
      <c r="R4" s="141" t="s">
        <v>48</v>
      </c>
      <c r="S4" s="141"/>
      <c r="T4" s="29">
        <v>0</v>
      </c>
      <c r="U4" s="145">
        <v>0</v>
      </c>
      <c r="V4" s="145">
        <v>0</v>
      </c>
      <c r="W4" s="145">
        <v>0</v>
      </c>
      <c r="X4" s="145">
        <v>0</v>
      </c>
      <c r="Y4" s="145">
        <v>0</v>
      </c>
      <c r="Z4" s="145">
        <v>0</v>
      </c>
      <c r="AA4" s="142">
        <f t="shared" ref="AA4:AA35" si="2">AVERAGE(T4:Z4)</f>
        <v>0</v>
      </c>
      <c r="AB4" s="141"/>
      <c r="AC4" s="67"/>
      <c r="AD4" s="67"/>
      <c r="AE4" s="24"/>
      <c r="AF4" s="24"/>
      <c r="AG4" s="24"/>
      <c r="AH4" s="71"/>
      <c r="AI4" s="69" t="s">
        <v>755</v>
      </c>
      <c r="AJ4" s="141">
        <v>5</v>
      </c>
      <c r="AK4" s="141" t="s">
        <v>756</v>
      </c>
      <c r="AL4" s="141"/>
      <c r="AM4" s="141"/>
      <c r="AN4" s="141"/>
      <c r="AO4" s="141"/>
      <c r="AP4" s="141" t="s">
        <v>757</v>
      </c>
      <c r="AQ4" s="141"/>
      <c r="AR4" s="141"/>
      <c r="AS4" s="141"/>
    </row>
    <row r="5" spans="1:45" ht="45" customHeight="1">
      <c r="A5" s="153">
        <v>2</v>
      </c>
      <c r="B5" s="153" t="s">
        <v>57</v>
      </c>
      <c r="C5" s="153" t="s">
        <v>61</v>
      </c>
      <c r="D5" s="28" t="s">
        <v>708</v>
      </c>
      <c r="E5" s="60">
        <v>2.5</v>
      </c>
      <c r="F5" s="60">
        <v>5</v>
      </c>
      <c r="G5" s="90"/>
      <c r="H5" s="90">
        <v>45953</v>
      </c>
      <c r="I5" s="93"/>
      <c r="J5" s="95" t="s">
        <v>710</v>
      </c>
      <c r="K5" s="95"/>
      <c r="L5" s="69"/>
      <c r="M5" s="69" t="s">
        <v>758</v>
      </c>
      <c r="N5" s="39">
        <v>2</v>
      </c>
      <c r="O5" s="141" t="s">
        <v>753</v>
      </c>
      <c r="P5" s="141" t="s">
        <v>759</v>
      </c>
      <c r="Q5" s="141" t="s">
        <v>26</v>
      </c>
      <c r="R5" s="21"/>
      <c r="S5" s="141"/>
      <c r="T5" s="29">
        <v>0</v>
      </c>
      <c r="U5" s="145">
        <v>0</v>
      </c>
      <c r="V5" s="145">
        <v>0</v>
      </c>
      <c r="W5" s="145">
        <v>0</v>
      </c>
      <c r="X5" s="145">
        <v>0</v>
      </c>
      <c r="Y5" s="145">
        <v>0</v>
      </c>
      <c r="Z5" s="145">
        <v>0</v>
      </c>
      <c r="AA5" s="142">
        <f t="shared" si="2"/>
        <v>0</v>
      </c>
      <c r="AB5" s="141"/>
      <c r="AC5" s="67"/>
      <c r="AD5" s="67"/>
      <c r="AE5" s="24"/>
      <c r="AF5" s="24"/>
      <c r="AG5" s="24"/>
      <c r="AH5" s="71"/>
      <c r="AI5" s="69" t="s">
        <v>760</v>
      </c>
      <c r="AJ5" s="141">
        <v>5</v>
      </c>
      <c r="AK5" s="141" t="s">
        <v>761</v>
      </c>
      <c r="AL5" s="141"/>
      <c r="AM5" s="141"/>
      <c r="AN5" s="141"/>
      <c r="AO5" s="141" t="s">
        <v>757</v>
      </c>
      <c r="AP5" s="141" t="s">
        <v>757</v>
      </c>
      <c r="AQ5" s="141" t="s">
        <v>757</v>
      </c>
      <c r="AR5" s="141"/>
      <c r="AS5" s="141"/>
    </row>
    <row r="6" spans="1:45" ht="45" customHeight="1">
      <c r="A6" s="153">
        <v>3</v>
      </c>
      <c r="B6" s="153" t="s">
        <v>57</v>
      </c>
      <c r="C6" s="153" t="s">
        <v>61</v>
      </c>
      <c r="D6" s="28" t="s">
        <v>670</v>
      </c>
      <c r="E6" s="59">
        <v>1</v>
      </c>
      <c r="F6" s="59">
        <v>4</v>
      </c>
      <c r="G6" s="90" t="s">
        <v>762</v>
      </c>
      <c r="H6" s="90" t="s">
        <v>762</v>
      </c>
      <c r="I6" s="93"/>
      <c r="J6" s="96"/>
      <c r="K6" s="96"/>
      <c r="L6" s="69"/>
      <c r="M6" s="69" t="s">
        <v>763</v>
      </c>
      <c r="N6" s="39">
        <v>2</v>
      </c>
      <c r="O6" s="141" t="s">
        <v>764</v>
      </c>
      <c r="P6" s="141" t="s">
        <v>765</v>
      </c>
      <c r="Q6" s="141" t="s">
        <v>22</v>
      </c>
      <c r="R6" s="141"/>
      <c r="S6" s="141"/>
      <c r="T6" s="29">
        <v>0</v>
      </c>
      <c r="U6" s="145">
        <v>0</v>
      </c>
      <c r="V6" s="145">
        <v>0</v>
      </c>
      <c r="W6" s="145">
        <v>0</v>
      </c>
      <c r="X6" s="145">
        <v>0</v>
      </c>
      <c r="Y6" s="145">
        <v>0</v>
      </c>
      <c r="Z6" s="145">
        <v>0</v>
      </c>
      <c r="AA6" s="142">
        <f t="shared" si="2"/>
        <v>0</v>
      </c>
      <c r="AB6" s="141"/>
      <c r="AC6" s="67"/>
      <c r="AD6" s="67"/>
      <c r="AE6" s="24"/>
      <c r="AF6" s="24"/>
      <c r="AG6" s="24"/>
      <c r="AH6" s="71"/>
      <c r="AI6" s="69" t="s">
        <v>766</v>
      </c>
      <c r="AJ6" s="141">
        <v>5</v>
      </c>
      <c r="AK6" s="141" t="s">
        <v>756</v>
      </c>
      <c r="AL6" s="141"/>
      <c r="AM6" s="141"/>
      <c r="AN6" s="141"/>
      <c r="AO6" s="141" t="s">
        <v>757</v>
      </c>
      <c r="AP6" s="141" t="s">
        <v>757</v>
      </c>
      <c r="AQ6" s="141"/>
      <c r="AR6" s="141"/>
      <c r="AS6" s="141"/>
    </row>
    <row r="7" spans="1:45" ht="45" customHeight="1">
      <c r="A7" s="153">
        <v>4</v>
      </c>
      <c r="B7" s="153" t="s">
        <v>57</v>
      </c>
      <c r="C7" s="153" t="s">
        <v>61</v>
      </c>
      <c r="D7" s="28" t="s">
        <v>677</v>
      </c>
      <c r="E7" s="59">
        <v>4</v>
      </c>
      <c r="F7" s="59">
        <v>4</v>
      </c>
      <c r="G7" s="90">
        <v>45922</v>
      </c>
      <c r="H7" s="90">
        <v>45936</v>
      </c>
      <c r="I7" s="93" t="s">
        <v>767</v>
      </c>
      <c r="J7" s="96" t="s">
        <v>768</v>
      </c>
      <c r="K7" s="96"/>
      <c r="L7" s="69"/>
      <c r="M7" s="69" t="s">
        <v>769</v>
      </c>
      <c r="N7" s="39">
        <v>2</v>
      </c>
      <c r="O7" s="141" t="s">
        <v>764</v>
      </c>
      <c r="P7" s="141" t="s">
        <v>770</v>
      </c>
      <c r="Q7" s="141" t="s">
        <v>26</v>
      </c>
      <c r="R7" s="141"/>
      <c r="S7" s="141"/>
      <c r="T7" s="29">
        <v>0</v>
      </c>
      <c r="U7" s="145">
        <v>0</v>
      </c>
      <c r="V7" s="145">
        <v>0</v>
      </c>
      <c r="W7" s="145">
        <v>0</v>
      </c>
      <c r="X7" s="145">
        <v>0</v>
      </c>
      <c r="Y7" s="145">
        <v>0</v>
      </c>
      <c r="Z7" s="145">
        <v>0</v>
      </c>
      <c r="AA7" s="142">
        <f t="shared" si="2"/>
        <v>0</v>
      </c>
      <c r="AB7" s="141"/>
      <c r="AC7" s="67"/>
      <c r="AD7" s="67"/>
      <c r="AE7" s="24"/>
      <c r="AF7" s="24"/>
      <c r="AG7" s="24"/>
      <c r="AH7" s="71"/>
      <c r="AI7" s="69" t="s">
        <v>771</v>
      </c>
      <c r="AJ7" s="141">
        <v>5</v>
      </c>
      <c r="AK7" s="141" t="s">
        <v>761</v>
      </c>
      <c r="AL7" s="141"/>
      <c r="AM7" s="141"/>
      <c r="AN7" s="141"/>
      <c r="AO7" s="141" t="s">
        <v>757</v>
      </c>
      <c r="AP7" s="141" t="s">
        <v>757</v>
      </c>
      <c r="AQ7" s="141"/>
      <c r="AR7" s="141"/>
      <c r="AS7" s="141"/>
    </row>
    <row r="8" spans="1:45" ht="45" customHeight="1">
      <c r="A8" s="153">
        <v>5</v>
      </c>
      <c r="B8" s="153" t="s">
        <v>57</v>
      </c>
      <c r="C8" s="153" t="s">
        <v>61</v>
      </c>
      <c r="D8" s="28" t="s">
        <v>611</v>
      </c>
      <c r="E8" s="59">
        <v>3</v>
      </c>
      <c r="F8" s="59">
        <v>4</v>
      </c>
      <c r="G8" s="90">
        <v>45909</v>
      </c>
      <c r="H8" s="90">
        <v>45951</v>
      </c>
      <c r="I8" s="93" t="s">
        <v>612</v>
      </c>
      <c r="J8" s="96" t="s">
        <v>613</v>
      </c>
      <c r="K8" s="96"/>
      <c r="L8" s="69"/>
      <c r="M8" s="69" t="s">
        <v>772</v>
      </c>
      <c r="N8" s="39">
        <v>2</v>
      </c>
      <c r="O8" s="141" t="s">
        <v>753</v>
      </c>
      <c r="P8" s="141" t="s">
        <v>770</v>
      </c>
      <c r="Q8" s="141" t="s">
        <v>26</v>
      </c>
      <c r="R8" s="141"/>
      <c r="S8" s="141"/>
      <c r="T8" s="29">
        <v>0</v>
      </c>
      <c r="U8" s="145">
        <v>0</v>
      </c>
      <c r="V8" s="145">
        <v>0</v>
      </c>
      <c r="W8" s="145">
        <v>0</v>
      </c>
      <c r="X8" s="145">
        <v>0</v>
      </c>
      <c r="Y8" s="145">
        <v>0</v>
      </c>
      <c r="Z8" s="145">
        <v>0</v>
      </c>
      <c r="AA8" s="142">
        <f t="shared" si="2"/>
        <v>0</v>
      </c>
      <c r="AB8" s="141"/>
      <c r="AC8" s="67"/>
      <c r="AD8" s="67"/>
      <c r="AE8" s="24"/>
      <c r="AF8" s="24"/>
      <c r="AG8" s="24"/>
      <c r="AH8" s="71"/>
      <c r="AI8" s="69" t="s">
        <v>773</v>
      </c>
      <c r="AJ8" s="141">
        <v>2</v>
      </c>
      <c r="AK8" s="141" t="s">
        <v>756</v>
      </c>
      <c r="AL8" s="141"/>
      <c r="AM8" s="141"/>
      <c r="AN8" s="141"/>
      <c r="AO8" s="141" t="s">
        <v>757</v>
      </c>
      <c r="AP8" s="141" t="s">
        <v>757</v>
      </c>
      <c r="AQ8" s="141"/>
      <c r="AR8" s="141"/>
      <c r="AS8" s="141" t="s">
        <v>757</v>
      </c>
    </row>
    <row r="9" spans="1:45" ht="45" customHeight="1">
      <c r="A9" s="153">
        <v>6</v>
      </c>
      <c r="B9" s="153" t="s">
        <v>57</v>
      </c>
      <c r="C9" s="153" t="s">
        <v>61</v>
      </c>
      <c r="D9" s="28" t="s">
        <v>693</v>
      </c>
      <c r="E9" s="59">
        <v>3</v>
      </c>
      <c r="F9" s="59">
        <v>4</v>
      </c>
      <c r="G9" s="90"/>
      <c r="H9" s="90">
        <v>45936</v>
      </c>
      <c r="I9" s="93" t="s">
        <v>774</v>
      </c>
      <c r="J9" s="96" t="s">
        <v>695</v>
      </c>
      <c r="K9" s="96"/>
      <c r="L9" s="69"/>
      <c r="M9" s="69" t="s">
        <v>775</v>
      </c>
      <c r="N9" s="39">
        <v>2</v>
      </c>
      <c r="O9" s="141" t="s">
        <v>764</v>
      </c>
      <c r="P9" s="141" t="s">
        <v>770</v>
      </c>
      <c r="Q9" s="141" t="s">
        <v>26</v>
      </c>
      <c r="R9" s="141"/>
      <c r="S9" s="141"/>
      <c r="T9" s="29">
        <v>0</v>
      </c>
      <c r="U9" s="145">
        <v>0</v>
      </c>
      <c r="V9" s="145">
        <v>0</v>
      </c>
      <c r="W9" s="145">
        <v>0</v>
      </c>
      <c r="X9" s="145">
        <v>0</v>
      </c>
      <c r="Y9" s="145">
        <v>0</v>
      </c>
      <c r="Z9" s="145">
        <v>0</v>
      </c>
      <c r="AA9" s="142">
        <f t="shared" si="2"/>
        <v>0</v>
      </c>
      <c r="AB9" s="141"/>
      <c r="AC9" s="67"/>
      <c r="AD9" s="67"/>
      <c r="AE9" s="24"/>
      <c r="AF9" s="24"/>
      <c r="AG9" s="24"/>
      <c r="AH9" s="71"/>
      <c r="AI9" s="69" t="s">
        <v>776</v>
      </c>
      <c r="AJ9" s="141">
        <v>5</v>
      </c>
      <c r="AK9" s="141" t="s">
        <v>761</v>
      </c>
      <c r="AL9" s="141"/>
      <c r="AM9" s="141"/>
      <c r="AN9" s="141"/>
      <c r="AO9" s="141" t="s">
        <v>757</v>
      </c>
      <c r="AP9" s="141" t="s">
        <v>757</v>
      </c>
      <c r="AQ9" s="141"/>
      <c r="AR9" s="141"/>
      <c r="AS9" s="141" t="s">
        <v>757</v>
      </c>
    </row>
    <row r="10" spans="1:45" ht="45" customHeight="1">
      <c r="A10" s="153">
        <v>7</v>
      </c>
      <c r="B10" s="153" t="s">
        <v>57</v>
      </c>
      <c r="C10" s="153" t="s">
        <v>61</v>
      </c>
      <c r="D10" s="28" t="s">
        <v>617</v>
      </c>
      <c r="E10" s="59">
        <v>4</v>
      </c>
      <c r="F10" s="59">
        <v>4</v>
      </c>
      <c r="G10" s="90">
        <v>45923</v>
      </c>
      <c r="H10" s="90">
        <v>45926</v>
      </c>
      <c r="I10" s="93" t="s">
        <v>618</v>
      </c>
      <c r="J10" s="96" t="s">
        <v>777</v>
      </c>
      <c r="K10" s="96"/>
      <c r="L10" s="69"/>
      <c r="M10" s="69" t="s">
        <v>775</v>
      </c>
      <c r="N10" s="39">
        <v>2</v>
      </c>
      <c r="O10" s="141" t="s">
        <v>150</v>
      </c>
      <c r="P10" s="141" t="s">
        <v>764</v>
      </c>
      <c r="Q10" s="141" t="s">
        <v>26</v>
      </c>
      <c r="R10" s="141"/>
      <c r="S10" s="141"/>
      <c r="T10" s="29">
        <v>0</v>
      </c>
      <c r="U10" s="145">
        <v>0</v>
      </c>
      <c r="V10" s="145">
        <v>0</v>
      </c>
      <c r="W10" s="145">
        <v>0</v>
      </c>
      <c r="X10" s="145">
        <v>0</v>
      </c>
      <c r="Y10" s="145">
        <v>0</v>
      </c>
      <c r="Z10" s="145">
        <v>0</v>
      </c>
      <c r="AA10" s="142">
        <f t="shared" si="2"/>
        <v>0</v>
      </c>
      <c r="AB10" s="141"/>
      <c r="AC10" s="67"/>
      <c r="AD10" s="67"/>
      <c r="AE10" s="24"/>
      <c r="AF10" s="24"/>
      <c r="AG10" s="24"/>
      <c r="AH10" s="71"/>
      <c r="AI10" s="69" t="s">
        <v>778</v>
      </c>
      <c r="AJ10" s="141">
        <v>5</v>
      </c>
      <c r="AK10" s="141" t="s">
        <v>761</v>
      </c>
      <c r="AL10" s="141"/>
      <c r="AM10" s="141"/>
      <c r="AN10" s="141"/>
      <c r="AO10" s="141"/>
      <c r="AP10" s="141" t="s">
        <v>757</v>
      </c>
      <c r="AQ10" s="141"/>
      <c r="AR10" s="141"/>
      <c r="AS10" s="141" t="s">
        <v>757</v>
      </c>
    </row>
    <row r="11" spans="1:45" ht="45" customHeight="1">
      <c r="A11" s="153">
        <v>8</v>
      </c>
      <c r="B11" s="153" t="s">
        <v>57</v>
      </c>
      <c r="C11" s="153" t="s">
        <v>61</v>
      </c>
      <c r="D11" s="28" t="s">
        <v>615</v>
      </c>
      <c r="E11" s="59">
        <v>5</v>
      </c>
      <c r="F11" s="59">
        <v>5</v>
      </c>
      <c r="G11" s="90">
        <v>45919</v>
      </c>
      <c r="H11" s="90">
        <v>45926</v>
      </c>
      <c r="I11" s="93" t="s">
        <v>779</v>
      </c>
      <c r="J11" s="96"/>
      <c r="K11" s="96"/>
      <c r="L11" s="69"/>
      <c r="M11" s="69" t="s">
        <v>780</v>
      </c>
      <c r="N11" s="39">
        <v>3</v>
      </c>
      <c r="O11" s="141" t="s">
        <v>764</v>
      </c>
      <c r="P11" s="141" t="s">
        <v>770</v>
      </c>
      <c r="Q11" s="141" t="s">
        <v>14</v>
      </c>
      <c r="R11" s="141"/>
      <c r="S11" s="141"/>
      <c r="T11" s="29">
        <v>0</v>
      </c>
      <c r="U11" s="145">
        <v>0</v>
      </c>
      <c r="V11" s="145">
        <v>0</v>
      </c>
      <c r="W11" s="145">
        <v>0</v>
      </c>
      <c r="X11" s="145">
        <v>0</v>
      </c>
      <c r="Y11" s="145">
        <v>0</v>
      </c>
      <c r="Z11" s="145">
        <v>0</v>
      </c>
      <c r="AA11" s="142">
        <f t="shared" si="2"/>
        <v>0</v>
      </c>
      <c r="AB11" s="141"/>
      <c r="AC11" s="67"/>
      <c r="AD11" s="67"/>
      <c r="AE11" s="24"/>
      <c r="AF11" s="24"/>
      <c r="AG11" s="24"/>
      <c r="AH11" s="71"/>
      <c r="AI11" s="69" t="s">
        <v>781</v>
      </c>
      <c r="AJ11" s="141"/>
      <c r="AK11" s="141"/>
      <c r="AL11" s="141">
        <v>150</v>
      </c>
      <c r="AM11" s="141"/>
      <c r="AN11" s="141"/>
      <c r="AO11" s="141"/>
      <c r="AP11" s="141" t="s">
        <v>757</v>
      </c>
      <c r="AQ11" s="141" t="s">
        <v>757</v>
      </c>
      <c r="AR11" s="141" t="s">
        <v>757</v>
      </c>
      <c r="AS11" s="141"/>
    </row>
    <row r="12" spans="1:45" ht="45" customHeight="1">
      <c r="A12" s="153">
        <v>9</v>
      </c>
      <c r="B12" s="153" t="s">
        <v>57</v>
      </c>
      <c r="C12" s="153" t="s">
        <v>61</v>
      </c>
      <c r="D12" s="28" t="s">
        <v>246</v>
      </c>
      <c r="E12" s="59">
        <v>2</v>
      </c>
      <c r="F12" s="59">
        <v>2</v>
      </c>
      <c r="G12" s="90">
        <v>45905</v>
      </c>
      <c r="H12" s="90">
        <v>45933</v>
      </c>
      <c r="I12" s="93" t="s">
        <v>782</v>
      </c>
      <c r="J12" s="96" t="s">
        <v>783</v>
      </c>
      <c r="K12" s="96" t="s">
        <v>702</v>
      </c>
      <c r="L12" s="69"/>
      <c r="M12" s="69" t="s">
        <v>784</v>
      </c>
      <c r="N12" s="39">
        <v>2</v>
      </c>
      <c r="O12" s="141" t="s">
        <v>150</v>
      </c>
      <c r="P12" s="141" t="s">
        <v>753</v>
      </c>
      <c r="Q12" s="141" t="s">
        <v>14</v>
      </c>
      <c r="R12" s="141"/>
      <c r="S12" s="141"/>
      <c r="T12" s="29">
        <v>0</v>
      </c>
      <c r="U12" s="145">
        <v>0</v>
      </c>
      <c r="V12" s="145">
        <v>0</v>
      </c>
      <c r="W12" s="145">
        <v>0</v>
      </c>
      <c r="X12" s="145">
        <v>0</v>
      </c>
      <c r="Y12" s="145">
        <v>0</v>
      </c>
      <c r="Z12" s="145">
        <v>0</v>
      </c>
      <c r="AA12" s="142">
        <f t="shared" si="2"/>
        <v>0</v>
      </c>
      <c r="AB12" s="141"/>
      <c r="AC12" s="67"/>
      <c r="AD12" s="67"/>
      <c r="AE12" s="24"/>
      <c r="AF12" s="24"/>
      <c r="AG12" s="24"/>
      <c r="AH12" s="71"/>
      <c r="AI12" s="69" t="s">
        <v>785</v>
      </c>
      <c r="AJ12" s="141"/>
      <c r="AK12" s="141"/>
      <c r="AL12" s="141">
        <v>5</v>
      </c>
      <c r="AM12" s="141">
        <v>10</v>
      </c>
      <c r="AN12" s="141"/>
      <c r="AO12" s="141"/>
      <c r="AP12" s="141" t="s">
        <v>757</v>
      </c>
      <c r="AQ12" s="141"/>
      <c r="AR12" s="141" t="s">
        <v>757</v>
      </c>
      <c r="AS12" s="141" t="s">
        <v>757</v>
      </c>
    </row>
    <row r="13" spans="1:45" ht="45" customHeight="1">
      <c r="A13" s="153">
        <v>10</v>
      </c>
      <c r="B13" s="153" t="s">
        <v>57</v>
      </c>
      <c r="C13" s="153" t="s">
        <v>61</v>
      </c>
      <c r="D13" s="28" t="s">
        <v>633</v>
      </c>
      <c r="E13" s="59">
        <v>4</v>
      </c>
      <c r="F13" s="59">
        <v>4</v>
      </c>
      <c r="G13" s="90">
        <v>45916</v>
      </c>
      <c r="H13" s="90">
        <v>45933</v>
      </c>
      <c r="I13" s="93" t="s">
        <v>786</v>
      </c>
      <c r="J13" s="96" t="s">
        <v>635</v>
      </c>
      <c r="K13" s="96"/>
      <c r="L13" s="69"/>
      <c r="M13" s="69" t="s">
        <v>787</v>
      </c>
      <c r="N13" s="39">
        <v>3</v>
      </c>
      <c r="O13" s="141" t="s">
        <v>764</v>
      </c>
      <c r="P13" s="141" t="s">
        <v>770</v>
      </c>
      <c r="Q13" s="141" t="s">
        <v>14</v>
      </c>
      <c r="R13" s="141"/>
      <c r="S13" s="141"/>
      <c r="T13" s="29">
        <v>0</v>
      </c>
      <c r="U13" s="145">
        <v>0</v>
      </c>
      <c r="V13" s="145">
        <v>0</v>
      </c>
      <c r="W13" s="145">
        <v>0</v>
      </c>
      <c r="X13" s="145">
        <v>0</v>
      </c>
      <c r="Y13" s="145">
        <v>0</v>
      </c>
      <c r="Z13" s="145">
        <v>0</v>
      </c>
      <c r="AA13" s="142">
        <f t="shared" si="2"/>
        <v>0</v>
      </c>
      <c r="AB13" s="141"/>
      <c r="AC13" s="67"/>
      <c r="AD13" s="67"/>
      <c r="AE13" s="24"/>
      <c r="AF13" s="24"/>
      <c r="AG13" s="24"/>
      <c r="AH13" s="71"/>
      <c r="AI13" s="69" t="s">
        <v>788</v>
      </c>
      <c r="AJ13" s="141"/>
      <c r="AK13" s="141"/>
      <c r="AL13" s="141">
        <v>35</v>
      </c>
      <c r="AM13" s="141"/>
      <c r="AN13" s="141"/>
      <c r="AO13" s="141"/>
      <c r="AP13" s="141" t="s">
        <v>757</v>
      </c>
      <c r="AQ13" s="141" t="s">
        <v>757</v>
      </c>
      <c r="AR13" s="141" t="s">
        <v>757</v>
      </c>
      <c r="AS13" s="141"/>
    </row>
    <row r="14" spans="1:45" ht="45" customHeight="1">
      <c r="A14" s="153">
        <v>11</v>
      </c>
      <c r="B14" s="153" t="s">
        <v>57</v>
      </c>
      <c r="C14" s="153" t="s">
        <v>61</v>
      </c>
      <c r="D14" s="28" t="s">
        <v>643</v>
      </c>
      <c r="E14" s="59">
        <v>3</v>
      </c>
      <c r="F14" s="59">
        <v>3</v>
      </c>
      <c r="G14" s="90">
        <v>45919</v>
      </c>
      <c r="H14" s="90">
        <v>45960</v>
      </c>
      <c r="I14" s="93"/>
      <c r="J14" s="96" t="s">
        <v>645</v>
      </c>
      <c r="K14" s="96"/>
      <c r="L14" s="69"/>
      <c r="M14" s="69" t="s">
        <v>789</v>
      </c>
      <c r="N14" s="39">
        <v>2</v>
      </c>
      <c r="O14" s="141" t="s">
        <v>764</v>
      </c>
      <c r="P14" s="141" t="s">
        <v>770</v>
      </c>
      <c r="Q14" s="141" t="s">
        <v>6</v>
      </c>
      <c r="R14" s="141"/>
      <c r="S14" s="141"/>
      <c r="T14" s="29">
        <v>0</v>
      </c>
      <c r="U14" s="145">
        <v>0</v>
      </c>
      <c r="V14" s="145">
        <v>0</v>
      </c>
      <c r="W14" s="145">
        <v>0</v>
      </c>
      <c r="X14" s="145">
        <v>0</v>
      </c>
      <c r="Y14" s="145">
        <v>0</v>
      </c>
      <c r="Z14" s="145">
        <v>0</v>
      </c>
      <c r="AA14" s="142">
        <f t="shared" si="2"/>
        <v>0</v>
      </c>
      <c r="AB14" s="141"/>
      <c r="AC14" s="67"/>
      <c r="AD14" s="67"/>
      <c r="AE14" s="24"/>
      <c r="AF14" s="24"/>
      <c r="AG14" s="24"/>
      <c r="AH14" s="71"/>
      <c r="AI14" s="69" t="s">
        <v>790</v>
      </c>
      <c r="AJ14" s="141"/>
      <c r="AK14" s="141"/>
      <c r="AL14" s="141"/>
      <c r="AM14" s="141">
        <v>35</v>
      </c>
      <c r="AN14" s="86">
        <v>45931</v>
      </c>
      <c r="AO14" s="141" t="s">
        <v>757</v>
      </c>
      <c r="AP14" s="141" t="s">
        <v>757</v>
      </c>
      <c r="AQ14" s="141" t="s">
        <v>757</v>
      </c>
      <c r="AR14" s="141" t="s">
        <v>757</v>
      </c>
      <c r="AS14" s="141"/>
    </row>
    <row r="15" spans="1:45" ht="45" customHeight="1">
      <c r="A15" s="153">
        <v>12</v>
      </c>
      <c r="B15" s="153" t="s">
        <v>57</v>
      </c>
      <c r="C15" s="153" t="s">
        <v>61</v>
      </c>
      <c r="D15" s="28" t="s">
        <v>703</v>
      </c>
      <c r="E15" s="59">
        <v>2</v>
      </c>
      <c r="F15" s="59">
        <v>2</v>
      </c>
      <c r="G15" s="90">
        <v>45915</v>
      </c>
      <c r="H15" s="90">
        <v>45924</v>
      </c>
      <c r="I15" s="93"/>
      <c r="J15" s="96" t="s">
        <v>704</v>
      </c>
      <c r="K15" s="96"/>
      <c r="L15" s="69"/>
      <c r="M15" s="69" t="s">
        <v>791</v>
      </c>
      <c r="N15" s="39">
        <v>2</v>
      </c>
      <c r="O15" s="141" t="s">
        <v>764</v>
      </c>
      <c r="P15" s="141" t="s">
        <v>770</v>
      </c>
      <c r="Q15" s="141" t="s">
        <v>6</v>
      </c>
      <c r="R15" s="141"/>
      <c r="S15" s="141"/>
      <c r="T15" s="29">
        <v>0</v>
      </c>
      <c r="U15" s="145">
        <v>0</v>
      </c>
      <c r="V15" s="145">
        <v>0</v>
      </c>
      <c r="W15" s="145">
        <v>0</v>
      </c>
      <c r="X15" s="145">
        <v>0</v>
      </c>
      <c r="Y15" s="145">
        <v>0</v>
      </c>
      <c r="Z15" s="145">
        <v>0</v>
      </c>
      <c r="AA15" s="142">
        <f t="shared" si="2"/>
        <v>0</v>
      </c>
      <c r="AB15" s="141"/>
      <c r="AC15" s="67"/>
      <c r="AD15" s="67"/>
      <c r="AE15" s="24"/>
      <c r="AF15" s="24"/>
      <c r="AG15" s="24"/>
      <c r="AH15" s="71"/>
      <c r="AI15" s="69" t="s">
        <v>792</v>
      </c>
      <c r="AJ15" s="141"/>
      <c r="AK15" s="141"/>
      <c r="AL15" s="141"/>
      <c r="AM15" s="141">
        <v>35</v>
      </c>
      <c r="AN15" s="86">
        <v>46023</v>
      </c>
      <c r="AO15" s="141" t="s">
        <v>757</v>
      </c>
      <c r="AP15" s="141" t="s">
        <v>757</v>
      </c>
      <c r="AQ15" s="141" t="s">
        <v>757</v>
      </c>
      <c r="AR15" s="141"/>
      <c r="AS15" s="141"/>
    </row>
    <row r="16" spans="1:45" ht="45" customHeight="1">
      <c r="A16" s="153">
        <v>13</v>
      </c>
      <c r="B16" s="153" t="s">
        <v>57</v>
      </c>
      <c r="C16" s="153" t="s">
        <v>61</v>
      </c>
      <c r="D16" s="28" t="s">
        <v>630</v>
      </c>
      <c r="E16" s="59">
        <v>2</v>
      </c>
      <c r="F16" s="59">
        <v>4</v>
      </c>
      <c r="G16" s="90"/>
      <c r="H16" s="90">
        <v>45925</v>
      </c>
      <c r="I16" s="93"/>
      <c r="J16" s="96" t="s">
        <v>632</v>
      </c>
      <c r="K16" s="96"/>
      <c r="L16" s="69"/>
      <c r="M16" s="69" t="s">
        <v>793</v>
      </c>
      <c r="N16" s="39">
        <v>1</v>
      </c>
      <c r="O16" s="141" t="s">
        <v>794</v>
      </c>
      <c r="P16" s="141" t="s">
        <v>765</v>
      </c>
      <c r="Q16" s="141" t="s">
        <v>6</v>
      </c>
      <c r="R16" s="21"/>
      <c r="S16" s="141"/>
      <c r="T16" s="29">
        <v>0</v>
      </c>
      <c r="U16" s="145">
        <v>0</v>
      </c>
      <c r="V16" s="145">
        <v>0</v>
      </c>
      <c r="W16" s="145">
        <v>0</v>
      </c>
      <c r="X16" s="145">
        <v>0</v>
      </c>
      <c r="Y16" s="145">
        <v>0</v>
      </c>
      <c r="Z16" s="145">
        <v>0</v>
      </c>
      <c r="AA16" s="142">
        <f t="shared" si="2"/>
        <v>0</v>
      </c>
      <c r="AB16" s="141"/>
      <c r="AC16" s="67"/>
      <c r="AD16" s="67"/>
      <c r="AE16" s="24"/>
      <c r="AF16" s="24"/>
      <c r="AG16" s="24"/>
      <c r="AH16" s="71"/>
      <c r="AI16" s="69" t="s">
        <v>795</v>
      </c>
      <c r="AJ16" s="141"/>
      <c r="AK16" s="141"/>
      <c r="AL16" s="141"/>
      <c r="AM16" s="141">
        <v>40</v>
      </c>
      <c r="AN16" s="86">
        <v>45931</v>
      </c>
      <c r="AO16" s="141" t="s">
        <v>757</v>
      </c>
      <c r="AP16" s="141"/>
      <c r="AQ16" s="141"/>
      <c r="AR16" s="141"/>
      <c r="AS16" s="141" t="s">
        <v>757</v>
      </c>
    </row>
    <row r="17" spans="1:45" ht="45" customHeight="1">
      <c r="A17" s="153">
        <v>14</v>
      </c>
      <c r="B17" s="153" t="s">
        <v>57</v>
      </c>
      <c r="C17" s="153" t="s">
        <v>61</v>
      </c>
      <c r="D17" s="28" t="s">
        <v>639</v>
      </c>
      <c r="E17" s="59"/>
      <c r="F17" s="59"/>
      <c r="G17" s="90"/>
      <c r="H17" s="90"/>
      <c r="I17" s="93"/>
      <c r="J17" s="96"/>
      <c r="K17" s="96"/>
      <c r="L17" s="69"/>
      <c r="M17" s="69" t="s">
        <v>796</v>
      </c>
      <c r="N17" s="39">
        <v>3</v>
      </c>
      <c r="O17" s="141" t="s">
        <v>794</v>
      </c>
      <c r="P17" s="141" t="s">
        <v>797</v>
      </c>
      <c r="Q17" s="141" t="s">
        <v>6</v>
      </c>
      <c r="R17" s="21"/>
      <c r="S17" s="141"/>
      <c r="T17" s="29">
        <v>0</v>
      </c>
      <c r="U17" s="145">
        <v>0</v>
      </c>
      <c r="V17" s="145">
        <v>0</v>
      </c>
      <c r="W17" s="145">
        <v>0</v>
      </c>
      <c r="X17" s="145">
        <v>0</v>
      </c>
      <c r="Y17" s="145">
        <v>0</v>
      </c>
      <c r="Z17" s="145">
        <v>0</v>
      </c>
      <c r="AA17" s="142">
        <f t="shared" si="2"/>
        <v>0</v>
      </c>
      <c r="AB17" s="141"/>
      <c r="AC17" s="67"/>
      <c r="AD17" s="67"/>
      <c r="AE17" s="24"/>
      <c r="AF17" s="24"/>
      <c r="AG17" s="24"/>
      <c r="AH17" s="71"/>
      <c r="AI17" s="69" t="s">
        <v>798</v>
      </c>
      <c r="AJ17" s="141"/>
      <c r="AK17" s="141"/>
      <c r="AL17" s="141"/>
      <c r="AM17" s="141">
        <v>40</v>
      </c>
      <c r="AN17" s="86">
        <v>45962</v>
      </c>
      <c r="AO17" s="141" t="s">
        <v>757</v>
      </c>
      <c r="AP17" s="141"/>
      <c r="AQ17" s="141"/>
      <c r="AR17" s="141"/>
      <c r="AS17" s="141" t="s">
        <v>757</v>
      </c>
    </row>
    <row r="18" spans="1:45" ht="45" customHeight="1">
      <c r="A18" s="153">
        <v>15</v>
      </c>
      <c r="B18" s="153" t="s">
        <v>57</v>
      </c>
      <c r="C18" s="153" t="s">
        <v>61</v>
      </c>
      <c r="D18" s="28" t="s">
        <v>697</v>
      </c>
      <c r="E18" s="59">
        <v>1</v>
      </c>
      <c r="F18" s="59">
        <v>4</v>
      </c>
      <c r="G18" s="90">
        <v>45778</v>
      </c>
      <c r="H18" s="90">
        <v>46023</v>
      </c>
      <c r="I18" s="93" t="s">
        <v>799</v>
      </c>
      <c r="J18" s="96" t="s">
        <v>699</v>
      </c>
      <c r="K18" s="96"/>
      <c r="L18" s="69"/>
      <c r="M18" s="69" t="s">
        <v>800</v>
      </c>
      <c r="N18" s="39">
        <v>2</v>
      </c>
      <c r="O18" s="141" t="s">
        <v>764</v>
      </c>
      <c r="P18" s="141" t="s">
        <v>770</v>
      </c>
      <c r="Q18" s="141" t="s">
        <v>6</v>
      </c>
      <c r="R18" s="21"/>
      <c r="S18" s="141"/>
      <c r="T18" s="29">
        <v>0</v>
      </c>
      <c r="U18" s="145">
        <v>0</v>
      </c>
      <c r="V18" s="145">
        <v>0</v>
      </c>
      <c r="W18" s="145">
        <v>0</v>
      </c>
      <c r="X18" s="145">
        <v>0</v>
      </c>
      <c r="Y18" s="145">
        <v>0</v>
      </c>
      <c r="Z18" s="145">
        <v>0</v>
      </c>
      <c r="AA18" s="142">
        <f t="shared" si="2"/>
        <v>0</v>
      </c>
      <c r="AB18" s="141"/>
      <c r="AC18" s="67"/>
      <c r="AD18" s="67"/>
      <c r="AE18" s="24"/>
      <c r="AF18" s="24"/>
      <c r="AG18" s="24"/>
      <c r="AH18" s="71"/>
      <c r="AI18" s="69" t="s">
        <v>801</v>
      </c>
      <c r="AJ18" s="141"/>
      <c r="AK18" s="141"/>
      <c r="AL18" s="141"/>
      <c r="AM18" s="141">
        <v>100</v>
      </c>
      <c r="AN18" s="86">
        <v>46023</v>
      </c>
      <c r="AO18" s="141" t="s">
        <v>757</v>
      </c>
      <c r="AP18" s="141" t="s">
        <v>757</v>
      </c>
      <c r="AQ18" s="141"/>
      <c r="AR18" s="141"/>
      <c r="AS18" s="141"/>
    </row>
    <row r="19" spans="1:45" ht="45" customHeight="1">
      <c r="A19" s="153">
        <v>16</v>
      </c>
      <c r="B19" s="153" t="s">
        <v>57</v>
      </c>
      <c r="C19" s="153" t="s">
        <v>65</v>
      </c>
      <c r="D19" s="28" t="s">
        <v>658</v>
      </c>
      <c r="E19" s="59">
        <v>4</v>
      </c>
      <c r="F19" s="59">
        <v>0</v>
      </c>
      <c r="G19" s="90"/>
      <c r="H19" s="90">
        <v>45919</v>
      </c>
      <c r="I19" s="93" t="s">
        <v>802</v>
      </c>
      <c r="J19" s="96" t="s">
        <v>803</v>
      </c>
      <c r="K19" s="96" t="s">
        <v>661</v>
      </c>
      <c r="L19" s="69"/>
      <c r="M19" s="69" t="s">
        <v>804</v>
      </c>
      <c r="N19" s="39">
        <v>2</v>
      </c>
      <c r="O19" s="141" t="s">
        <v>150</v>
      </c>
      <c r="P19" s="141" t="s">
        <v>805</v>
      </c>
      <c r="Q19" s="141"/>
      <c r="R19" s="141"/>
      <c r="S19" s="141"/>
      <c r="T19" s="29">
        <v>0</v>
      </c>
      <c r="U19" s="145">
        <v>0</v>
      </c>
      <c r="V19" s="145">
        <v>0</v>
      </c>
      <c r="W19" s="145">
        <v>0</v>
      </c>
      <c r="X19" s="145">
        <v>0</v>
      </c>
      <c r="Y19" s="145">
        <v>0</v>
      </c>
      <c r="Z19" s="145">
        <v>0</v>
      </c>
      <c r="AA19" s="142">
        <f t="shared" si="2"/>
        <v>0</v>
      </c>
      <c r="AB19" s="141"/>
      <c r="AC19" s="67"/>
      <c r="AD19" s="67"/>
      <c r="AE19" s="24"/>
      <c r="AF19" s="24"/>
      <c r="AG19" s="24"/>
      <c r="AH19" s="71"/>
      <c r="AI19" s="69" t="s">
        <v>806</v>
      </c>
      <c r="AJ19" s="141">
        <v>4</v>
      </c>
      <c r="AK19" s="141" t="s">
        <v>761</v>
      </c>
      <c r="AL19" s="141"/>
      <c r="AM19" s="141"/>
      <c r="AN19" s="141"/>
      <c r="AO19" s="141"/>
      <c r="AP19" s="141" t="s">
        <v>757</v>
      </c>
      <c r="AQ19" s="141"/>
      <c r="AR19" s="141" t="s">
        <v>757</v>
      </c>
      <c r="AS19" s="141"/>
    </row>
    <row r="20" spans="1:45" ht="45" customHeight="1">
      <c r="A20" s="153">
        <v>17</v>
      </c>
      <c r="B20" s="153" t="s">
        <v>57</v>
      </c>
      <c r="C20" s="153" t="s">
        <v>65</v>
      </c>
      <c r="D20" s="28" t="s">
        <v>624</v>
      </c>
      <c r="E20" s="59">
        <v>4</v>
      </c>
      <c r="F20" s="59">
        <v>4</v>
      </c>
      <c r="G20" s="90"/>
      <c r="H20" s="90">
        <v>45929</v>
      </c>
      <c r="I20" s="93" t="s">
        <v>807</v>
      </c>
      <c r="J20" s="96" t="s">
        <v>808</v>
      </c>
      <c r="K20" s="96" t="s">
        <v>627</v>
      </c>
      <c r="L20" s="69"/>
      <c r="M20" s="69"/>
      <c r="N20" s="39">
        <v>2</v>
      </c>
      <c r="O20" s="141" t="s">
        <v>123</v>
      </c>
      <c r="P20" s="141" t="s">
        <v>797</v>
      </c>
      <c r="Q20" s="141"/>
      <c r="R20" s="141"/>
      <c r="S20" s="141"/>
      <c r="T20" s="29">
        <v>0</v>
      </c>
      <c r="U20" s="145">
        <v>0</v>
      </c>
      <c r="V20" s="145">
        <v>0</v>
      </c>
      <c r="W20" s="145">
        <v>0</v>
      </c>
      <c r="X20" s="145">
        <v>0</v>
      </c>
      <c r="Y20" s="145">
        <v>0</v>
      </c>
      <c r="Z20" s="145">
        <v>0</v>
      </c>
      <c r="AA20" s="142">
        <f t="shared" si="2"/>
        <v>0</v>
      </c>
      <c r="AB20" s="141"/>
      <c r="AC20" s="67"/>
      <c r="AD20" s="67"/>
      <c r="AE20" s="24"/>
      <c r="AF20" s="24"/>
      <c r="AG20" s="24"/>
      <c r="AH20" s="71"/>
      <c r="AI20" s="69" t="s">
        <v>809</v>
      </c>
      <c r="AJ20" s="141">
        <v>16</v>
      </c>
      <c r="AK20" s="141" t="s">
        <v>761</v>
      </c>
      <c r="AL20" s="141"/>
      <c r="AM20" s="141"/>
      <c r="AN20" s="141"/>
      <c r="AO20" s="141"/>
      <c r="AP20" s="141" t="s">
        <v>757</v>
      </c>
      <c r="AQ20" s="141"/>
      <c r="AR20" s="141"/>
      <c r="AS20" s="141"/>
    </row>
    <row r="21" spans="1:45" ht="45" customHeight="1">
      <c r="A21" s="153">
        <v>18</v>
      </c>
      <c r="B21" s="153" t="s">
        <v>57</v>
      </c>
      <c r="C21" s="153" t="s">
        <v>65</v>
      </c>
      <c r="D21" s="28" t="s">
        <v>620</v>
      </c>
      <c r="E21" s="59">
        <v>4</v>
      </c>
      <c r="F21" s="59">
        <v>4</v>
      </c>
      <c r="G21" s="90"/>
      <c r="H21" s="90">
        <v>45929</v>
      </c>
      <c r="I21" s="93" t="s">
        <v>810</v>
      </c>
      <c r="J21" s="96"/>
      <c r="K21" s="96" t="s">
        <v>623</v>
      </c>
      <c r="L21" s="69"/>
      <c r="M21" s="69"/>
      <c r="N21" s="39">
        <v>1</v>
      </c>
      <c r="O21" s="141" t="s">
        <v>123</v>
      </c>
      <c r="P21" s="141" t="s">
        <v>811</v>
      </c>
      <c r="Q21" s="141"/>
      <c r="R21" s="141"/>
      <c r="S21" s="141"/>
      <c r="T21" s="29">
        <v>0</v>
      </c>
      <c r="U21" s="145">
        <v>0</v>
      </c>
      <c r="V21" s="145">
        <v>0</v>
      </c>
      <c r="W21" s="145">
        <v>0</v>
      </c>
      <c r="X21" s="145">
        <v>0</v>
      </c>
      <c r="Y21" s="145">
        <v>0</v>
      </c>
      <c r="Z21" s="145">
        <v>0</v>
      </c>
      <c r="AA21" s="142">
        <f t="shared" si="2"/>
        <v>0</v>
      </c>
      <c r="AB21" s="141"/>
      <c r="AC21" s="67"/>
      <c r="AD21" s="67"/>
      <c r="AE21" s="24"/>
      <c r="AF21" s="24"/>
      <c r="AG21" s="24"/>
      <c r="AH21" s="71"/>
      <c r="AI21" s="69"/>
      <c r="AJ21" s="141">
        <v>12</v>
      </c>
      <c r="AK21" s="141" t="s">
        <v>812</v>
      </c>
      <c r="AL21" s="141"/>
      <c r="AM21" s="141">
        <v>100</v>
      </c>
      <c r="AN21" s="86">
        <v>45901</v>
      </c>
      <c r="AO21" s="141" t="s">
        <v>757</v>
      </c>
      <c r="AP21" s="141" t="s">
        <v>757</v>
      </c>
      <c r="AQ21" s="141"/>
      <c r="AR21" s="141" t="s">
        <v>757</v>
      </c>
      <c r="AS21" s="141"/>
    </row>
    <row r="22" spans="1:45" ht="45" customHeight="1">
      <c r="A22" s="153">
        <v>19</v>
      </c>
      <c r="B22" s="153" t="s">
        <v>57</v>
      </c>
      <c r="C22" s="153" t="s">
        <v>65</v>
      </c>
      <c r="D22" s="28" t="s">
        <v>665</v>
      </c>
      <c r="E22" s="59">
        <v>4</v>
      </c>
      <c r="F22" s="59">
        <v>4</v>
      </c>
      <c r="G22" s="90">
        <v>45923</v>
      </c>
      <c r="H22" s="90">
        <v>45930</v>
      </c>
      <c r="I22" s="93" t="s">
        <v>813</v>
      </c>
      <c r="J22" s="96"/>
      <c r="K22" s="96"/>
      <c r="L22" s="69"/>
      <c r="M22" s="69"/>
      <c r="N22" s="39">
        <v>1</v>
      </c>
      <c r="O22" s="141" t="s">
        <v>123</v>
      </c>
      <c r="P22" s="141" t="s">
        <v>797</v>
      </c>
      <c r="Q22" s="141"/>
      <c r="R22" s="141"/>
      <c r="S22" s="141"/>
      <c r="T22" s="29">
        <v>0</v>
      </c>
      <c r="U22" s="145">
        <v>0</v>
      </c>
      <c r="V22" s="145">
        <v>0</v>
      </c>
      <c r="W22" s="145">
        <v>0</v>
      </c>
      <c r="X22" s="145">
        <v>0</v>
      </c>
      <c r="Y22" s="145">
        <v>0</v>
      </c>
      <c r="Z22" s="145">
        <v>0</v>
      </c>
      <c r="AA22" s="142">
        <f t="shared" si="2"/>
        <v>0</v>
      </c>
      <c r="AB22" s="141"/>
      <c r="AC22" s="67"/>
      <c r="AD22" s="67"/>
      <c r="AE22" s="24"/>
      <c r="AF22" s="24"/>
      <c r="AG22" s="24"/>
      <c r="AH22" s="71"/>
      <c r="AI22" s="69" t="s">
        <v>814</v>
      </c>
      <c r="AJ22" s="141">
        <v>70</v>
      </c>
      <c r="AK22" s="141" t="s">
        <v>812</v>
      </c>
      <c r="AL22" s="141"/>
      <c r="AM22" s="141"/>
      <c r="AN22" s="141"/>
      <c r="AO22" s="141" t="s">
        <v>757</v>
      </c>
      <c r="AP22" s="141" t="s">
        <v>757</v>
      </c>
      <c r="AQ22" s="141"/>
      <c r="AR22" s="141" t="s">
        <v>757</v>
      </c>
      <c r="AS22" s="141" t="s">
        <v>757</v>
      </c>
    </row>
    <row r="23" spans="1:45" ht="45" customHeight="1">
      <c r="A23" s="153">
        <v>20</v>
      </c>
      <c r="B23" s="153" t="s">
        <v>57</v>
      </c>
      <c r="C23" s="153" t="s">
        <v>65</v>
      </c>
      <c r="D23" s="28" t="s">
        <v>690</v>
      </c>
      <c r="E23" s="59">
        <v>4</v>
      </c>
      <c r="F23" s="59">
        <v>4</v>
      </c>
      <c r="G23" s="90"/>
      <c r="H23" s="90"/>
      <c r="I23" s="93" t="s">
        <v>815</v>
      </c>
      <c r="J23" s="96" t="s">
        <v>692</v>
      </c>
      <c r="K23" s="96"/>
      <c r="L23" s="69"/>
      <c r="M23" s="69"/>
      <c r="N23" s="39">
        <v>3</v>
      </c>
      <c r="O23" s="141" t="s">
        <v>123</v>
      </c>
      <c r="P23" s="141" t="s">
        <v>816</v>
      </c>
      <c r="Q23" s="141"/>
      <c r="R23" s="141"/>
      <c r="S23" s="141"/>
      <c r="T23" s="29">
        <v>0</v>
      </c>
      <c r="U23" s="145">
        <v>0</v>
      </c>
      <c r="V23" s="145">
        <v>0</v>
      </c>
      <c r="W23" s="145">
        <v>0</v>
      </c>
      <c r="X23" s="145">
        <v>0</v>
      </c>
      <c r="Y23" s="145">
        <v>0</v>
      </c>
      <c r="Z23" s="145">
        <v>0</v>
      </c>
      <c r="AA23" s="142">
        <f t="shared" si="2"/>
        <v>0</v>
      </c>
      <c r="AB23" s="141"/>
      <c r="AC23" s="67"/>
      <c r="AD23" s="67"/>
      <c r="AE23" s="24"/>
      <c r="AF23" s="24"/>
      <c r="AG23" s="24"/>
      <c r="AH23" s="71"/>
      <c r="AI23" s="69" t="s">
        <v>817</v>
      </c>
      <c r="AJ23" s="141">
        <v>35</v>
      </c>
      <c r="AK23" s="141" t="s">
        <v>756</v>
      </c>
      <c r="AL23" s="141"/>
      <c r="AM23" s="141"/>
      <c r="AN23" s="141"/>
      <c r="AO23" s="141"/>
      <c r="AP23" s="141" t="s">
        <v>757</v>
      </c>
      <c r="AQ23" s="141"/>
      <c r="AR23" s="141"/>
      <c r="AS23" s="141" t="s">
        <v>757</v>
      </c>
    </row>
    <row r="24" spans="1:45" ht="45" customHeight="1">
      <c r="A24" s="153">
        <v>21</v>
      </c>
      <c r="B24" s="153" t="s">
        <v>57</v>
      </c>
      <c r="C24" s="153" t="s">
        <v>65</v>
      </c>
      <c r="D24" s="28" t="s">
        <v>646</v>
      </c>
      <c r="E24" s="59"/>
      <c r="F24" s="59"/>
      <c r="G24" s="90"/>
      <c r="H24" s="90"/>
      <c r="I24" s="93"/>
      <c r="J24" s="96"/>
      <c r="K24" s="96" t="s">
        <v>647</v>
      </c>
      <c r="L24" s="69"/>
      <c r="M24" s="69"/>
      <c r="N24" s="39">
        <v>3</v>
      </c>
      <c r="O24" s="141" t="s">
        <v>409</v>
      </c>
      <c r="P24" s="141" t="s">
        <v>805</v>
      </c>
      <c r="Q24" s="141"/>
      <c r="R24" s="141"/>
      <c r="S24" s="141"/>
      <c r="T24" s="29">
        <v>0</v>
      </c>
      <c r="U24" s="145">
        <v>0</v>
      </c>
      <c r="V24" s="145">
        <v>0</v>
      </c>
      <c r="W24" s="145">
        <v>0</v>
      </c>
      <c r="X24" s="145">
        <v>0</v>
      </c>
      <c r="Y24" s="145">
        <v>0</v>
      </c>
      <c r="Z24" s="145">
        <v>0</v>
      </c>
      <c r="AA24" s="142">
        <f t="shared" si="2"/>
        <v>0</v>
      </c>
      <c r="AB24" s="141"/>
      <c r="AC24" s="67"/>
      <c r="AD24" s="67"/>
      <c r="AE24" s="24"/>
      <c r="AF24" s="24"/>
      <c r="AG24" s="24"/>
      <c r="AH24" s="71"/>
      <c r="AI24" s="69" t="s">
        <v>818</v>
      </c>
      <c r="AJ24" s="141">
        <v>2</v>
      </c>
      <c r="AK24" s="141" t="s">
        <v>761</v>
      </c>
      <c r="AL24" s="141"/>
      <c r="AM24" s="141"/>
      <c r="AN24" s="141"/>
      <c r="AO24" s="141" t="s">
        <v>757</v>
      </c>
      <c r="AP24" s="141" t="s">
        <v>757</v>
      </c>
      <c r="AQ24" s="141" t="s">
        <v>757</v>
      </c>
      <c r="AR24" s="141"/>
      <c r="AS24" s="141"/>
    </row>
    <row r="25" spans="1:45" ht="45" customHeight="1">
      <c r="A25" s="153">
        <v>22</v>
      </c>
      <c r="B25" s="153" t="s">
        <v>57</v>
      </c>
      <c r="C25" s="153" t="s">
        <v>65</v>
      </c>
      <c r="D25" s="28" t="s">
        <v>125</v>
      </c>
      <c r="E25" s="59">
        <v>0</v>
      </c>
      <c r="F25" s="59">
        <v>2</v>
      </c>
      <c r="G25" s="90"/>
      <c r="H25" s="90"/>
      <c r="I25" s="93"/>
      <c r="J25" s="96" t="s">
        <v>637</v>
      </c>
      <c r="K25" s="96"/>
      <c r="L25" s="69"/>
      <c r="M25" s="69"/>
      <c r="N25" s="39">
        <v>3</v>
      </c>
      <c r="O25" s="141" t="s">
        <v>123</v>
      </c>
      <c r="P25" s="141" t="s">
        <v>797</v>
      </c>
      <c r="Q25" s="141"/>
      <c r="R25" s="141"/>
      <c r="S25" s="141"/>
      <c r="T25" s="29">
        <v>0</v>
      </c>
      <c r="U25" s="145">
        <v>0</v>
      </c>
      <c r="V25" s="145">
        <v>0</v>
      </c>
      <c r="W25" s="145">
        <v>0</v>
      </c>
      <c r="X25" s="145">
        <v>0</v>
      </c>
      <c r="Y25" s="145">
        <v>0</v>
      </c>
      <c r="Z25" s="145">
        <v>0</v>
      </c>
      <c r="AA25" s="142">
        <f t="shared" si="2"/>
        <v>0</v>
      </c>
      <c r="AB25" s="141"/>
      <c r="AC25" s="67"/>
      <c r="AD25" s="67"/>
      <c r="AE25" s="24"/>
      <c r="AF25" s="24"/>
      <c r="AG25" s="24"/>
      <c r="AH25" s="71"/>
      <c r="AI25" s="69" t="s">
        <v>819</v>
      </c>
      <c r="AJ25" s="141">
        <v>2</v>
      </c>
      <c r="AK25" s="141" t="s">
        <v>761</v>
      </c>
      <c r="AL25" s="141"/>
      <c r="AM25" s="141"/>
      <c r="AN25" s="141"/>
      <c r="AO25" s="141"/>
      <c r="AP25" s="141" t="s">
        <v>757</v>
      </c>
      <c r="AQ25" s="141"/>
      <c r="AR25" s="141"/>
      <c r="AS25" s="141" t="s">
        <v>757</v>
      </c>
    </row>
    <row r="26" spans="1:45" ht="45" customHeight="1">
      <c r="A26" s="153">
        <v>23</v>
      </c>
      <c r="B26" s="153" t="s">
        <v>57</v>
      </c>
      <c r="C26" s="153" t="s">
        <v>65</v>
      </c>
      <c r="D26" s="28" t="s">
        <v>143</v>
      </c>
      <c r="E26" s="59"/>
      <c r="F26" s="59"/>
      <c r="G26" s="90"/>
      <c r="H26" s="90"/>
      <c r="I26" s="93"/>
      <c r="J26" s="96"/>
      <c r="K26" s="96"/>
      <c r="L26" s="69"/>
      <c r="M26" s="69" t="s">
        <v>820</v>
      </c>
      <c r="N26" s="39">
        <v>1</v>
      </c>
      <c r="O26" s="141" t="s">
        <v>794</v>
      </c>
      <c r="P26" s="141" t="s">
        <v>765</v>
      </c>
      <c r="Q26" s="141"/>
      <c r="R26" s="21"/>
      <c r="S26" s="141"/>
      <c r="T26" s="29">
        <v>0</v>
      </c>
      <c r="U26" s="145">
        <v>0</v>
      </c>
      <c r="V26" s="145">
        <v>0</v>
      </c>
      <c r="W26" s="145">
        <v>0</v>
      </c>
      <c r="X26" s="145">
        <v>0</v>
      </c>
      <c r="Y26" s="145">
        <v>0</v>
      </c>
      <c r="Z26" s="145">
        <v>0</v>
      </c>
      <c r="AA26" s="142">
        <f t="shared" si="2"/>
        <v>0</v>
      </c>
      <c r="AB26" s="141"/>
      <c r="AC26" s="67"/>
      <c r="AD26" s="67"/>
      <c r="AE26" s="24"/>
      <c r="AF26" s="24"/>
      <c r="AG26" s="24"/>
      <c r="AH26" s="71"/>
      <c r="AI26" s="69" t="s">
        <v>821</v>
      </c>
      <c r="AJ26" s="141">
        <v>2</v>
      </c>
      <c r="AK26" s="141" t="s">
        <v>761</v>
      </c>
      <c r="AL26" s="141"/>
      <c r="AM26" s="141">
        <v>100</v>
      </c>
      <c r="AN26" s="86">
        <v>45931</v>
      </c>
      <c r="AO26" s="141" t="s">
        <v>757</v>
      </c>
      <c r="AP26" s="141" t="s">
        <v>757</v>
      </c>
      <c r="AQ26" s="141"/>
      <c r="AR26" s="141"/>
      <c r="AS26" s="141" t="s">
        <v>757</v>
      </c>
    </row>
    <row r="27" spans="1:45" ht="45" customHeight="1">
      <c r="A27" s="153">
        <v>24</v>
      </c>
      <c r="B27" s="153" t="s">
        <v>57</v>
      </c>
      <c r="C27" s="153" t="s">
        <v>65</v>
      </c>
      <c r="D27" s="28" t="s">
        <v>655</v>
      </c>
      <c r="E27" s="59"/>
      <c r="F27" s="59"/>
      <c r="G27" s="90">
        <v>45923</v>
      </c>
      <c r="H27" s="90">
        <v>45926</v>
      </c>
      <c r="I27" s="93" t="s">
        <v>822</v>
      </c>
      <c r="J27" s="96" t="s">
        <v>823</v>
      </c>
      <c r="K27" s="96"/>
      <c r="L27" s="69"/>
      <c r="M27" s="69" t="s">
        <v>824</v>
      </c>
      <c r="N27" s="39">
        <v>2</v>
      </c>
      <c r="O27" s="141" t="s">
        <v>123</v>
      </c>
      <c r="P27" s="141" t="s">
        <v>811</v>
      </c>
      <c r="Q27" s="141"/>
      <c r="R27" s="141"/>
      <c r="S27" s="141"/>
      <c r="T27" s="29">
        <v>0</v>
      </c>
      <c r="U27" s="145">
        <v>0</v>
      </c>
      <c r="V27" s="145">
        <v>0</v>
      </c>
      <c r="W27" s="145">
        <v>0</v>
      </c>
      <c r="X27" s="145">
        <v>0</v>
      </c>
      <c r="Y27" s="145">
        <v>0</v>
      </c>
      <c r="Z27" s="145">
        <v>0</v>
      </c>
      <c r="AA27" s="142">
        <f t="shared" si="2"/>
        <v>0</v>
      </c>
      <c r="AB27" s="141"/>
      <c r="AC27" s="67"/>
      <c r="AD27" s="67"/>
      <c r="AE27" s="24"/>
      <c r="AF27" s="24"/>
      <c r="AG27" s="24"/>
      <c r="AH27" s="71"/>
      <c r="AI27" s="69" t="s">
        <v>825</v>
      </c>
      <c r="AJ27" s="141">
        <v>4</v>
      </c>
      <c r="AK27" s="141" t="s">
        <v>756</v>
      </c>
      <c r="AL27" s="141"/>
      <c r="AM27" s="141"/>
      <c r="AN27" s="141"/>
      <c r="AO27" s="141" t="s">
        <v>757</v>
      </c>
      <c r="AP27" s="141" t="s">
        <v>757</v>
      </c>
      <c r="AQ27" s="141"/>
      <c r="AR27" s="141"/>
      <c r="AS27" s="141" t="s">
        <v>757</v>
      </c>
    </row>
    <row r="28" spans="1:45" ht="45" customHeight="1">
      <c r="A28" s="153">
        <v>25</v>
      </c>
      <c r="B28" s="153" t="s">
        <v>57</v>
      </c>
      <c r="C28" s="153" t="s">
        <v>65</v>
      </c>
      <c r="D28" s="28" t="s">
        <v>650</v>
      </c>
      <c r="E28" s="59">
        <v>4</v>
      </c>
      <c r="F28" s="59">
        <v>3</v>
      </c>
      <c r="G28" s="90"/>
      <c r="H28" s="90">
        <v>45930</v>
      </c>
      <c r="I28" s="93" t="s">
        <v>826</v>
      </c>
      <c r="J28" s="96"/>
      <c r="K28" s="96"/>
      <c r="L28" s="69"/>
      <c r="M28" s="69" t="s">
        <v>827</v>
      </c>
      <c r="N28" s="39">
        <v>3</v>
      </c>
      <c r="O28" s="141" t="s">
        <v>150</v>
      </c>
      <c r="P28" s="141" t="s">
        <v>797</v>
      </c>
      <c r="Q28" s="141"/>
      <c r="R28" s="21"/>
      <c r="S28" s="141"/>
      <c r="T28" s="29">
        <v>0</v>
      </c>
      <c r="U28" s="145">
        <v>0</v>
      </c>
      <c r="V28" s="145">
        <v>0</v>
      </c>
      <c r="W28" s="145">
        <v>0</v>
      </c>
      <c r="X28" s="145">
        <v>0</v>
      </c>
      <c r="Y28" s="145">
        <v>0</v>
      </c>
      <c r="Z28" s="145">
        <v>0</v>
      </c>
      <c r="AA28" s="142">
        <f t="shared" si="2"/>
        <v>0</v>
      </c>
      <c r="AB28" s="141"/>
      <c r="AC28" s="67"/>
      <c r="AD28" s="67"/>
      <c r="AE28" s="24"/>
      <c r="AF28" s="24"/>
      <c r="AG28" s="24"/>
      <c r="AH28" s="71"/>
      <c r="AI28" s="69" t="s">
        <v>828</v>
      </c>
      <c r="AJ28" s="141"/>
      <c r="AK28" s="141"/>
      <c r="AL28" s="141">
        <v>80</v>
      </c>
      <c r="AM28" s="141"/>
      <c r="AN28" s="141"/>
      <c r="AO28" s="141"/>
      <c r="AP28" s="141" t="s">
        <v>757</v>
      </c>
      <c r="AQ28" s="141" t="s">
        <v>757</v>
      </c>
      <c r="AR28" s="141"/>
      <c r="AS28" s="141"/>
    </row>
    <row r="29" spans="1:45" ht="45" customHeight="1">
      <c r="A29" s="153">
        <v>26</v>
      </c>
      <c r="B29" s="153" t="s">
        <v>57</v>
      </c>
      <c r="C29" s="153" t="s">
        <v>65</v>
      </c>
      <c r="D29" s="28" t="s">
        <v>176</v>
      </c>
      <c r="E29" s="59"/>
      <c r="F29" s="59"/>
      <c r="G29" s="90"/>
      <c r="H29" s="90"/>
      <c r="I29" s="93"/>
      <c r="J29" s="96"/>
      <c r="K29" s="96"/>
      <c r="L29" s="69"/>
      <c r="M29" s="69" t="s">
        <v>829</v>
      </c>
      <c r="N29" s="39">
        <v>1</v>
      </c>
      <c r="O29" s="141" t="s">
        <v>794</v>
      </c>
      <c r="P29" s="141" t="s">
        <v>797</v>
      </c>
      <c r="Q29" s="141"/>
      <c r="R29" s="141"/>
      <c r="S29" s="141"/>
      <c r="T29" s="29">
        <v>0</v>
      </c>
      <c r="U29" s="145">
        <v>0</v>
      </c>
      <c r="V29" s="145">
        <v>0</v>
      </c>
      <c r="W29" s="145">
        <v>0</v>
      </c>
      <c r="X29" s="145">
        <v>0</v>
      </c>
      <c r="Y29" s="145">
        <v>0</v>
      </c>
      <c r="Z29" s="145">
        <v>0</v>
      </c>
      <c r="AA29" s="142">
        <f t="shared" si="2"/>
        <v>0</v>
      </c>
      <c r="AB29" s="141"/>
      <c r="AC29" s="67"/>
      <c r="AD29" s="67"/>
      <c r="AE29" s="24"/>
      <c r="AF29" s="24"/>
      <c r="AG29" s="24"/>
      <c r="AH29" s="71"/>
      <c r="AI29" s="69" t="s">
        <v>830</v>
      </c>
      <c r="AJ29" s="141">
        <v>10</v>
      </c>
      <c r="AK29" s="141" t="s">
        <v>756</v>
      </c>
      <c r="AL29" s="141">
        <v>100</v>
      </c>
      <c r="AM29" s="141">
        <v>200</v>
      </c>
      <c r="AN29" s="86">
        <v>45901</v>
      </c>
      <c r="AO29" s="141" t="s">
        <v>757</v>
      </c>
      <c r="AP29" s="141"/>
      <c r="AQ29" s="141"/>
      <c r="AR29" s="141"/>
      <c r="AS29" s="141"/>
    </row>
    <row r="30" spans="1:45" ht="45" customHeight="1">
      <c r="A30" s="153">
        <v>27</v>
      </c>
      <c r="B30" s="153" t="s">
        <v>57</v>
      </c>
      <c r="C30" s="153" t="s">
        <v>65</v>
      </c>
      <c r="D30" s="28" t="s">
        <v>688</v>
      </c>
      <c r="E30" s="59"/>
      <c r="F30" s="59"/>
      <c r="G30" s="90">
        <v>45870</v>
      </c>
      <c r="H30" s="90">
        <v>45936</v>
      </c>
      <c r="I30" s="93" t="s">
        <v>831</v>
      </c>
      <c r="J30" s="96"/>
      <c r="K30" s="96"/>
      <c r="L30" s="69"/>
      <c r="M30" s="69" t="s">
        <v>832</v>
      </c>
      <c r="N30" s="39">
        <v>1</v>
      </c>
      <c r="O30" s="141" t="s">
        <v>123</v>
      </c>
      <c r="P30" s="141" t="s">
        <v>805</v>
      </c>
      <c r="Q30" s="141"/>
      <c r="R30" s="141"/>
      <c r="S30" s="141"/>
      <c r="T30" s="29">
        <v>0</v>
      </c>
      <c r="U30" s="145">
        <v>0</v>
      </c>
      <c r="V30" s="145">
        <v>0</v>
      </c>
      <c r="W30" s="145">
        <v>0</v>
      </c>
      <c r="X30" s="145">
        <v>0</v>
      </c>
      <c r="Y30" s="145">
        <v>0</v>
      </c>
      <c r="Z30" s="145">
        <v>0</v>
      </c>
      <c r="AA30" s="142">
        <f t="shared" si="2"/>
        <v>0</v>
      </c>
      <c r="AB30" s="141"/>
      <c r="AC30" s="67"/>
      <c r="AD30" s="67"/>
      <c r="AE30" s="24"/>
      <c r="AF30" s="24"/>
      <c r="AG30" s="24"/>
      <c r="AH30" s="71"/>
      <c r="AI30" s="69" t="s">
        <v>833</v>
      </c>
      <c r="AJ30" s="141"/>
      <c r="AK30" s="141"/>
      <c r="AL30" s="141"/>
      <c r="AM30" s="141">
        <v>400</v>
      </c>
      <c r="AN30" s="86">
        <v>45931</v>
      </c>
      <c r="AO30" s="141" t="s">
        <v>757</v>
      </c>
      <c r="AP30" s="141" t="s">
        <v>757</v>
      </c>
      <c r="AQ30" s="141"/>
      <c r="AR30" s="141"/>
      <c r="AS30" s="141" t="s">
        <v>757</v>
      </c>
    </row>
    <row r="31" spans="1:45" ht="45" customHeight="1">
      <c r="A31" s="153">
        <v>28</v>
      </c>
      <c r="B31" s="153" t="s">
        <v>57</v>
      </c>
      <c r="C31" s="153" t="s">
        <v>65</v>
      </c>
      <c r="D31" s="28" t="s">
        <v>696</v>
      </c>
      <c r="E31" s="59"/>
      <c r="F31" s="59"/>
      <c r="G31" s="90"/>
      <c r="H31" s="90"/>
      <c r="I31" s="93"/>
      <c r="J31" s="96"/>
      <c r="K31" s="96"/>
      <c r="L31" s="69"/>
      <c r="M31" s="69" t="s">
        <v>834</v>
      </c>
      <c r="N31" s="39">
        <v>2</v>
      </c>
      <c r="O31" s="141" t="s">
        <v>835</v>
      </c>
      <c r="P31" s="141" t="s">
        <v>811</v>
      </c>
      <c r="Q31" s="141"/>
      <c r="R31" s="141"/>
      <c r="S31" s="141"/>
      <c r="T31" s="29">
        <v>0</v>
      </c>
      <c r="U31" s="145">
        <v>0</v>
      </c>
      <c r="V31" s="145">
        <v>0</v>
      </c>
      <c r="W31" s="145">
        <v>0</v>
      </c>
      <c r="X31" s="145">
        <v>0</v>
      </c>
      <c r="Y31" s="145">
        <v>0</v>
      </c>
      <c r="Z31" s="145">
        <v>0</v>
      </c>
      <c r="AA31" s="142">
        <f t="shared" si="2"/>
        <v>0</v>
      </c>
      <c r="AB31" s="141"/>
      <c r="AC31" s="67"/>
      <c r="AD31" s="67"/>
      <c r="AE31" s="24"/>
      <c r="AF31" s="24"/>
      <c r="AG31" s="24"/>
      <c r="AH31" s="71"/>
      <c r="AI31" s="69" t="s">
        <v>836</v>
      </c>
      <c r="AJ31" s="141"/>
      <c r="AK31" s="141"/>
      <c r="AL31" s="141"/>
      <c r="AM31" s="141">
        <v>100</v>
      </c>
      <c r="AN31" s="86">
        <v>45931</v>
      </c>
      <c r="AO31" s="141"/>
      <c r="AP31" s="141" t="s">
        <v>757</v>
      </c>
      <c r="AQ31" s="141"/>
      <c r="AR31" s="141"/>
      <c r="AS31" s="141" t="s">
        <v>757</v>
      </c>
    </row>
    <row r="32" spans="1:45" ht="45" customHeight="1">
      <c r="A32" s="153">
        <v>29</v>
      </c>
      <c r="B32" s="153" t="s">
        <v>57</v>
      </c>
      <c r="C32" s="153" t="s">
        <v>65</v>
      </c>
      <c r="D32" s="28" t="s">
        <v>671</v>
      </c>
      <c r="E32" s="59">
        <v>2.5</v>
      </c>
      <c r="F32" s="59">
        <v>2.5</v>
      </c>
      <c r="G32" s="90"/>
      <c r="H32" s="90"/>
      <c r="I32" s="93"/>
      <c r="J32" s="96" t="s">
        <v>673</v>
      </c>
      <c r="K32" s="96"/>
      <c r="L32" s="69"/>
      <c r="M32" s="69" t="s">
        <v>837</v>
      </c>
      <c r="N32" s="39">
        <v>2</v>
      </c>
      <c r="O32" s="141" t="s">
        <v>753</v>
      </c>
      <c r="P32" s="141" t="s">
        <v>805</v>
      </c>
      <c r="Q32" s="141"/>
      <c r="R32" s="141"/>
      <c r="S32" s="141"/>
      <c r="T32" s="29">
        <v>0</v>
      </c>
      <c r="U32" s="145">
        <v>0</v>
      </c>
      <c r="V32" s="145">
        <v>0</v>
      </c>
      <c r="W32" s="145">
        <v>0</v>
      </c>
      <c r="X32" s="145">
        <v>0</v>
      </c>
      <c r="Y32" s="145">
        <v>0</v>
      </c>
      <c r="Z32" s="145">
        <v>0</v>
      </c>
      <c r="AA32" s="142">
        <f t="shared" si="2"/>
        <v>0</v>
      </c>
      <c r="AB32" s="141"/>
      <c r="AC32" s="67"/>
      <c r="AD32" s="67"/>
      <c r="AE32" s="24"/>
      <c r="AF32" s="24"/>
      <c r="AG32" s="24"/>
      <c r="AH32" s="71"/>
      <c r="AI32" s="69" t="s">
        <v>838</v>
      </c>
      <c r="AJ32" s="141"/>
      <c r="AK32" s="141"/>
      <c r="AL32" s="141"/>
      <c r="AM32" s="141">
        <v>60</v>
      </c>
      <c r="AN32" s="86">
        <v>45962</v>
      </c>
      <c r="AO32" s="141" t="s">
        <v>757</v>
      </c>
      <c r="AP32" s="141" t="s">
        <v>757</v>
      </c>
      <c r="AQ32" s="141"/>
      <c r="AR32" s="141"/>
      <c r="AS32" s="141"/>
    </row>
    <row r="33" spans="1:45" ht="45" customHeight="1">
      <c r="A33" s="153">
        <v>30</v>
      </c>
      <c r="B33" s="153" t="s">
        <v>57</v>
      </c>
      <c r="C33" s="153" t="s">
        <v>65</v>
      </c>
      <c r="D33" s="28" t="s">
        <v>667</v>
      </c>
      <c r="E33" s="59">
        <v>4</v>
      </c>
      <c r="F33" s="59">
        <v>4</v>
      </c>
      <c r="G33" s="90">
        <v>45910</v>
      </c>
      <c r="H33" s="90">
        <v>45940</v>
      </c>
      <c r="I33" s="93"/>
      <c r="J33" s="93" t="s">
        <v>669</v>
      </c>
      <c r="K33" s="96"/>
      <c r="L33" s="69"/>
      <c r="M33" s="69" t="s">
        <v>839</v>
      </c>
      <c r="N33" s="39">
        <v>2</v>
      </c>
      <c r="O33" s="141" t="s">
        <v>123</v>
      </c>
      <c r="P33" s="141" t="s">
        <v>797</v>
      </c>
      <c r="Q33" s="141"/>
      <c r="R33" s="141"/>
      <c r="S33" s="141"/>
      <c r="T33" s="29">
        <v>0</v>
      </c>
      <c r="U33" s="145">
        <v>0</v>
      </c>
      <c r="V33" s="145">
        <v>0</v>
      </c>
      <c r="W33" s="145">
        <v>0</v>
      </c>
      <c r="X33" s="145">
        <v>0</v>
      </c>
      <c r="Y33" s="145">
        <v>0</v>
      </c>
      <c r="Z33" s="145">
        <v>0</v>
      </c>
      <c r="AA33" s="142">
        <f t="shared" si="2"/>
        <v>0</v>
      </c>
      <c r="AB33" s="141"/>
      <c r="AC33" s="67"/>
      <c r="AD33" s="67"/>
      <c r="AE33" s="24"/>
      <c r="AF33" s="24"/>
      <c r="AG33" s="24"/>
      <c r="AH33" s="71"/>
      <c r="AI33" s="69" t="s">
        <v>840</v>
      </c>
      <c r="AJ33" s="141"/>
      <c r="AK33" s="141"/>
      <c r="AL33" s="141"/>
      <c r="AM33" s="141">
        <v>15</v>
      </c>
      <c r="AN33" s="86">
        <v>45992</v>
      </c>
      <c r="AO33" s="141" t="s">
        <v>757</v>
      </c>
      <c r="AP33" s="141"/>
      <c r="AQ33" s="141"/>
      <c r="AR33" s="141"/>
      <c r="AS33" s="141"/>
    </row>
    <row r="34" spans="1:45" ht="45" customHeight="1">
      <c r="A34" s="153">
        <v>31</v>
      </c>
      <c r="B34" s="153" t="s">
        <v>57</v>
      </c>
      <c r="C34" s="153" t="s">
        <v>65</v>
      </c>
      <c r="D34" s="28" t="s">
        <v>605</v>
      </c>
      <c r="E34" s="59"/>
      <c r="F34" s="59"/>
      <c r="G34" s="90"/>
      <c r="H34" s="90">
        <v>45946</v>
      </c>
      <c r="I34" s="93" t="s">
        <v>841</v>
      </c>
      <c r="J34" s="96"/>
      <c r="K34" s="96"/>
      <c r="L34" s="69"/>
      <c r="M34" s="69" t="s">
        <v>842</v>
      </c>
      <c r="N34" s="39">
        <v>2</v>
      </c>
      <c r="O34" s="141" t="s">
        <v>123</v>
      </c>
      <c r="P34" s="141" t="s">
        <v>811</v>
      </c>
      <c r="Q34" s="141"/>
      <c r="R34" s="21"/>
      <c r="S34" s="141"/>
      <c r="T34" s="29">
        <v>0</v>
      </c>
      <c r="U34" s="145">
        <v>0</v>
      </c>
      <c r="V34" s="145">
        <v>0</v>
      </c>
      <c r="W34" s="145">
        <v>0</v>
      </c>
      <c r="X34" s="145">
        <v>0</v>
      </c>
      <c r="Y34" s="145">
        <v>0</v>
      </c>
      <c r="Z34" s="145">
        <v>0</v>
      </c>
      <c r="AA34" s="142">
        <f t="shared" si="2"/>
        <v>0</v>
      </c>
      <c r="AB34" s="141"/>
      <c r="AC34" s="67"/>
      <c r="AD34" s="67"/>
      <c r="AE34" s="24"/>
      <c r="AF34" s="24"/>
      <c r="AG34" s="24"/>
      <c r="AH34" s="71"/>
      <c r="AI34" s="69" t="s">
        <v>843</v>
      </c>
      <c r="AJ34" s="141"/>
      <c r="AK34" s="141"/>
      <c r="AL34" s="141"/>
      <c r="AM34" s="141">
        <v>15</v>
      </c>
      <c r="AN34" s="86">
        <v>45901</v>
      </c>
      <c r="AO34" s="141" t="s">
        <v>757</v>
      </c>
      <c r="AP34" s="141"/>
      <c r="AQ34" s="141"/>
      <c r="AR34" s="141"/>
      <c r="AS34" s="141"/>
    </row>
    <row r="35" spans="1:45" ht="45" customHeight="1">
      <c r="A35" s="153">
        <v>32</v>
      </c>
      <c r="B35" s="153" t="s">
        <v>57</v>
      </c>
      <c r="C35" s="153" t="s">
        <v>63</v>
      </c>
      <c r="D35" s="28" t="s">
        <v>152</v>
      </c>
      <c r="E35" s="59">
        <v>2</v>
      </c>
      <c r="F35" s="59">
        <v>4</v>
      </c>
      <c r="G35" s="90">
        <v>45922</v>
      </c>
      <c r="H35" s="90">
        <v>45925</v>
      </c>
      <c r="I35" s="93" t="s">
        <v>686</v>
      </c>
      <c r="J35" s="96" t="s">
        <v>687</v>
      </c>
      <c r="K35" s="96" t="s">
        <v>844</v>
      </c>
      <c r="L35" s="69"/>
      <c r="M35" s="69" t="s">
        <v>845</v>
      </c>
      <c r="N35" s="39">
        <v>3</v>
      </c>
      <c r="O35" s="141" t="s">
        <v>753</v>
      </c>
      <c r="P35" s="141" t="s">
        <v>210</v>
      </c>
      <c r="Q35" s="141"/>
      <c r="R35" s="141"/>
      <c r="S35" s="141"/>
      <c r="T35" s="29">
        <v>0</v>
      </c>
      <c r="U35" s="145">
        <v>0</v>
      </c>
      <c r="V35" s="145">
        <v>0</v>
      </c>
      <c r="W35" s="145">
        <v>0</v>
      </c>
      <c r="X35" s="145">
        <v>0</v>
      </c>
      <c r="Y35" s="145">
        <v>0</v>
      </c>
      <c r="Z35" s="145">
        <v>0</v>
      </c>
      <c r="AA35" s="142">
        <f t="shared" si="2"/>
        <v>0</v>
      </c>
      <c r="AB35" s="141"/>
      <c r="AC35" s="67"/>
      <c r="AD35" s="67"/>
      <c r="AE35" s="24"/>
      <c r="AF35" s="24"/>
      <c r="AG35" s="24"/>
      <c r="AH35" s="71"/>
      <c r="AI35" s="69" t="s">
        <v>846</v>
      </c>
      <c r="AJ35" s="141">
        <v>15</v>
      </c>
      <c r="AK35" s="141" t="s">
        <v>761</v>
      </c>
      <c r="AL35" s="141"/>
      <c r="AM35" s="141"/>
      <c r="AN35" s="141"/>
      <c r="AO35" s="141"/>
      <c r="AP35" s="141" t="s">
        <v>757</v>
      </c>
      <c r="AQ35" s="141"/>
      <c r="AR35" s="141"/>
      <c r="AS35" s="141"/>
    </row>
    <row r="36" spans="1:45" ht="45" customHeight="1">
      <c r="A36" s="153">
        <v>33</v>
      </c>
      <c r="B36" s="153" t="s">
        <v>57</v>
      </c>
      <c r="C36" s="153" t="s">
        <v>63</v>
      </c>
      <c r="D36" s="28" t="s">
        <v>674</v>
      </c>
      <c r="E36" s="59">
        <v>4</v>
      </c>
      <c r="F36" s="59">
        <v>4</v>
      </c>
      <c r="G36" s="90"/>
      <c r="H36" s="90">
        <v>45930</v>
      </c>
      <c r="I36" s="93" t="s">
        <v>847</v>
      </c>
      <c r="J36" s="93" t="s">
        <v>848</v>
      </c>
      <c r="K36" s="96"/>
      <c r="L36" s="69"/>
      <c r="M36" s="69"/>
      <c r="N36" s="39">
        <v>3</v>
      </c>
      <c r="O36" s="141" t="s">
        <v>150</v>
      </c>
      <c r="P36" s="141" t="s">
        <v>805</v>
      </c>
      <c r="Q36" s="141"/>
      <c r="R36" s="21"/>
      <c r="S36" s="141"/>
      <c r="T36" s="29">
        <v>0</v>
      </c>
      <c r="U36" s="145">
        <v>0</v>
      </c>
      <c r="V36" s="145">
        <v>0</v>
      </c>
      <c r="W36" s="145">
        <v>0</v>
      </c>
      <c r="X36" s="145">
        <v>0</v>
      </c>
      <c r="Y36" s="145">
        <v>0</v>
      </c>
      <c r="Z36" s="145">
        <v>0</v>
      </c>
      <c r="AA36" s="142">
        <f t="shared" ref="AA36:AA67" si="3">AVERAGE(T36:Z36)</f>
        <v>0</v>
      </c>
      <c r="AB36" s="141"/>
      <c r="AC36" s="67"/>
      <c r="AD36" s="67"/>
      <c r="AE36" s="24"/>
      <c r="AF36" s="24"/>
      <c r="AG36" s="24"/>
      <c r="AH36" s="71"/>
      <c r="AI36" s="69" t="s">
        <v>849</v>
      </c>
      <c r="AJ36" s="141">
        <v>4</v>
      </c>
      <c r="AK36" s="141" t="s">
        <v>756</v>
      </c>
      <c r="AL36" s="141"/>
      <c r="AM36" s="141">
        <v>100</v>
      </c>
      <c r="AN36" s="86">
        <v>45901</v>
      </c>
      <c r="AO36" s="141" t="s">
        <v>757</v>
      </c>
      <c r="AP36" s="141" t="s">
        <v>757</v>
      </c>
      <c r="AQ36" s="141" t="s">
        <v>757</v>
      </c>
      <c r="AR36" s="141" t="s">
        <v>757</v>
      </c>
      <c r="AS36" s="141" t="s">
        <v>757</v>
      </c>
    </row>
    <row r="37" spans="1:45" ht="45" customHeight="1">
      <c r="A37" s="153">
        <v>34</v>
      </c>
      <c r="B37" s="153" t="s">
        <v>57</v>
      </c>
      <c r="C37" s="153" t="s">
        <v>63</v>
      </c>
      <c r="D37" s="28" t="s">
        <v>154</v>
      </c>
      <c r="E37" s="59">
        <v>5</v>
      </c>
      <c r="F37" s="59">
        <v>5</v>
      </c>
      <c r="G37" s="90">
        <v>45917</v>
      </c>
      <c r="H37" s="90">
        <v>45929</v>
      </c>
      <c r="I37" s="93" t="s">
        <v>640</v>
      </c>
      <c r="J37" s="96" t="s">
        <v>850</v>
      </c>
      <c r="K37" s="96" t="s">
        <v>642</v>
      </c>
      <c r="L37" s="69"/>
      <c r="M37" s="69" t="s">
        <v>851</v>
      </c>
      <c r="N37" s="39">
        <v>1</v>
      </c>
      <c r="O37" s="141" t="s">
        <v>150</v>
      </c>
      <c r="P37" s="141" t="s">
        <v>765</v>
      </c>
      <c r="Q37" s="141"/>
      <c r="R37" s="141"/>
      <c r="S37" s="141"/>
      <c r="T37" s="29">
        <v>0</v>
      </c>
      <c r="U37" s="145">
        <v>0</v>
      </c>
      <c r="V37" s="145">
        <v>0</v>
      </c>
      <c r="W37" s="145">
        <v>0</v>
      </c>
      <c r="X37" s="145">
        <v>0</v>
      </c>
      <c r="Y37" s="145">
        <v>0</v>
      </c>
      <c r="Z37" s="145">
        <v>0</v>
      </c>
      <c r="AA37" s="142">
        <f t="shared" si="3"/>
        <v>0</v>
      </c>
      <c r="AB37" s="141"/>
      <c r="AC37" s="67"/>
      <c r="AD37" s="67"/>
      <c r="AE37" s="24"/>
      <c r="AF37" s="24"/>
      <c r="AG37" s="24"/>
      <c r="AH37" s="71"/>
      <c r="AI37" s="69" t="s">
        <v>852</v>
      </c>
      <c r="AJ37" s="141">
        <v>5</v>
      </c>
      <c r="AK37" s="141" t="s">
        <v>756</v>
      </c>
      <c r="AL37" s="141"/>
      <c r="AM37" s="141"/>
      <c r="AN37" s="141"/>
      <c r="AO37" s="141" t="s">
        <v>757</v>
      </c>
      <c r="AP37" s="141" t="s">
        <v>757</v>
      </c>
      <c r="AQ37" s="141" t="s">
        <v>757</v>
      </c>
      <c r="AR37" s="141"/>
      <c r="AS37" s="141" t="s">
        <v>757</v>
      </c>
    </row>
    <row r="38" spans="1:45" ht="45" customHeight="1">
      <c r="A38" s="153">
        <v>35</v>
      </c>
      <c r="B38" s="153" t="s">
        <v>57</v>
      </c>
      <c r="C38" s="153" t="s">
        <v>63</v>
      </c>
      <c r="D38" s="28" t="s">
        <v>141</v>
      </c>
      <c r="E38" s="59">
        <v>0</v>
      </c>
      <c r="F38" s="59">
        <v>0</v>
      </c>
      <c r="G38" s="90">
        <v>45902</v>
      </c>
      <c r="H38" s="90">
        <v>45925</v>
      </c>
      <c r="I38" s="93"/>
      <c r="J38" s="96" t="s">
        <v>853</v>
      </c>
      <c r="K38" s="96"/>
      <c r="L38" s="69"/>
      <c r="M38" s="69"/>
      <c r="N38" s="39">
        <v>1</v>
      </c>
      <c r="O38" s="141" t="s">
        <v>150</v>
      </c>
      <c r="P38" s="141" t="s">
        <v>210</v>
      </c>
      <c r="Q38" s="141"/>
      <c r="R38" s="141"/>
      <c r="S38" s="141"/>
      <c r="T38" s="29">
        <v>0</v>
      </c>
      <c r="U38" s="145">
        <v>0</v>
      </c>
      <c r="V38" s="145">
        <v>0</v>
      </c>
      <c r="W38" s="145">
        <v>0</v>
      </c>
      <c r="X38" s="145">
        <v>0</v>
      </c>
      <c r="Y38" s="145">
        <v>0</v>
      </c>
      <c r="Z38" s="145">
        <v>0</v>
      </c>
      <c r="AA38" s="142">
        <f t="shared" si="3"/>
        <v>0</v>
      </c>
      <c r="AB38" s="141"/>
      <c r="AC38" s="67"/>
      <c r="AD38" s="67"/>
      <c r="AE38" s="24"/>
      <c r="AF38" s="24"/>
      <c r="AG38" s="24"/>
      <c r="AH38" s="71"/>
      <c r="AI38" s="69" t="s">
        <v>854</v>
      </c>
      <c r="AJ38" s="141">
        <v>2</v>
      </c>
      <c r="AK38" s="141" t="s">
        <v>855</v>
      </c>
      <c r="AL38" s="141"/>
      <c r="AM38" s="141">
        <v>50</v>
      </c>
      <c r="AN38" s="86">
        <v>45962</v>
      </c>
      <c r="AO38" s="141" t="s">
        <v>757</v>
      </c>
      <c r="AP38" s="141" t="s">
        <v>757</v>
      </c>
      <c r="AQ38" s="141" t="s">
        <v>757</v>
      </c>
      <c r="AR38" s="141"/>
      <c r="AS38" s="141"/>
    </row>
    <row r="39" spans="1:45" ht="45" customHeight="1">
      <c r="A39" s="153">
        <v>36</v>
      </c>
      <c r="B39" s="153" t="s">
        <v>57</v>
      </c>
      <c r="C39" s="153" t="s">
        <v>63</v>
      </c>
      <c r="D39" s="28" t="s">
        <v>608</v>
      </c>
      <c r="E39" s="59">
        <v>2</v>
      </c>
      <c r="F39" s="59">
        <v>5</v>
      </c>
      <c r="G39" s="90">
        <v>45924</v>
      </c>
      <c r="H39" s="90">
        <v>45932</v>
      </c>
      <c r="I39" s="93" t="s">
        <v>609</v>
      </c>
      <c r="J39" s="96" t="s">
        <v>856</v>
      </c>
      <c r="K39" s="96"/>
      <c r="L39" s="69"/>
      <c r="M39" s="69"/>
      <c r="N39" s="39">
        <v>1</v>
      </c>
      <c r="O39" s="141" t="s">
        <v>150</v>
      </c>
      <c r="P39" s="141" t="s">
        <v>765</v>
      </c>
      <c r="Q39" s="141"/>
      <c r="R39" s="141"/>
      <c r="S39" s="141"/>
      <c r="T39" s="29">
        <v>0</v>
      </c>
      <c r="U39" s="145">
        <v>0</v>
      </c>
      <c r="V39" s="145">
        <v>0</v>
      </c>
      <c r="W39" s="145">
        <v>0</v>
      </c>
      <c r="X39" s="145">
        <v>0</v>
      </c>
      <c r="Y39" s="145">
        <v>0</v>
      </c>
      <c r="Z39" s="145">
        <v>0</v>
      </c>
      <c r="AA39" s="142">
        <f t="shared" si="3"/>
        <v>0</v>
      </c>
      <c r="AB39" s="141"/>
      <c r="AC39" s="67"/>
      <c r="AD39" s="67"/>
      <c r="AE39" s="24"/>
      <c r="AF39" s="24"/>
      <c r="AG39" s="24"/>
      <c r="AH39" s="71"/>
      <c r="AI39" s="69" t="s">
        <v>857</v>
      </c>
      <c r="AJ39" s="141">
        <v>5</v>
      </c>
      <c r="AK39" s="141" t="s">
        <v>761</v>
      </c>
      <c r="AL39" s="141"/>
      <c r="AM39" s="141">
        <v>80</v>
      </c>
      <c r="AN39" s="86">
        <v>45931</v>
      </c>
      <c r="AO39" s="141" t="s">
        <v>757</v>
      </c>
      <c r="AP39" s="141" t="s">
        <v>757</v>
      </c>
      <c r="AQ39" s="141"/>
      <c r="AR39" s="141"/>
      <c r="AS39" s="141" t="s">
        <v>757</v>
      </c>
    </row>
    <row r="40" spans="1:45" ht="45" customHeight="1">
      <c r="A40" s="153">
        <v>37</v>
      </c>
      <c r="B40" s="153" t="s">
        <v>57</v>
      </c>
      <c r="C40" s="153" t="s">
        <v>63</v>
      </c>
      <c r="D40" s="28" t="s">
        <v>683</v>
      </c>
      <c r="E40" s="59">
        <v>5</v>
      </c>
      <c r="F40" s="59">
        <v>5</v>
      </c>
      <c r="G40" s="90">
        <v>45922</v>
      </c>
      <c r="H40" s="90">
        <v>45931</v>
      </c>
      <c r="I40" s="93"/>
      <c r="J40" s="96"/>
      <c r="K40" s="96" t="s">
        <v>685</v>
      </c>
      <c r="L40" s="69"/>
      <c r="M40" s="69"/>
      <c r="N40" s="39">
        <v>1</v>
      </c>
      <c r="O40" s="141" t="s">
        <v>150</v>
      </c>
      <c r="P40" s="141" t="s">
        <v>765</v>
      </c>
      <c r="Q40" s="141"/>
      <c r="R40" s="141"/>
      <c r="S40" s="141"/>
      <c r="T40" s="29">
        <v>0</v>
      </c>
      <c r="U40" s="145">
        <v>0</v>
      </c>
      <c r="V40" s="145">
        <v>0</v>
      </c>
      <c r="W40" s="145">
        <v>0</v>
      </c>
      <c r="X40" s="145">
        <v>0</v>
      </c>
      <c r="Y40" s="145">
        <v>0</v>
      </c>
      <c r="Z40" s="145">
        <v>0</v>
      </c>
      <c r="AA40" s="142">
        <f t="shared" si="3"/>
        <v>0</v>
      </c>
      <c r="AB40" s="141"/>
      <c r="AC40" s="67"/>
      <c r="AD40" s="67"/>
      <c r="AE40" s="24"/>
      <c r="AF40" s="24"/>
      <c r="AG40" s="24"/>
      <c r="AH40" s="71"/>
      <c r="AI40" s="69" t="s">
        <v>858</v>
      </c>
      <c r="AJ40" s="141">
        <v>5</v>
      </c>
      <c r="AK40" s="141" t="s">
        <v>756</v>
      </c>
      <c r="AL40" s="141"/>
      <c r="AM40" s="141">
        <v>250</v>
      </c>
      <c r="AN40" s="86">
        <v>45931</v>
      </c>
      <c r="AO40" s="141" t="s">
        <v>757</v>
      </c>
      <c r="AP40" s="141" t="s">
        <v>757</v>
      </c>
      <c r="AQ40" s="141"/>
      <c r="AR40" s="141"/>
      <c r="AS40" s="141"/>
    </row>
    <row r="41" spans="1:45" ht="45" customHeight="1">
      <c r="A41" s="153">
        <v>38</v>
      </c>
      <c r="B41" s="153" t="s">
        <v>57</v>
      </c>
      <c r="C41" s="153" t="s">
        <v>63</v>
      </c>
      <c r="D41" s="28" t="s">
        <v>680</v>
      </c>
      <c r="E41" s="59">
        <v>5</v>
      </c>
      <c r="F41" s="59">
        <v>5</v>
      </c>
      <c r="G41" s="90">
        <v>45922</v>
      </c>
      <c r="H41" s="90">
        <v>45931</v>
      </c>
      <c r="I41" s="93"/>
      <c r="J41" s="95" t="s">
        <v>859</v>
      </c>
      <c r="K41" s="95"/>
      <c r="L41" s="69"/>
      <c r="M41" s="69"/>
      <c r="N41" s="39">
        <v>1</v>
      </c>
      <c r="O41" s="141" t="s">
        <v>150</v>
      </c>
      <c r="P41" s="141" t="s">
        <v>765</v>
      </c>
      <c r="Q41" s="141"/>
      <c r="R41" s="141"/>
      <c r="S41" s="141"/>
      <c r="T41" s="29">
        <v>0</v>
      </c>
      <c r="U41" s="145">
        <v>0</v>
      </c>
      <c r="V41" s="145">
        <v>0</v>
      </c>
      <c r="W41" s="145">
        <v>0</v>
      </c>
      <c r="X41" s="145">
        <v>0</v>
      </c>
      <c r="Y41" s="145">
        <v>0</v>
      </c>
      <c r="Z41" s="145">
        <v>0</v>
      </c>
      <c r="AA41" s="142">
        <f t="shared" si="3"/>
        <v>0</v>
      </c>
      <c r="AB41" s="141"/>
      <c r="AC41" s="67"/>
      <c r="AD41" s="67"/>
      <c r="AE41" s="24"/>
      <c r="AF41" s="24"/>
      <c r="AG41" s="24"/>
      <c r="AH41" s="71"/>
      <c r="AI41" s="69" t="s">
        <v>860</v>
      </c>
      <c r="AJ41" s="141">
        <v>5</v>
      </c>
      <c r="AK41" s="141" t="s">
        <v>756</v>
      </c>
      <c r="AL41" s="141"/>
      <c r="AM41" s="141"/>
      <c r="AN41" s="141"/>
      <c r="AO41" s="141"/>
      <c r="AP41" s="141"/>
      <c r="AQ41" s="141"/>
      <c r="AR41" s="141"/>
      <c r="AS41" s="141" t="s">
        <v>757</v>
      </c>
    </row>
    <row r="42" spans="1:45" ht="45" customHeight="1">
      <c r="A42" s="153">
        <v>39</v>
      </c>
      <c r="B42" s="153" t="s">
        <v>57</v>
      </c>
      <c r="C42" s="153" t="s">
        <v>63</v>
      </c>
      <c r="D42" s="28" t="s">
        <v>705</v>
      </c>
      <c r="E42" s="59"/>
      <c r="F42" s="59"/>
      <c r="G42" s="90"/>
      <c r="H42" s="90"/>
      <c r="I42" s="93"/>
      <c r="J42" s="96"/>
      <c r="K42" s="96"/>
      <c r="L42" s="69"/>
      <c r="M42" s="69"/>
      <c r="N42" s="39">
        <v>2</v>
      </c>
      <c r="O42" s="141" t="s">
        <v>409</v>
      </c>
      <c r="P42" s="141" t="s">
        <v>861</v>
      </c>
      <c r="Q42" s="141"/>
      <c r="R42" s="141"/>
      <c r="S42" s="141"/>
      <c r="T42" s="29">
        <v>0</v>
      </c>
      <c r="U42" s="145">
        <v>0</v>
      </c>
      <c r="V42" s="145">
        <v>0</v>
      </c>
      <c r="W42" s="145">
        <v>0</v>
      </c>
      <c r="X42" s="145">
        <v>0</v>
      </c>
      <c r="Y42" s="145">
        <v>0</v>
      </c>
      <c r="Z42" s="145">
        <v>0</v>
      </c>
      <c r="AA42" s="142">
        <f t="shared" si="3"/>
        <v>0</v>
      </c>
      <c r="AB42" s="141"/>
      <c r="AC42" s="67"/>
      <c r="AD42" s="67"/>
      <c r="AE42" s="24"/>
      <c r="AF42" s="24"/>
      <c r="AG42" s="24"/>
      <c r="AH42" s="71"/>
      <c r="AI42" s="69" t="s">
        <v>862</v>
      </c>
      <c r="AJ42" s="141">
        <v>10</v>
      </c>
      <c r="AK42" s="141" t="s">
        <v>761</v>
      </c>
      <c r="AL42" s="141"/>
      <c r="AM42" s="141"/>
      <c r="AN42" s="141"/>
      <c r="AO42" s="141" t="s">
        <v>757</v>
      </c>
      <c r="AP42" s="141" t="s">
        <v>757</v>
      </c>
      <c r="AQ42" s="141" t="s">
        <v>757</v>
      </c>
      <c r="AR42" s="141"/>
      <c r="AS42" s="141"/>
    </row>
    <row r="43" spans="1:45" ht="45" customHeight="1">
      <c r="A43" s="153">
        <v>40</v>
      </c>
      <c r="B43" s="153" t="s">
        <v>57</v>
      </c>
      <c r="C43" s="153" t="s">
        <v>63</v>
      </c>
      <c r="D43" s="28" t="s">
        <v>713</v>
      </c>
      <c r="E43" s="59">
        <v>4</v>
      </c>
      <c r="F43" s="59">
        <v>4</v>
      </c>
      <c r="G43" s="90"/>
      <c r="H43" s="90">
        <v>45925</v>
      </c>
      <c r="I43" s="93" t="s">
        <v>714</v>
      </c>
      <c r="J43" s="96" t="s">
        <v>863</v>
      </c>
      <c r="K43" s="96"/>
      <c r="L43" s="69"/>
      <c r="M43" s="69"/>
      <c r="N43" s="39">
        <v>1</v>
      </c>
      <c r="O43" s="141" t="s">
        <v>150</v>
      </c>
      <c r="P43" s="141" t="s">
        <v>764</v>
      </c>
      <c r="Q43" s="141"/>
      <c r="R43" s="141"/>
      <c r="S43" s="141"/>
      <c r="T43" s="29">
        <v>0</v>
      </c>
      <c r="U43" s="145">
        <v>0</v>
      </c>
      <c r="V43" s="145">
        <v>0</v>
      </c>
      <c r="W43" s="145">
        <v>0</v>
      </c>
      <c r="X43" s="145">
        <v>0</v>
      </c>
      <c r="Y43" s="145">
        <v>0</v>
      </c>
      <c r="Z43" s="145">
        <v>0</v>
      </c>
      <c r="AA43" s="142">
        <f t="shared" si="3"/>
        <v>0</v>
      </c>
      <c r="AB43" s="141"/>
      <c r="AC43" s="67"/>
      <c r="AD43" s="67"/>
      <c r="AE43" s="24"/>
      <c r="AF43" s="24"/>
      <c r="AG43" s="24"/>
      <c r="AH43" s="71"/>
      <c r="AI43" s="69" t="s">
        <v>864</v>
      </c>
      <c r="AJ43" s="141"/>
      <c r="AK43" s="141"/>
      <c r="AL43" s="141"/>
      <c r="AM43" s="141">
        <v>50</v>
      </c>
      <c r="AN43" s="86">
        <v>45901</v>
      </c>
      <c r="AO43" s="141" t="s">
        <v>757</v>
      </c>
      <c r="AP43" s="141" t="s">
        <v>757</v>
      </c>
      <c r="AQ43" s="141"/>
      <c r="AR43" s="141"/>
      <c r="AS43" s="141" t="s">
        <v>757</v>
      </c>
    </row>
    <row r="44" spans="1:45" ht="45" customHeight="1">
      <c r="A44" s="153">
        <v>41</v>
      </c>
      <c r="B44" s="153" t="s">
        <v>57</v>
      </c>
      <c r="C44" s="153" t="s">
        <v>63</v>
      </c>
      <c r="D44" s="28" t="s">
        <v>648</v>
      </c>
      <c r="E44" s="59"/>
      <c r="F44" s="59"/>
      <c r="G44" s="90"/>
      <c r="H44" s="90">
        <v>45925</v>
      </c>
      <c r="I44" s="93"/>
      <c r="J44" s="96" t="s">
        <v>865</v>
      </c>
      <c r="K44" s="96"/>
      <c r="L44" s="69"/>
      <c r="M44" s="69"/>
      <c r="N44" s="39">
        <v>2</v>
      </c>
      <c r="O44" s="141" t="s">
        <v>150</v>
      </c>
      <c r="P44" s="141" t="s">
        <v>805</v>
      </c>
      <c r="Q44" s="141"/>
      <c r="R44" s="141"/>
      <c r="S44" s="141"/>
      <c r="T44" s="29">
        <v>0</v>
      </c>
      <c r="U44" s="145">
        <v>0</v>
      </c>
      <c r="V44" s="145">
        <v>0</v>
      </c>
      <c r="W44" s="145">
        <v>0</v>
      </c>
      <c r="X44" s="145">
        <v>0</v>
      </c>
      <c r="Y44" s="145">
        <v>0</v>
      </c>
      <c r="Z44" s="145">
        <v>0</v>
      </c>
      <c r="AA44" s="142">
        <f t="shared" si="3"/>
        <v>0</v>
      </c>
      <c r="AB44" s="141"/>
      <c r="AC44" s="67"/>
      <c r="AD44" s="67"/>
      <c r="AE44" s="24"/>
      <c r="AF44" s="24"/>
      <c r="AG44" s="24"/>
      <c r="AH44" s="71"/>
      <c r="AI44" s="69" t="s">
        <v>866</v>
      </c>
      <c r="AJ44" s="141"/>
      <c r="AK44" s="141"/>
      <c r="AL44" s="141"/>
      <c r="AM44" s="141">
        <v>30</v>
      </c>
      <c r="AN44" s="86">
        <v>45901</v>
      </c>
      <c r="AO44" s="141" t="s">
        <v>757</v>
      </c>
      <c r="AP44" s="141" t="s">
        <v>757</v>
      </c>
      <c r="AQ44" s="141" t="s">
        <v>757</v>
      </c>
      <c r="AR44" s="141"/>
      <c r="AS44" s="141"/>
    </row>
    <row r="45" spans="1:45" ht="45" customHeight="1">
      <c r="A45" s="153">
        <v>42</v>
      </c>
      <c r="B45" s="153" t="s">
        <v>57</v>
      </c>
      <c r="C45" s="153" t="s">
        <v>63</v>
      </c>
      <c r="D45" s="28" t="s">
        <v>628</v>
      </c>
      <c r="E45" s="59"/>
      <c r="F45" s="59"/>
      <c r="G45" s="90"/>
      <c r="H45" s="90" t="s">
        <v>867</v>
      </c>
      <c r="I45" s="93" t="s">
        <v>629</v>
      </c>
      <c r="J45" s="96"/>
      <c r="K45" s="96"/>
      <c r="L45" s="69"/>
      <c r="M45" s="69"/>
      <c r="N45" s="39">
        <v>2</v>
      </c>
      <c r="O45" s="141" t="s">
        <v>150</v>
      </c>
      <c r="P45" s="141" t="s">
        <v>797</v>
      </c>
      <c r="Q45" s="141"/>
      <c r="R45" s="141"/>
      <c r="S45" s="141"/>
      <c r="T45" s="29">
        <v>0</v>
      </c>
      <c r="U45" s="145">
        <v>0</v>
      </c>
      <c r="V45" s="145">
        <v>0</v>
      </c>
      <c r="W45" s="145">
        <v>0</v>
      </c>
      <c r="X45" s="145">
        <v>0</v>
      </c>
      <c r="Y45" s="145">
        <v>0</v>
      </c>
      <c r="Z45" s="145">
        <v>0</v>
      </c>
      <c r="AA45" s="142">
        <f t="shared" si="3"/>
        <v>0</v>
      </c>
      <c r="AB45" s="141"/>
      <c r="AC45" s="67"/>
      <c r="AD45" s="67"/>
      <c r="AE45" s="24"/>
      <c r="AF45" s="24"/>
      <c r="AG45" s="24"/>
      <c r="AH45" s="71"/>
      <c r="AI45" s="69" t="s">
        <v>868</v>
      </c>
      <c r="AJ45" s="141"/>
      <c r="AK45" s="141"/>
      <c r="AL45" s="141"/>
      <c r="AM45" s="141">
        <v>60</v>
      </c>
      <c r="AN45" s="86">
        <v>45962</v>
      </c>
      <c r="AO45" s="141" t="s">
        <v>757</v>
      </c>
      <c r="AP45" s="141" t="s">
        <v>757</v>
      </c>
      <c r="AQ45" s="141"/>
      <c r="AR45" s="141"/>
      <c r="AS45" s="141" t="s">
        <v>757</v>
      </c>
    </row>
    <row r="46" spans="1:45" ht="45" customHeight="1">
      <c r="A46" s="153">
        <v>43</v>
      </c>
      <c r="B46" s="153" t="s">
        <v>57</v>
      </c>
      <c r="C46" s="153"/>
      <c r="D46" s="28"/>
      <c r="E46" s="59"/>
      <c r="F46" s="59"/>
      <c r="G46" s="90"/>
      <c r="H46" s="90"/>
      <c r="I46" s="93"/>
      <c r="J46" s="96"/>
      <c r="K46" s="96"/>
      <c r="L46" s="69"/>
      <c r="M46" s="69"/>
      <c r="N46" s="39">
        <v>0</v>
      </c>
      <c r="O46" s="141"/>
      <c r="P46" s="141"/>
      <c r="Q46" s="141"/>
      <c r="R46" s="21"/>
      <c r="S46" s="141"/>
      <c r="T46" s="29">
        <v>0</v>
      </c>
      <c r="U46" s="145">
        <v>0</v>
      </c>
      <c r="V46" s="145">
        <v>0</v>
      </c>
      <c r="W46" s="145">
        <v>0</v>
      </c>
      <c r="X46" s="145">
        <v>0</v>
      </c>
      <c r="Y46" s="145">
        <v>0</v>
      </c>
      <c r="Z46" s="145">
        <v>0</v>
      </c>
      <c r="AA46" s="142">
        <f t="shared" si="3"/>
        <v>0</v>
      </c>
      <c r="AB46" s="141"/>
      <c r="AC46" s="67"/>
      <c r="AD46" s="67"/>
      <c r="AE46" s="24"/>
      <c r="AF46" s="24"/>
      <c r="AG46" s="24"/>
      <c r="AH46" s="71"/>
      <c r="AI46" s="69"/>
      <c r="AJ46" s="141"/>
      <c r="AK46" s="141"/>
      <c r="AL46" s="141"/>
      <c r="AM46" s="141"/>
      <c r="AN46" s="141"/>
      <c r="AO46" s="141"/>
      <c r="AP46" s="141"/>
      <c r="AQ46" s="141"/>
      <c r="AR46" s="141"/>
      <c r="AS46" s="141"/>
    </row>
    <row r="47" spans="1:45" ht="45" customHeight="1">
      <c r="A47" s="153">
        <v>44</v>
      </c>
      <c r="B47" s="153" t="s">
        <v>57</v>
      </c>
      <c r="C47" s="153"/>
      <c r="D47" s="28"/>
      <c r="E47" s="59"/>
      <c r="F47" s="59"/>
      <c r="G47" s="90"/>
      <c r="H47" s="90"/>
      <c r="I47" s="93"/>
      <c r="J47" s="96"/>
      <c r="K47" s="96"/>
      <c r="L47" s="69"/>
      <c r="M47" s="69"/>
      <c r="N47" s="39">
        <v>0</v>
      </c>
      <c r="O47" s="141"/>
      <c r="P47" s="141"/>
      <c r="Q47" s="141"/>
      <c r="R47" s="141"/>
      <c r="S47" s="141"/>
      <c r="T47" s="29">
        <v>0</v>
      </c>
      <c r="U47" s="145">
        <v>0</v>
      </c>
      <c r="V47" s="145">
        <v>0</v>
      </c>
      <c r="W47" s="145">
        <v>0</v>
      </c>
      <c r="X47" s="145">
        <v>0</v>
      </c>
      <c r="Y47" s="145">
        <v>0</v>
      </c>
      <c r="Z47" s="145">
        <v>0</v>
      </c>
      <c r="AA47" s="142">
        <f t="shared" si="3"/>
        <v>0</v>
      </c>
      <c r="AB47" s="141"/>
      <c r="AC47" s="67"/>
      <c r="AD47" s="67"/>
      <c r="AE47" s="24"/>
      <c r="AF47" s="24"/>
      <c r="AG47" s="24"/>
      <c r="AH47" s="71"/>
      <c r="AI47" s="69"/>
      <c r="AJ47" s="141"/>
      <c r="AK47" s="141"/>
      <c r="AL47" s="141"/>
      <c r="AM47" s="141"/>
      <c r="AN47" s="141"/>
      <c r="AO47" s="141"/>
      <c r="AP47" s="141"/>
      <c r="AQ47" s="141"/>
      <c r="AR47" s="141"/>
      <c r="AS47" s="141"/>
    </row>
    <row r="48" spans="1:45" ht="45" customHeight="1">
      <c r="A48" s="153">
        <v>45</v>
      </c>
      <c r="B48" s="153" t="s">
        <v>57</v>
      </c>
      <c r="C48" s="153"/>
      <c r="D48" s="28"/>
      <c r="E48" s="59"/>
      <c r="F48" s="59"/>
      <c r="G48" s="90"/>
      <c r="H48" s="90"/>
      <c r="I48" s="93"/>
      <c r="J48" s="96"/>
      <c r="K48" s="96"/>
      <c r="L48" s="69"/>
      <c r="M48" s="69"/>
      <c r="N48" s="39">
        <v>0</v>
      </c>
      <c r="O48" s="141"/>
      <c r="P48" s="141"/>
      <c r="Q48" s="141"/>
      <c r="R48" s="141"/>
      <c r="S48" s="141"/>
      <c r="T48" s="29">
        <v>0</v>
      </c>
      <c r="U48" s="145">
        <v>0</v>
      </c>
      <c r="V48" s="145">
        <v>0</v>
      </c>
      <c r="W48" s="145">
        <v>0</v>
      </c>
      <c r="X48" s="145">
        <v>0</v>
      </c>
      <c r="Y48" s="145">
        <v>0</v>
      </c>
      <c r="Z48" s="145">
        <v>0</v>
      </c>
      <c r="AA48" s="142">
        <f t="shared" si="3"/>
        <v>0</v>
      </c>
      <c r="AB48" s="141"/>
      <c r="AC48" s="67"/>
      <c r="AD48" s="67"/>
      <c r="AE48" s="24"/>
      <c r="AF48" s="24"/>
      <c r="AG48" s="24"/>
      <c r="AH48" s="71"/>
      <c r="AI48" s="69"/>
      <c r="AJ48" s="141"/>
      <c r="AK48" s="141"/>
      <c r="AL48" s="141"/>
      <c r="AM48" s="141"/>
      <c r="AN48" s="141"/>
      <c r="AO48" s="141"/>
      <c r="AP48" s="141"/>
      <c r="AQ48" s="141"/>
      <c r="AR48" s="141"/>
      <c r="AS48" s="141"/>
    </row>
    <row r="49" spans="1:45" ht="45" customHeight="1">
      <c r="A49" s="153">
        <v>46</v>
      </c>
      <c r="B49" s="153" t="s">
        <v>57</v>
      </c>
      <c r="C49" s="153"/>
      <c r="D49" s="28"/>
      <c r="E49" s="59"/>
      <c r="F49" s="59"/>
      <c r="G49" s="90"/>
      <c r="H49" s="90"/>
      <c r="I49" s="93"/>
      <c r="J49" s="96"/>
      <c r="K49" s="96"/>
      <c r="L49" s="69"/>
      <c r="M49" s="69"/>
      <c r="N49" s="39">
        <v>0</v>
      </c>
      <c r="O49" s="141"/>
      <c r="P49" s="141"/>
      <c r="Q49" s="141"/>
      <c r="R49" s="141"/>
      <c r="S49" s="141"/>
      <c r="T49" s="29">
        <v>0</v>
      </c>
      <c r="U49" s="145">
        <v>0</v>
      </c>
      <c r="V49" s="145">
        <v>0</v>
      </c>
      <c r="W49" s="145">
        <v>0</v>
      </c>
      <c r="X49" s="145">
        <v>0</v>
      </c>
      <c r="Y49" s="145">
        <v>0</v>
      </c>
      <c r="Z49" s="145">
        <v>0</v>
      </c>
      <c r="AA49" s="142">
        <f t="shared" si="3"/>
        <v>0</v>
      </c>
      <c r="AB49" s="141"/>
      <c r="AC49" s="67"/>
      <c r="AD49" s="67"/>
      <c r="AE49" s="24"/>
      <c r="AF49" s="24"/>
      <c r="AG49" s="24"/>
      <c r="AH49" s="71"/>
      <c r="AI49" s="69"/>
      <c r="AJ49" s="141"/>
      <c r="AK49" s="141"/>
      <c r="AL49" s="141"/>
      <c r="AM49" s="141"/>
      <c r="AN49" s="141"/>
      <c r="AO49" s="141"/>
      <c r="AP49" s="141"/>
      <c r="AQ49" s="141"/>
      <c r="AR49" s="141"/>
      <c r="AS49" s="141"/>
    </row>
    <row r="50" spans="1:45" ht="45" customHeight="1">
      <c r="A50" s="153">
        <v>47</v>
      </c>
      <c r="B50" s="153" t="s">
        <v>57</v>
      </c>
      <c r="C50" s="153"/>
      <c r="D50" s="28"/>
      <c r="E50" s="59"/>
      <c r="F50" s="59"/>
      <c r="G50" s="90"/>
      <c r="H50" s="90"/>
      <c r="I50" s="93"/>
      <c r="J50" s="96"/>
      <c r="K50" s="96"/>
      <c r="L50" s="69"/>
      <c r="M50" s="69"/>
      <c r="N50" s="39">
        <v>0</v>
      </c>
      <c r="O50" s="141"/>
      <c r="P50" s="141"/>
      <c r="Q50" s="141"/>
      <c r="R50" s="141"/>
      <c r="S50" s="141"/>
      <c r="T50" s="29">
        <v>0</v>
      </c>
      <c r="U50" s="145">
        <v>0</v>
      </c>
      <c r="V50" s="145">
        <v>0</v>
      </c>
      <c r="W50" s="145">
        <v>0</v>
      </c>
      <c r="X50" s="145">
        <v>0</v>
      </c>
      <c r="Y50" s="145">
        <v>0</v>
      </c>
      <c r="Z50" s="145">
        <v>0</v>
      </c>
      <c r="AA50" s="142">
        <f t="shared" si="3"/>
        <v>0</v>
      </c>
      <c r="AB50" s="141"/>
      <c r="AC50" s="67"/>
      <c r="AD50" s="67"/>
      <c r="AE50" s="24"/>
      <c r="AF50" s="24"/>
      <c r="AG50" s="24"/>
      <c r="AH50" s="71"/>
      <c r="AI50" s="69"/>
      <c r="AJ50" s="141"/>
      <c r="AK50" s="141"/>
      <c r="AL50" s="141"/>
      <c r="AM50" s="141"/>
      <c r="AN50" s="141"/>
      <c r="AO50" s="141"/>
      <c r="AP50" s="141"/>
      <c r="AQ50" s="141"/>
      <c r="AR50" s="141"/>
      <c r="AS50" s="141"/>
    </row>
    <row r="51" spans="1:45" ht="45" customHeight="1">
      <c r="A51" s="153">
        <v>48</v>
      </c>
      <c r="B51" s="153" t="s">
        <v>57</v>
      </c>
      <c r="C51" s="153"/>
      <c r="D51" s="28"/>
      <c r="E51" s="59"/>
      <c r="F51" s="59"/>
      <c r="G51" s="90"/>
      <c r="H51" s="90"/>
      <c r="I51" s="93"/>
      <c r="J51" s="96"/>
      <c r="K51" s="96"/>
      <c r="L51" s="69"/>
      <c r="M51" s="69"/>
      <c r="N51" s="39">
        <v>0</v>
      </c>
      <c r="O51" s="141"/>
      <c r="P51" s="141"/>
      <c r="Q51" s="141"/>
      <c r="R51" s="141"/>
      <c r="S51" s="141"/>
      <c r="T51" s="29">
        <v>0</v>
      </c>
      <c r="U51" s="145">
        <v>0</v>
      </c>
      <c r="V51" s="145">
        <v>0</v>
      </c>
      <c r="W51" s="145">
        <v>0</v>
      </c>
      <c r="X51" s="145">
        <v>0</v>
      </c>
      <c r="Y51" s="145">
        <v>0</v>
      </c>
      <c r="Z51" s="145">
        <v>0</v>
      </c>
      <c r="AA51" s="142">
        <f t="shared" si="3"/>
        <v>0</v>
      </c>
      <c r="AB51" s="141"/>
      <c r="AC51" s="67"/>
      <c r="AD51" s="67"/>
      <c r="AE51" s="24"/>
      <c r="AF51" s="24"/>
      <c r="AG51" s="24"/>
      <c r="AH51" s="71"/>
      <c r="AI51" s="69"/>
      <c r="AJ51" s="141"/>
      <c r="AK51" s="141"/>
      <c r="AL51" s="141"/>
      <c r="AM51" s="141"/>
      <c r="AN51" s="141"/>
      <c r="AO51" s="141"/>
      <c r="AP51" s="141"/>
      <c r="AQ51" s="141"/>
      <c r="AR51" s="141"/>
      <c r="AS51" s="141"/>
    </row>
    <row r="52" spans="1:45" ht="45" customHeight="1">
      <c r="A52" s="153">
        <v>49</v>
      </c>
      <c r="B52" s="153" t="s">
        <v>57</v>
      </c>
      <c r="C52" s="153"/>
      <c r="D52" s="28"/>
      <c r="E52" s="59"/>
      <c r="F52" s="59"/>
      <c r="G52" s="90"/>
      <c r="H52" s="90"/>
      <c r="I52" s="93"/>
      <c r="J52" s="96"/>
      <c r="K52" s="96"/>
      <c r="L52" s="69"/>
      <c r="M52" s="69"/>
      <c r="N52" s="39">
        <v>0</v>
      </c>
      <c r="O52" s="141"/>
      <c r="P52" s="141"/>
      <c r="Q52" s="141"/>
      <c r="R52" s="141"/>
      <c r="S52" s="141"/>
      <c r="T52" s="29">
        <v>0</v>
      </c>
      <c r="U52" s="145">
        <v>0</v>
      </c>
      <c r="V52" s="145">
        <v>0</v>
      </c>
      <c r="W52" s="145">
        <v>0</v>
      </c>
      <c r="X52" s="145">
        <v>0</v>
      </c>
      <c r="Y52" s="145">
        <v>0</v>
      </c>
      <c r="Z52" s="145">
        <v>0</v>
      </c>
      <c r="AA52" s="142">
        <f t="shared" si="3"/>
        <v>0</v>
      </c>
      <c r="AB52" s="141"/>
      <c r="AC52" s="67"/>
      <c r="AD52" s="67"/>
      <c r="AE52" s="24"/>
      <c r="AF52" s="24"/>
      <c r="AG52" s="24"/>
      <c r="AH52" s="71"/>
      <c r="AI52" s="69"/>
      <c r="AJ52" s="141"/>
      <c r="AK52" s="141"/>
      <c r="AL52" s="141"/>
      <c r="AM52" s="141"/>
      <c r="AN52" s="141"/>
      <c r="AO52" s="141"/>
      <c r="AP52" s="141"/>
      <c r="AQ52" s="141"/>
      <c r="AR52" s="141"/>
      <c r="AS52" s="141"/>
    </row>
    <row r="53" spans="1:45" ht="45" customHeight="1">
      <c r="A53" s="153">
        <v>50</v>
      </c>
      <c r="B53" s="153" t="s">
        <v>57</v>
      </c>
      <c r="C53" s="153"/>
      <c r="D53" s="28"/>
      <c r="E53" s="59"/>
      <c r="F53" s="59"/>
      <c r="G53" s="90"/>
      <c r="H53" s="90"/>
      <c r="I53" s="93"/>
      <c r="J53" s="94"/>
      <c r="K53" s="94"/>
      <c r="L53" s="69"/>
      <c r="M53" s="69"/>
      <c r="N53" s="39">
        <v>0</v>
      </c>
      <c r="O53" s="141"/>
      <c r="P53" s="141"/>
      <c r="Q53" s="141"/>
      <c r="R53" s="141"/>
      <c r="S53" s="141"/>
      <c r="T53" s="29">
        <v>0</v>
      </c>
      <c r="U53" s="145">
        <v>0</v>
      </c>
      <c r="V53" s="145">
        <v>0</v>
      </c>
      <c r="W53" s="145">
        <v>0</v>
      </c>
      <c r="X53" s="145">
        <v>0</v>
      </c>
      <c r="Y53" s="145">
        <v>0</v>
      </c>
      <c r="Z53" s="145">
        <v>0</v>
      </c>
      <c r="AA53" s="142">
        <f t="shared" si="3"/>
        <v>0</v>
      </c>
      <c r="AB53" s="141"/>
      <c r="AC53" s="67"/>
      <c r="AD53" s="67"/>
      <c r="AE53" s="24"/>
      <c r="AF53" s="24"/>
      <c r="AG53" s="24"/>
      <c r="AH53" s="71"/>
      <c r="AI53" s="69"/>
      <c r="AJ53" s="141"/>
      <c r="AK53" s="141"/>
      <c r="AL53" s="141"/>
      <c r="AM53" s="141"/>
      <c r="AN53" s="141"/>
      <c r="AO53" s="141"/>
      <c r="AP53" s="141"/>
      <c r="AQ53" s="141"/>
      <c r="AR53" s="141"/>
      <c r="AS53" s="141"/>
    </row>
    <row r="54" spans="1:45" ht="45" customHeight="1">
      <c r="A54" s="153">
        <v>51</v>
      </c>
      <c r="B54" s="153" t="s">
        <v>57</v>
      </c>
      <c r="C54" s="153"/>
      <c r="D54" s="28"/>
      <c r="E54" s="59"/>
      <c r="F54" s="59"/>
      <c r="G54" s="90"/>
      <c r="H54" s="90"/>
      <c r="I54" s="93"/>
      <c r="J54" s="96"/>
      <c r="K54" s="96"/>
      <c r="L54" s="69"/>
      <c r="M54" s="69"/>
      <c r="N54" s="39">
        <v>0</v>
      </c>
      <c r="O54" s="141"/>
      <c r="P54" s="141"/>
      <c r="Q54" s="141"/>
      <c r="R54" s="141"/>
      <c r="S54" s="141"/>
      <c r="T54" s="29">
        <v>0</v>
      </c>
      <c r="U54" s="145">
        <v>0</v>
      </c>
      <c r="V54" s="145">
        <v>0</v>
      </c>
      <c r="W54" s="145">
        <v>0</v>
      </c>
      <c r="X54" s="145">
        <v>0</v>
      </c>
      <c r="Y54" s="145">
        <v>0</v>
      </c>
      <c r="Z54" s="145">
        <v>0</v>
      </c>
      <c r="AA54" s="142">
        <f t="shared" si="3"/>
        <v>0</v>
      </c>
      <c r="AB54" s="141"/>
      <c r="AC54" s="67"/>
      <c r="AD54" s="67"/>
      <c r="AE54" s="24"/>
      <c r="AF54" s="24"/>
      <c r="AG54" s="24"/>
      <c r="AH54" s="71"/>
      <c r="AI54" s="69"/>
      <c r="AJ54" s="141"/>
      <c r="AK54" s="141"/>
      <c r="AL54" s="141"/>
      <c r="AM54" s="141"/>
      <c r="AN54" s="141"/>
      <c r="AO54" s="141"/>
      <c r="AP54" s="141"/>
      <c r="AQ54" s="141"/>
      <c r="AR54" s="141"/>
      <c r="AS54" s="141"/>
    </row>
    <row r="55" spans="1:45" ht="45" customHeight="1">
      <c r="A55" s="153">
        <v>52</v>
      </c>
      <c r="B55" s="153" t="s">
        <v>57</v>
      </c>
      <c r="C55" s="28"/>
      <c r="D55" s="28"/>
      <c r="E55" s="59"/>
      <c r="F55" s="59"/>
      <c r="G55" s="90"/>
      <c r="H55" s="90"/>
      <c r="I55" s="93"/>
      <c r="J55" s="96"/>
      <c r="K55" s="96"/>
      <c r="L55" s="69"/>
      <c r="M55" s="69"/>
      <c r="N55" s="39">
        <v>0</v>
      </c>
      <c r="O55" s="141"/>
      <c r="P55" s="141"/>
      <c r="Q55" s="141"/>
      <c r="R55" s="141"/>
      <c r="S55" s="141"/>
      <c r="T55" s="29">
        <v>0</v>
      </c>
      <c r="U55" s="145">
        <v>0</v>
      </c>
      <c r="V55" s="145">
        <v>0</v>
      </c>
      <c r="W55" s="145">
        <v>0</v>
      </c>
      <c r="X55" s="145">
        <v>0</v>
      </c>
      <c r="Y55" s="145">
        <v>0</v>
      </c>
      <c r="Z55" s="145">
        <v>0</v>
      </c>
      <c r="AA55" s="142">
        <f t="shared" si="3"/>
        <v>0</v>
      </c>
      <c r="AB55" s="141"/>
      <c r="AC55" s="67"/>
      <c r="AD55" s="67"/>
      <c r="AE55" s="24"/>
      <c r="AF55" s="24"/>
      <c r="AG55" s="24"/>
      <c r="AH55" s="71"/>
      <c r="AI55" s="69"/>
      <c r="AJ55" s="141"/>
      <c r="AK55" s="141"/>
      <c r="AL55" s="141"/>
      <c r="AM55" s="141"/>
      <c r="AN55" s="141"/>
      <c r="AO55" s="141"/>
      <c r="AP55" s="141"/>
      <c r="AQ55" s="141"/>
      <c r="AR55" s="141"/>
      <c r="AS55" s="141"/>
    </row>
    <row r="56" spans="1:45" ht="45" customHeight="1">
      <c r="A56" s="153">
        <v>53</v>
      </c>
      <c r="B56" s="153" t="s">
        <v>57</v>
      </c>
      <c r="C56" s="140"/>
      <c r="D56" s="28"/>
      <c r="E56" s="59"/>
      <c r="F56" s="59"/>
      <c r="G56" s="90"/>
      <c r="H56" s="90"/>
      <c r="I56" s="93"/>
      <c r="J56" s="96"/>
      <c r="K56" s="96"/>
      <c r="L56" s="69"/>
      <c r="M56" s="69"/>
      <c r="N56" s="39">
        <v>0</v>
      </c>
      <c r="O56" s="141"/>
      <c r="P56" s="141"/>
      <c r="Q56" s="141"/>
      <c r="R56" s="141"/>
      <c r="S56" s="141"/>
      <c r="T56" s="29">
        <v>0</v>
      </c>
      <c r="U56" s="145">
        <v>0</v>
      </c>
      <c r="V56" s="145">
        <v>0</v>
      </c>
      <c r="W56" s="145">
        <v>0</v>
      </c>
      <c r="X56" s="145">
        <v>0</v>
      </c>
      <c r="Y56" s="145">
        <v>0</v>
      </c>
      <c r="Z56" s="145">
        <v>0</v>
      </c>
      <c r="AA56" s="142">
        <f t="shared" si="3"/>
        <v>0</v>
      </c>
      <c r="AB56" s="141"/>
      <c r="AC56" s="67"/>
      <c r="AD56" s="67"/>
      <c r="AE56" s="24"/>
      <c r="AF56" s="24"/>
      <c r="AG56" s="24"/>
      <c r="AH56" s="71"/>
      <c r="AI56" s="69"/>
      <c r="AJ56" s="141"/>
      <c r="AK56" s="141"/>
      <c r="AL56" s="141"/>
      <c r="AM56" s="141"/>
      <c r="AN56" s="141"/>
      <c r="AO56" s="141"/>
      <c r="AP56" s="141"/>
      <c r="AQ56" s="141"/>
      <c r="AR56" s="141"/>
      <c r="AS56" s="141"/>
    </row>
    <row r="57" spans="1:45" ht="45" customHeight="1">
      <c r="A57" s="153">
        <v>54</v>
      </c>
      <c r="B57" s="153" t="s">
        <v>57</v>
      </c>
      <c r="C57" s="140"/>
      <c r="D57" s="28"/>
      <c r="E57" s="59"/>
      <c r="F57" s="59"/>
      <c r="G57" s="90"/>
      <c r="H57" s="90"/>
      <c r="I57" s="93"/>
      <c r="J57" s="96"/>
      <c r="K57" s="96"/>
      <c r="L57" s="69"/>
      <c r="M57" s="69"/>
      <c r="N57" s="39">
        <v>0</v>
      </c>
      <c r="O57" s="141"/>
      <c r="P57" s="141"/>
      <c r="Q57" s="141"/>
      <c r="R57" s="21"/>
      <c r="S57" s="141"/>
      <c r="T57" s="29">
        <v>0</v>
      </c>
      <c r="U57" s="145">
        <v>0</v>
      </c>
      <c r="V57" s="145">
        <v>0</v>
      </c>
      <c r="W57" s="145">
        <v>0</v>
      </c>
      <c r="X57" s="145">
        <v>0</v>
      </c>
      <c r="Y57" s="145">
        <v>0</v>
      </c>
      <c r="Z57" s="145">
        <v>0</v>
      </c>
      <c r="AA57" s="142">
        <f t="shared" si="3"/>
        <v>0</v>
      </c>
      <c r="AB57" s="141"/>
      <c r="AC57" s="67"/>
      <c r="AD57" s="67"/>
      <c r="AE57" s="24"/>
      <c r="AF57" s="24"/>
      <c r="AG57" s="24"/>
      <c r="AH57" s="71"/>
      <c r="AI57" s="69"/>
      <c r="AJ57" s="141"/>
      <c r="AK57" s="141"/>
      <c r="AL57" s="141"/>
      <c r="AM57" s="141"/>
      <c r="AN57" s="141"/>
      <c r="AO57" s="141"/>
      <c r="AP57" s="141"/>
      <c r="AQ57" s="141"/>
      <c r="AR57" s="141"/>
      <c r="AS57" s="141"/>
    </row>
    <row r="58" spans="1:45" ht="45" customHeight="1">
      <c r="A58" s="153">
        <v>55</v>
      </c>
      <c r="B58" s="153" t="s">
        <v>57</v>
      </c>
      <c r="C58" s="140"/>
      <c r="D58" s="28"/>
      <c r="E58" s="59"/>
      <c r="F58" s="59"/>
      <c r="G58" s="90"/>
      <c r="H58" s="90"/>
      <c r="I58" s="93"/>
      <c r="J58" s="96"/>
      <c r="K58" s="96"/>
      <c r="L58" s="69"/>
      <c r="M58" s="69"/>
      <c r="N58" s="39">
        <v>0</v>
      </c>
      <c r="O58" s="141"/>
      <c r="P58" s="141"/>
      <c r="Q58" s="141"/>
      <c r="R58" s="141"/>
      <c r="S58" s="141"/>
      <c r="T58" s="29">
        <v>0</v>
      </c>
      <c r="U58" s="145">
        <v>0</v>
      </c>
      <c r="V58" s="145">
        <v>0</v>
      </c>
      <c r="W58" s="145">
        <v>0</v>
      </c>
      <c r="X58" s="145">
        <v>0</v>
      </c>
      <c r="Y58" s="145">
        <v>0</v>
      </c>
      <c r="Z58" s="145">
        <v>0</v>
      </c>
      <c r="AA58" s="142">
        <f t="shared" si="3"/>
        <v>0</v>
      </c>
      <c r="AB58" s="141"/>
      <c r="AC58" s="67"/>
      <c r="AD58" s="67"/>
      <c r="AE58" s="24"/>
      <c r="AF58" s="24"/>
      <c r="AG58" s="24"/>
      <c r="AH58" s="71"/>
      <c r="AI58" s="69"/>
      <c r="AJ58" s="141"/>
      <c r="AK58" s="141"/>
      <c r="AL58" s="141"/>
      <c r="AM58" s="141"/>
      <c r="AN58" s="141"/>
      <c r="AO58" s="141"/>
      <c r="AP58" s="141"/>
      <c r="AQ58" s="141"/>
      <c r="AR58" s="141"/>
      <c r="AS58" s="141"/>
    </row>
    <row r="59" spans="1:45" ht="45" customHeight="1">
      <c r="A59" s="153">
        <v>56</v>
      </c>
      <c r="B59" s="153" t="s">
        <v>57</v>
      </c>
      <c r="C59" s="140"/>
      <c r="D59" s="28"/>
      <c r="E59" s="59"/>
      <c r="F59" s="59"/>
      <c r="G59" s="90"/>
      <c r="H59" s="90"/>
      <c r="I59" s="93"/>
      <c r="J59" s="96"/>
      <c r="K59" s="96"/>
      <c r="L59" s="69"/>
      <c r="M59" s="69"/>
      <c r="N59" s="39">
        <v>0</v>
      </c>
      <c r="O59" s="141"/>
      <c r="P59" s="141"/>
      <c r="Q59" s="141"/>
      <c r="R59" s="141"/>
      <c r="S59" s="141"/>
      <c r="T59" s="29">
        <v>0</v>
      </c>
      <c r="U59" s="145">
        <v>0</v>
      </c>
      <c r="V59" s="145">
        <v>0</v>
      </c>
      <c r="W59" s="145">
        <v>0</v>
      </c>
      <c r="X59" s="145">
        <v>0</v>
      </c>
      <c r="Y59" s="145">
        <v>0</v>
      </c>
      <c r="Z59" s="145">
        <v>0</v>
      </c>
      <c r="AA59" s="142">
        <f t="shared" si="3"/>
        <v>0</v>
      </c>
      <c r="AB59" s="141"/>
      <c r="AC59" s="67"/>
      <c r="AD59" s="67"/>
      <c r="AE59" s="24"/>
      <c r="AF59" s="24"/>
      <c r="AG59" s="24"/>
      <c r="AH59" s="71"/>
      <c r="AI59" s="69"/>
      <c r="AJ59" s="141"/>
      <c r="AK59" s="141"/>
      <c r="AL59" s="141"/>
      <c r="AM59" s="141"/>
      <c r="AN59" s="141"/>
      <c r="AO59" s="141"/>
      <c r="AP59" s="141"/>
      <c r="AQ59" s="141"/>
      <c r="AR59" s="141"/>
      <c r="AS59" s="141"/>
    </row>
    <row r="60" spans="1:45" ht="45" customHeight="1">
      <c r="A60" s="153">
        <v>57</v>
      </c>
      <c r="B60" s="153" t="s">
        <v>57</v>
      </c>
      <c r="C60" s="58"/>
      <c r="D60" s="28"/>
      <c r="E60" s="59"/>
      <c r="F60" s="59"/>
      <c r="G60" s="90"/>
      <c r="H60" s="90"/>
      <c r="I60" s="93"/>
      <c r="J60" s="96"/>
      <c r="K60" s="96"/>
      <c r="L60" s="69"/>
      <c r="M60" s="69"/>
      <c r="N60" s="39">
        <v>0</v>
      </c>
      <c r="O60" s="141"/>
      <c r="P60" s="141"/>
      <c r="Q60" s="141"/>
      <c r="R60" s="141"/>
      <c r="S60" s="141"/>
      <c r="T60" s="29">
        <v>0</v>
      </c>
      <c r="U60" s="145">
        <v>0</v>
      </c>
      <c r="V60" s="145">
        <v>0</v>
      </c>
      <c r="W60" s="145">
        <v>0</v>
      </c>
      <c r="X60" s="145">
        <v>0</v>
      </c>
      <c r="Y60" s="145">
        <v>0</v>
      </c>
      <c r="Z60" s="145">
        <v>0</v>
      </c>
      <c r="AA60" s="142">
        <f t="shared" si="3"/>
        <v>0</v>
      </c>
      <c r="AB60" s="141"/>
      <c r="AC60" s="67"/>
      <c r="AD60" s="67"/>
      <c r="AE60" s="24"/>
      <c r="AF60" s="24"/>
      <c r="AG60" s="24"/>
      <c r="AH60" s="71"/>
      <c r="AI60" s="69"/>
      <c r="AJ60" s="141"/>
      <c r="AK60" s="141"/>
      <c r="AL60" s="141"/>
      <c r="AM60" s="141"/>
      <c r="AN60" s="141"/>
      <c r="AO60" s="141"/>
      <c r="AP60" s="141"/>
      <c r="AQ60" s="141"/>
      <c r="AR60" s="141"/>
      <c r="AS60" s="141"/>
    </row>
    <row r="61" spans="1:45" ht="45" customHeight="1">
      <c r="A61" s="153">
        <v>58</v>
      </c>
      <c r="B61" s="153" t="s">
        <v>57</v>
      </c>
      <c r="C61" s="140"/>
      <c r="D61" s="28"/>
      <c r="E61" s="59"/>
      <c r="F61" s="59"/>
      <c r="G61" s="90"/>
      <c r="H61" s="90"/>
      <c r="I61" s="93"/>
      <c r="J61" s="96"/>
      <c r="K61" s="96"/>
      <c r="L61" s="69"/>
      <c r="M61" s="69"/>
      <c r="N61" s="39">
        <v>0</v>
      </c>
      <c r="O61" s="21"/>
      <c r="P61" s="21"/>
      <c r="Q61" s="141"/>
      <c r="R61" s="21"/>
      <c r="S61" s="141"/>
      <c r="T61" s="29">
        <v>0</v>
      </c>
      <c r="U61" s="145">
        <v>0</v>
      </c>
      <c r="V61" s="145">
        <v>0</v>
      </c>
      <c r="W61" s="145">
        <v>0</v>
      </c>
      <c r="X61" s="145">
        <v>0</v>
      </c>
      <c r="Y61" s="145">
        <v>0</v>
      </c>
      <c r="Z61" s="145">
        <v>0</v>
      </c>
      <c r="AA61" s="142">
        <f t="shared" si="3"/>
        <v>0</v>
      </c>
      <c r="AB61" s="141"/>
      <c r="AC61" s="67"/>
      <c r="AD61" s="67"/>
      <c r="AE61" s="24"/>
      <c r="AF61" s="24"/>
      <c r="AG61" s="24"/>
      <c r="AH61" s="71"/>
      <c r="AI61" s="69"/>
      <c r="AJ61" s="141"/>
      <c r="AK61" s="141"/>
      <c r="AL61" s="141"/>
      <c r="AM61" s="141"/>
      <c r="AN61" s="141"/>
      <c r="AO61" s="141"/>
      <c r="AP61" s="141"/>
      <c r="AQ61" s="141"/>
      <c r="AR61" s="141"/>
      <c r="AS61" s="141"/>
    </row>
    <row r="62" spans="1:45" ht="45" customHeight="1">
      <c r="A62" s="153">
        <v>59</v>
      </c>
      <c r="B62" s="153" t="s">
        <v>57</v>
      </c>
      <c r="C62" s="140"/>
      <c r="D62" s="28"/>
      <c r="E62" s="59"/>
      <c r="F62" s="59"/>
      <c r="G62" s="90"/>
      <c r="H62" s="90"/>
      <c r="I62" s="93"/>
      <c r="J62" s="96"/>
      <c r="K62" s="96"/>
      <c r="L62" s="69"/>
      <c r="M62" s="69"/>
      <c r="N62" s="39">
        <v>0</v>
      </c>
      <c r="O62" s="141"/>
      <c r="P62" s="141"/>
      <c r="Q62" s="141"/>
      <c r="R62" s="141"/>
      <c r="S62" s="141"/>
      <c r="T62" s="29">
        <v>0</v>
      </c>
      <c r="U62" s="145">
        <v>0</v>
      </c>
      <c r="V62" s="145">
        <v>0</v>
      </c>
      <c r="W62" s="145">
        <v>0</v>
      </c>
      <c r="X62" s="145">
        <v>0</v>
      </c>
      <c r="Y62" s="145">
        <v>0</v>
      </c>
      <c r="Z62" s="145">
        <v>0</v>
      </c>
      <c r="AA62" s="142">
        <f t="shared" si="3"/>
        <v>0</v>
      </c>
      <c r="AB62" s="141"/>
      <c r="AC62" s="67"/>
      <c r="AD62" s="67"/>
      <c r="AE62" s="24"/>
      <c r="AF62" s="24"/>
      <c r="AG62" s="24"/>
      <c r="AH62" s="71"/>
      <c r="AI62" s="69"/>
      <c r="AJ62" s="141"/>
      <c r="AK62" s="141"/>
      <c r="AL62" s="141"/>
      <c r="AM62" s="141"/>
      <c r="AN62" s="141"/>
      <c r="AO62" s="141"/>
      <c r="AP62" s="141"/>
      <c r="AQ62" s="141"/>
      <c r="AR62" s="141"/>
      <c r="AS62" s="141"/>
    </row>
    <row r="63" spans="1:45" ht="45" customHeight="1">
      <c r="A63" s="153">
        <v>60</v>
      </c>
      <c r="B63" s="153" t="s">
        <v>57</v>
      </c>
      <c r="C63" s="140"/>
      <c r="D63" s="28"/>
      <c r="E63" s="59"/>
      <c r="F63" s="59"/>
      <c r="G63" s="90"/>
      <c r="H63" s="90"/>
      <c r="I63" s="93"/>
      <c r="J63" s="96"/>
      <c r="K63" s="96"/>
      <c r="L63" s="69"/>
      <c r="M63" s="69"/>
      <c r="N63" s="39">
        <v>0</v>
      </c>
      <c r="O63" s="141"/>
      <c r="P63" s="141"/>
      <c r="Q63" s="141"/>
      <c r="R63" s="141"/>
      <c r="S63" s="141"/>
      <c r="T63" s="29">
        <v>0</v>
      </c>
      <c r="U63" s="145">
        <v>0</v>
      </c>
      <c r="V63" s="145">
        <v>0</v>
      </c>
      <c r="W63" s="145">
        <v>0</v>
      </c>
      <c r="X63" s="145">
        <v>0</v>
      </c>
      <c r="Y63" s="145">
        <v>0</v>
      </c>
      <c r="Z63" s="145">
        <v>0</v>
      </c>
      <c r="AA63" s="142">
        <f t="shared" si="3"/>
        <v>0</v>
      </c>
      <c r="AB63" s="141"/>
      <c r="AC63" s="67"/>
      <c r="AD63" s="67"/>
      <c r="AE63" s="24"/>
      <c r="AF63" s="24"/>
      <c r="AG63" s="24"/>
      <c r="AH63" s="71"/>
      <c r="AI63" s="69"/>
      <c r="AJ63" s="141"/>
      <c r="AK63" s="141"/>
      <c r="AL63" s="141"/>
      <c r="AM63" s="141"/>
      <c r="AN63" s="141"/>
      <c r="AO63" s="141"/>
      <c r="AP63" s="141"/>
      <c r="AQ63" s="141"/>
      <c r="AR63" s="141"/>
      <c r="AS63" s="141"/>
    </row>
    <row r="64" spans="1:45" ht="45" customHeight="1">
      <c r="A64" s="153">
        <v>61</v>
      </c>
      <c r="B64" s="153"/>
      <c r="C64" s="140"/>
      <c r="D64" s="28"/>
      <c r="E64" s="59"/>
      <c r="F64" s="59"/>
      <c r="G64" s="90"/>
      <c r="H64" s="90"/>
      <c r="I64" s="93"/>
      <c r="J64" s="96"/>
      <c r="K64" s="96"/>
      <c r="L64" s="69"/>
      <c r="M64" s="69"/>
      <c r="N64" s="39">
        <v>0</v>
      </c>
      <c r="O64" s="141"/>
      <c r="P64" s="141"/>
      <c r="Q64" s="141"/>
      <c r="R64" s="141"/>
      <c r="S64" s="141"/>
      <c r="T64" s="29">
        <v>0</v>
      </c>
      <c r="U64" s="145">
        <v>0</v>
      </c>
      <c r="V64" s="145">
        <v>0</v>
      </c>
      <c r="W64" s="145">
        <v>0</v>
      </c>
      <c r="X64" s="145">
        <v>0</v>
      </c>
      <c r="Y64" s="145">
        <v>0</v>
      </c>
      <c r="Z64" s="145">
        <v>0</v>
      </c>
      <c r="AA64" s="142">
        <f t="shared" si="3"/>
        <v>0</v>
      </c>
      <c r="AB64" s="141"/>
      <c r="AC64" s="67"/>
      <c r="AD64" s="67"/>
      <c r="AE64" s="24"/>
      <c r="AF64" s="24"/>
      <c r="AG64" s="24"/>
      <c r="AH64" s="71"/>
      <c r="AI64" s="69"/>
      <c r="AJ64" s="141"/>
      <c r="AK64" s="141"/>
      <c r="AL64" s="141"/>
      <c r="AM64" s="141"/>
      <c r="AN64" s="141"/>
      <c r="AO64" s="141"/>
      <c r="AP64" s="141"/>
      <c r="AQ64" s="141"/>
      <c r="AR64" s="141"/>
      <c r="AS64" s="141"/>
    </row>
    <row r="65" spans="1:45" ht="45" customHeight="1">
      <c r="A65" s="153">
        <v>62</v>
      </c>
      <c r="B65" s="153"/>
      <c r="C65" s="140"/>
      <c r="D65" s="28"/>
      <c r="E65" s="59"/>
      <c r="F65" s="59"/>
      <c r="G65" s="90"/>
      <c r="H65" s="90"/>
      <c r="I65" s="93"/>
      <c r="J65" s="96"/>
      <c r="K65" s="96"/>
      <c r="L65" s="69"/>
      <c r="M65" s="69"/>
      <c r="N65" s="39">
        <v>0</v>
      </c>
      <c r="O65" s="141"/>
      <c r="P65" s="141"/>
      <c r="Q65" s="141"/>
      <c r="R65" s="141"/>
      <c r="S65" s="141"/>
      <c r="T65" s="29">
        <v>0</v>
      </c>
      <c r="U65" s="145">
        <v>0</v>
      </c>
      <c r="V65" s="145">
        <v>0</v>
      </c>
      <c r="W65" s="145">
        <v>0</v>
      </c>
      <c r="X65" s="145">
        <v>0</v>
      </c>
      <c r="Y65" s="145">
        <v>0</v>
      </c>
      <c r="Z65" s="145">
        <v>0</v>
      </c>
      <c r="AA65" s="142">
        <f t="shared" si="3"/>
        <v>0</v>
      </c>
      <c r="AB65" s="141"/>
      <c r="AC65" s="67"/>
      <c r="AD65" s="67"/>
      <c r="AE65" s="24"/>
      <c r="AF65" s="24"/>
      <c r="AG65" s="24"/>
      <c r="AH65" s="71"/>
      <c r="AI65" s="69"/>
      <c r="AJ65" s="141"/>
      <c r="AK65" s="141"/>
      <c r="AL65" s="141"/>
      <c r="AM65" s="141"/>
      <c r="AN65" s="141"/>
      <c r="AO65" s="141"/>
      <c r="AP65" s="141"/>
      <c r="AQ65" s="141"/>
      <c r="AR65" s="141"/>
      <c r="AS65" s="141"/>
    </row>
    <row r="66" spans="1:45" ht="45" customHeight="1">
      <c r="A66" s="153">
        <v>63</v>
      </c>
      <c r="B66" s="153"/>
      <c r="C66" s="140"/>
      <c r="D66" s="28"/>
      <c r="E66" s="59"/>
      <c r="F66" s="59"/>
      <c r="G66" s="90"/>
      <c r="H66" s="90"/>
      <c r="I66" s="93"/>
      <c r="J66" s="96"/>
      <c r="K66" s="96"/>
      <c r="L66" s="69"/>
      <c r="M66" s="69"/>
      <c r="N66" s="39">
        <v>0</v>
      </c>
      <c r="O66" s="141"/>
      <c r="P66" s="141"/>
      <c r="Q66" s="141"/>
      <c r="R66" s="141"/>
      <c r="S66" s="141"/>
      <c r="T66" s="29">
        <v>0</v>
      </c>
      <c r="U66" s="145">
        <v>0</v>
      </c>
      <c r="V66" s="145">
        <v>0</v>
      </c>
      <c r="W66" s="145">
        <v>0</v>
      </c>
      <c r="X66" s="145">
        <v>0</v>
      </c>
      <c r="Y66" s="145">
        <v>0</v>
      </c>
      <c r="Z66" s="145">
        <v>0</v>
      </c>
      <c r="AA66" s="142">
        <f t="shared" si="3"/>
        <v>0</v>
      </c>
      <c r="AB66" s="141"/>
      <c r="AC66" s="67"/>
      <c r="AD66" s="67"/>
      <c r="AE66" s="24"/>
      <c r="AF66" s="24"/>
      <c r="AG66" s="24"/>
      <c r="AH66" s="71"/>
      <c r="AI66" s="69"/>
      <c r="AJ66" s="141"/>
      <c r="AK66" s="141"/>
      <c r="AL66" s="141"/>
      <c r="AM66" s="141"/>
      <c r="AN66" s="141"/>
      <c r="AO66" s="141"/>
      <c r="AP66" s="141"/>
      <c r="AQ66" s="141"/>
      <c r="AR66" s="141"/>
      <c r="AS66" s="141"/>
    </row>
    <row r="67" spans="1:45" ht="45" customHeight="1">
      <c r="A67" s="153">
        <v>64</v>
      </c>
      <c r="B67" s="153"/>
      <c r="C67" s="140"/>
      <c r="D67" s="28"/>
      <c r="E67" s="59"/>
      <c r="F67" s="59"/>
      <c r="G67" s="90"/>
      <c r="H67" s="90"/>
      <c r="I67" s="93"/>
      <c r="J67" s="96"/>
      <c r="K67" s="96"/>
      <c r="L67" s="69"/>
      <c r="M67" s="69"/>
      <c r="N67" s="39">
        <v>0</v>
      </c>
      <c r="O67" s="141"/>
      <c r="P67" s="141"/>
      <c r="Q67" s="141"/>
      <c r="R67" s="141"/>
      <c r="S67" s="141"/>
      <c r="T67" s="29">
        <v>0</v>
      </c>
      <c r="U67" s="145">
        <v>0</v>
      </c>
      <c r="V67" s="145">
        <v>0</v>
      </c>
      <c r="W67" s="145">
        <v>0</v>
      </c>
      <c r="X67" s="145">
        <v>0</v>
      </c>
      <c r="Y67" s="145">
        <v>0</v>
      </c>
      <c r="Z67" s="145">
        <v>0</v>
      </c>
      <c r="AA67" s="142">
        <f t="shared" si="3"/>
        <v>0</v>
      </c>
      <c r="AB67" s="141"/>
      <c r="AC67" s="67"/>
      <c r="AD67" s="67"/>
      <c r="AE67" s="24"/>
      <c r="AF67" s="24"/>
      <c r="AG67" s="24"/>
      <c r="AH67" s="71"/>
      <c r="AI67" s="69"/>
      <c r="AJ67" s="141"/>
      <c r="AK67" s="141"/>
      <c r="AL67" s="141"/>
      <c r="AM67" s="141"/>
      <c r="AN67" s="141"/>
      <c r="AO67" s="141"/>
      <c r="AP67" s="141"/>
      <c r="AQ67" s="141"/>
      <c r="AR67" s="141"/>
      <c r="AS67" s="141"/>
    </row>
    <row r="68" spans="1:45" ht="45" customHeight="1">
      <c r="A68" s="153">
        <v>65</v>
      </c>
      <c r="B68" s="153"/>
      <c r="C68" s="140"/>
      <c r="D68" s="28"/>
      <c r="E68" s="59"/>
      <c r="F68" s="59"/>
      <c r="G68" s="90"/>
      <c r="H68" s="90"/>
      <c r="I68" s="93"/>
      <c r="J68" s="95"/>
      <c r="K68" s="95"/>
      <c r="L68" s="69"/>
      <c r="M68" s="69"/>
      <c r="N68" s="39">
        <v>0</v>
      </c>
      <c r="O68" s="141"/>
      <c r="P68" s="35"/>
      <c r="Q68" s="35"/>
      <c r="R68" s="65"/>
      <c r="S68" s="141"/>
      <c r="T68" s="29">
        <v>0</v>
      </c>
      <c r="U68" s="145">
        <v>0</v>
      </c>
      <c r="V68" s="145">
        <v>0</v>
      </c>
      <c r="W68" s="145">
        <v>0</v>
      </c>
      <c r="X68" s="145">
        <v>0</v>
      </c>
      <c r="Y68" s="145">
        <v>0</v>
      </c>
      <c r="Z68" s="145">
        <v>0</v>
      </c>
      <c r="AA68" s="142">
        <f t="shared" ref="AA68:AA99" si="4">AVERAGE(T68:Z68)</f>
        <v>0</v>
      </c>
      <c r="AB68" s="141"/>
      <c r="AC68" s="67"/>
      <c r="AD68" s="67"/>
      <c r="AE68" s="24"/>
      <c r="AF68" s="24"/>
      <c r="AG68" s="24"/>
      <c r="AH68" s="71"/>
      <c r="AI68" s="69"/>
      <c r="AJ68" s="141"/>
      <c r="AK68" s="141"/>
      <c r="AL68" s="141"/>
      <c r="AM68" s="141"/>
      <c r="AN68" s="141"/>
      <c r="AO68" s="141"/>
      <c r="AP68" s="141"/>
      <c r="AQ68" s="141"/>
      <c r="AR68" s="141"/>
      <c r="AS68" s="141"/>
    </row>
    <row r="69" spans="1:45" ht="45" customHeight="1">
      <c r="A69" s="153">
        <v>66</v>
      </c>
      <c r="B69" s="153"/>
      <c r="C69" s="140"/>
      <c r="D69" s="28"/>
      <c r="E69" s="59"/>
      <c r="F69" s="59"/>
      <c r="G69" s="90"/>
      <c r="H69" s="90"/>
      <c r="I69" s="93"/>
      <c r="J69" s="93"/>
      <c r="K69" s="93"/>
      <c r="L69" s="69"/>
      <c r="M69" s="69"/>
      <c r="N69" s="39">
        <v>0</v>
      </c>
      <c r="O69" s="141"/>
      <c r="P69" s="141"/>
      <c r="Q69" s="141"/>
      <c r="R69" s="141"/>
      <c r="S69" s="141"/>
      <c r="T69" s="29">
        <v>0</v>
      </c>
      <c r="U69" s="145">
        <v>0</v>
      </c>
      <c r="V69" s="145">
        <v>0</v>
      </c>
      <c r="W69" s="145">
        <v>0</v>
      </c>
      <c r="X69" s="145">
        <v>0</v>
      </c>
      <c r="Y69" s="145">
        <v>0</v>
      </c>
      <c r="Z69" s="145">
        <v>0</v>
      </c>
      <c r="AA69" s="142">
        <f t="shared" si="4"/>
        <v>0</v>
      </c>
      <c r="AB69" s="141"/>
      <c r="AC69" s="67"/>
      <c r="AD69" s="67"/>
      <c r="AE69" s="24"/>
      <c r="AF69" s="24"/>
      <c r="AG69" s="24"/>
      <c r="AH69" s="71"/>
      <c r="AI69" s="69"/>
      <c r="AJ69" s="141"/>
      <c r="AK69" s="141"/>
      <c r="AL69" s="141"/>
      <c r="AM69" s="141"/>
      <c r="AN69" s="141"/>
      <c r="AO69" s="141"/>
      <c r="AP69" s="141"/>
      <c r="AQ69" s="141"/>
      <c r="AR69" s="141"/>
      <c r="AS69" s="141"/>
    </row>
    <row r="70" spans="1:45" ht="45" customHeight="1">
      <c r="A70" s="153">
        <v>67</v>
      </c>
      <c r="B70" s="153"/>
      <c r="C70" s="140"/>
      <c r="D70" s="28"/>
      <c r="E70" s="59"/>
      <c r="F70" s="59"/>
      <c r="G70" s="90"/>
      <c r="H70" s="90"/>
      <c r="I70" s="93"/>
      <c r="J70" s="93"/>
      <c r="K70" s="93"/>
      <c r="L70" s="69"/>
      <c r="M70" s="69"/>
      <c r="N70" s="39">
        <v>0</v>
      </c>
      <c r="O70" s="141"/>
      <c r="P70" s="141"/>
      <c r="Q70" s="141"/>
      <c r="R70" s="141"/>
      <c r="S70" s="141"/>
      <c r="T70" s="29">
        <v>0</v>
      </c>
      <c r="U70" s="145">
        <v>0</v>
      </c>
      <c r="V70" s="145">
        <v>0</v>
      </c>
      <c r="W70" s="145">
        <v>0</v>
      </c>
      <c r="X70" s="145">
        <v>0</v>
      </c>
      <c r="Y70" s="145">
        <v>0</v>
      </c>
      <c r="Z70" s="145">
        <v>0</v>
      </c>
      <c r="AA70" s="142">
        <f t="shared" si="4"/>
        <v>0</v>
      </c>
      <c r="AB70" s="141"/>
      <c r="AC70" s="67"/>
      <c r="AD70" s="67"/>
      <c r="AE70" s="24"/>
      <c r="AF70" s="24"/>
      <c r="AG70" s="24"/>
      <c r="AH70" s="71"/>
      <c r="AI70" s="69"/>
      <c r="AJ70" s="141"/>
      <c r="AK70" s="141"/>
      <c r="AL70" s="141"/>
      <c r="AM70" s="141"/>
      <c r="AN70" s="141"/>
      <c r="AO70" s="141"/>
      <c r="AP70" s="141"/>
      <c r="AQ70" s="141"/>
      <c r="AR70" s="141"/>
      <c r="AS70" s="141"/>
    </row>
    <row r="71" spans="1:45" ht="45" customHeight="1">
      <c r="A71" s="153">
        <v>68</v>
      </c>
      <c r="B71" s="153"/>
      <c r="C71" s="140"/>
      <c r="D71" s="28"/>
      <c r="E71" s="59"/>
      <c r="F71" s="59"/>
      <c r="G71" s="90"/>
      <c r="H71" s="90"/>
      <c r="I71" s="93"/>
      <c r="J71" s="93"/>
      <c r="K71" s="93"/>
      <c r="L71" s="69"/>
      <c r="M71" s="69"/>
      <c r="N71" s="39">
        <v>0</v>
      </c>
      <c r="O71" s="141"/>
      <c r="P71" s="141"/>
      <c r="Q71" s="141"/>
      <c r="R71" s="141"/>
      <c r="S71" s="141"/>
      <c r="T71" s="29">
        <v>0</v>
      </c>
      <c r="U71" s="145">
        <v>0</v>
      </c>
      <c r="V71" s="145">
        <v>0</v>
      </c>
      <c r="W71" s="145">
        <v>0</v>
      </c>
      <c r="X71" s="145">
        <v>0</v>
      </c>
      <c r="Y71" s="145">
        <v>0</v>
      </c>
      <c r="Z71" s="145">
        <v>0</v>
      </c>
      <c r="AA71" s="142">
        <f t="shared" si="4"/>
        <v>0</v>
      </c>
      <c r="AB71" s="141"/>
      <c r="AC71" s="67"/>
      <c r="AD71" s="67"/>
      <c r="AE71" s="24"/>
      <c r="AF71" s="24"/>
      <c r="AG71" s="24"/>
      <c r="AH71" s="71"/>
      <c r="AI71" s="69"/>
      <c r="AJ71" s="141"/>
      <c r="AK71" s="141"/>
      <c r="AL71" s="141"/>
      <c r="AM71" s="141"/>
      <c r="AN71" s="141"/>
      <c r="AO71" s="141"/>
      <c r="AP71" s="141"/>
      <c r="AQ71" s="141"/>
      <c r="AR71" s="141"/>
      <c r="AS71" s="141"/>
    </row>
    <row r="72" spans="1:45" ht="45" customHeight="1">
      <c r="A72" s="153">
        <v>69</v>
      </c>
      <c r="B72" s="153"/>
      <c r="C72" s="140"/>
      <c r="D72" s="28"/>
      <c r="E72" s="59"/>
      <c r="F72" s="59"/>
      <c r="G72" s="90"/>
      <c r="H72" s="90"/>
      <c r="I72" s="93"/>
      <c r="J72" s="93"/>
      <c r="K72" s="93"/>
      <c r="L72" s="69"/>
      <c r="M72" s="69"/>
      <c r="N72" s="39">
        <v>0</v>
      </c>
      <c r="O72" s="141"/>
      <c r="P72" s="141"/>
      <c r="Q72" s="141"/>
      <c r="R72" s="141"/>
      <c r="S72" s="141"/>
      <c r="T72" s="29">
        <v>0</v>
      </c>
      <c r="U72" s="145">
        <v>0</v>
      </c>
      <c r="V72" s="145">
        <v>0</v>
      </c>
      <c r="W72" s="145">
        <v>0</v>
      </c>
      <c r="X72" s="145">
        <v>0</v>
      </c>
      <c r="Y72" s="145">
        <v>0</v>
      </c>
      <c r="Z72" s="145">
        <v>0</v>
      </c>
      <c r="AA72" s="142">
        <f t="shared" si="4"/>
        <v>0</v>
      </c>
      <c r="AB72" s="141"/>
      <c r="AC72" s="67"/>
      <c r="AD72" s="67"/>
      <c r="AE72" s="24"/>
      <c r="AF72" s="24"/>
      <c r="AG72" s="24"/>
      <c r="AH72" s="71"/>
      <c r="AI72" s="69"/>
      <c r="AJ72" s="141"/>
      <c r="AK72" s="141"/>
      <c r="AL72" s="141"/>
      <c r="AM72" s="141"/>
      <c r="AN72" s="141"/>
      <c r="AO72" s="141"/>
      <c r="AP72" s="141"/>
      <c r="AQ72" s="141"/>
      <c r="AR72" s="141"/>
      <c r="AS72" s="141"/>
    </row>
    <row r="73" spans="1:45" ht="45" customHeight="1">
      <c r="A73" s="153">
        <v>70</v>
      </c>
      <c r="B73" s="153"/>
      <c r="C73" s="140"/>
      <c r="D73" s="28"/>
      <c r="E73" s="59"/>
      <c r="F73" s="59"/>
      <c r="G73" s="90"/>
      <c r="H73" s="90"/>
      <c r="I73" s="93"/>
      <c r="J73" s="93"/>
      <c r="K73" s="93"/>
      <c r="L73" s="69"/>
      <c r="M73" s="69"/>
      <c r="N73" s="39">
        <v>0</v>
      </c>
      <c r="O73" s="141"/>
      <c r="P73" s="141"/>
      <c r="Q73" s="141"/>
      <c r="R73" s="141"/>
      <c r="S73" s="141"/>
      <c r="T73" s="29">
        <v>0</v>
      </c>
      <c r="U73" s="145">
        <v>0</v>
      </c>
      <c r="V73" s="145">
        <v>0</v>
      </c>
      <c r="W73" s="145">
        <v>0</v>
      </c>
      <c r="X73" s="145">
        <v>0</v>
      </c>
      <c r="Y73" s="145">
        <v>0</v>
      </c>
      <c r="Z73" s="145">
        <v>0</v>
      </c>
      <c r="AA73" s="142">
        <f t="shared" si="4"/>
        <v>0</v>
      </c>
      <c r="AB73" s="141"/>
      <c r="AC73" s="67"/>
      <c r="AD73" s="67"/>
      <c r="AE73" s="24"/>
      <c r="AF73" s="24"/>
      <c r="AG73" s="24"/>
      <c r="AH73" s="71"/>
      <c r="AI73" s="69"/>
      <c r="AJ73" s="141"/>
      <c r="AK73" s="141"/>
      <c r="AL73" s="141"/>
      <c r="AM73" s="141"/>
      <c r="AN73" s="141"/>
      <c r="AO73" s="141"/>
      <c r="AP73" s="141"/>
      <c r="AQ73" s="141"/>
      <c r="AR73" s="141"/>
      <c r="AS73" s="141"/>
    </row>
    <row r="74" spans="1:45" ht="45" customHeight="1">
      <c r="A74" s="153">
        <v>71</v>
      </c>
      <c r="B74" s="153"/>
      <c r="C74" s="140"/>
      <c r="D74" s="28"/>
      <c r="E74" s="59"/>
      <c r="F74" s="59"/>
      <c r="G74" s="90"/>
      <c r="H74" s="90"/>
      <c r="I74" s="93"/>
      <c r="J74" s="93"/>
      <c r="K74" s="93"/>
      <c r="L74" s="69"/>
      <c r="M74" s="69"/>
      <c r="N74" s="39">
        <v>0</v>
      </c>
      <c r="O74" s="21"/>
      <c r="P74" s="21"/>
      <c r="Q74" s="141"/>
      <c r="R74" s="21"/>
      <c r="S74" s="141"/>
      <c r="T74" s="29">
        <v>0</v>
      </c>
      <c r="U74" s="145">
        <v>0</v>
      </c>
      <c r="V74" s="145">
        <v>0</v>
      </c>
      <c r="W74" s="145">
        <v>0</v>
      </c>
      <c r="X74" s="145">
        <v>0</v>
      </c>
      <c r="Y74" s="145">
        <v>0</v>
      </c>
      <c r="Z74" s="145">
        <v>0</v>
      </c>
      <c r="AA74" s="142">
        <f t="shared" si="4"/>
        <v>0</v>
      </c>
      <c r="AB74" s="141"/>
      <c r="AC74" s="67"/>
      <c r="AD74" s="67"/>
      <c r="AE74" s="24"/>
      <c r="AF74" s="24"/>
      <c r="AG74" s="24"/>
      <c r="AH74" s="71"/>
      <c r="AI74" s="69"/>
      <c r="AJ74" s="141"/>
      <c r="AK74" s="141"/>
      <c r="AL74" s="141"/>
      <c r="AM74" s="141"/>
      <c r="AN74" s="141"/>
      <c r="AO74" s="141"/>
      <c r="AP74" s="141"/>
      <c r="AQ74" s="141"/>
      <c r="AR74" s="141"/>
      <c r="AS74" s="141"/>
    </row>
    <row r="75" spans="1:45" ht="45" customHeight="1">
      <c r="A75" s="153">
        <v>72</v>
      </c>
      <c r="B75" s="153"/>
      <c r="C75" s="140"/>
      <c r="D75" s="28"/>
      <c r="E75" s="59"/>
      <c r="F75" s="59"/>
      <c r="G75" s="90"/>
      <c r="H75" s="90"/>
      <c r="I75" s="93"/>
      <c r="J75" s="93"/>
      <c r="K75" s="93"/>
      <c r="L75" s="69"/>
      <c r="M75" s="69"/>
      <c r="N75" s="39">
        <v>0</v>
      </c>
      <c r="O75" s="53"/>
      <c r="P75" s="53"/>
      <c r="Q75" s="141"/>
      <c r="R75" s="141"/>
      <c r="S75" s="141"/>
      <c r="T75" s="29">
        <v>0</v>
      </c>
      <c r="U75" s="145">
        <v>0</v>
      </c>
      <c r="V75" s="145">
        <v>0</v>
      </c>
      <c r="W75" s="145">
        <v>0</v>
      </c>
      <c r="X75" s="145">
        <v>0</v>
      </c>
      <c r="Y75" s="145">
        <v>0</v>
      </c>
      <c r="Z75" s="145">
        <v>0</v>
      </c>
      <c r="AA75" s="142">
        <f t="shared" si="4"/>
        <v>0</v>
      </c>
      <c r="AB75" s="141"/>
      <c r="AC75" s="67"/>
      <c r="AD75" s="67"/>
      <c r="AE75" s="24"/>
      <c r="AF75" s="24"/>
      <c r="AG75" s="24"/>
      <c r="AH75" s="71"/>
      <c r="AI75" s="69"/>
      <c r="AJ75" s="141"/>
      <c r="AK75" s="141"/>
      <c r="AL75" s="141"/>
      <c r="AM75" s="141"/>
      <c r="AN75" s="141"/>
      <c r="AO75" s="141"/>
      <c r="AP75" s="141"/>
      <c r="AQ75" s="141"/>
      <c r="AR75" s="141"/>
      <c r="AS75" s="141"/>
    </row>
    <row r="76" spans="1:45" ht="45" customHeight="1">
      <c r="A76" s="153">
        <v>73</v>
      </c>
      <c r="B76" s="153"/>
      <c r="C76" s="140"/>
      <c r="D76" s="28"/>
      <c r="E76" s="59"/>
      <c r="F76" s="59"/>
      <c r="G76" s="90"/>
      <c r="H76" s="90"/>
      <c r="I76" s="93"/>
      <c r="J76" s="93"/>
      <c r="K76" s="93"/>
      <c r="L76" s="69"/>
      <c r="M76" s="69"/>
      <c r="N76" s="39">
        <v>0</v>
      </c>
      <c r="O76" s="141"/>
      <c r="P76" s="141"/>
      <c r="Q76" s="141"/>
      <c r="R76" s="141"/>
      <c r="S76" s="141"/>
      <c r="T76" s="29">
        <v>0</v>
      </c>
      <c r="U76" s="145">
        <v>0</v>
      </c>
      <c r="V76" s="145">
        <v>0</v>
      </c>
      <c r="W76" s="145">
        <v>0</v>
      </c>
      <c r="X76" s="145">
        <v>0</v>
      </c>
      <c r="Y76" s="145">
        <v>0</v>
      </c>
      <c r="Z76" s="145">
        <v>0</v>
      </c>
      <c r="AA76" s="142">
        <f t="shared" si="4"/>
        <v>0</v>
      </c>
      <c r="AB76" s="141"/>
      <c r="AC76" s="67"/>
      <c r="AD76" s="67"/>
      <c r="AE76" s="24"/>
      <c r="AF76" s="24"/>
      <c r="AG76" s="24"/>
      <c r="AH76" s="71"/>
      <c r="AI76" s="69"/>
      <c r="AJ76" s="141"/>
      <c r="AK76" s="141"/>
      <c r="AL76" s="141"/>
      <c r="AM76" s="141"/>
      <c r="AN76" s="141"/>
      <c r="AO76" s="141"/>
      <c r="AP76" s="141"/>
      <c r="AQ76" s="141"/>
      <c r="AR76" s="141"/>
      <c r="AS76" s="141"/>
    </row>
    <row r="77" spans="1:45" ht="45" customHeight="1">
      <c r="A77" s="153">
        <v>74</v>
      </c>
      <c r="B77" s="153"/>
      <c r="C77" s="140"/>
      <c r="D77" s="28"/>
      <c r="E77" s="59"/>
      <c r="F77" s="59"/>
      <c r="G77" s="90"/>
      <c r="H77" s="90"/>
      <c r="I77" s="93"/>
      <c r="J77" s="93"/>
      <c r="K77" s="93"/>
      <c r="L77" s="69"/>
      <c r="M77" s="69"/>
      <c r="N77" s="39">
        <v>0</v>
      </c>
      <c r="O77" s="141"/>
      <c r="P77" s="141"/>
      <c r="Q77" s="141"/>
      <c r="R77" s="141"/>
      <c r="S77" s="141"/>
      <c r="T77" s="29">
        <v>0</v>
      </c>
      <c r="U77" s="145">
        <v>0</v>
      </c>
      <c r="V77" s="145">
        <v>0</v>
      </c>
      <c r="W77" s="145">
        <v>0</v>
      </c>
      <c r="X77" s="145">
        <v>0</v>
      </c>
      <c r="Y77" s="145">
        <v>0</v>
      </c>
      <c r="Z77" s="145">
        <v>0</v>
      </c>
      <c r="AA77" s="142">
        <f t="shared" si="4"/>
        <v>0</v>
      </c>
      <c r="AB77" s="141"/>
      <c r="AC77" s="67"/>
      <c r="AD77" s="67"/>
      <c r="AE77" s="24"/>
      <c r="AF77" s="24"/>
      <c r="AG77" s="24"/>
      <c r="AH77" s="71"/>
      <c r="AI77" s="69"/>
      <c r="AJ77" s="141"/>
      <c r="AK77" s="141"/>
      <c r="AL77" s="141"/>
      <c r="AM77" s="141"/>
      <c r="AN77" s="141"/>
      <c r="AO77" s="141"/>
      <c r="AP77" s="141"/>
      <c r="AQ77" s="141"/>
      <c r="AR77" s="141"/>
      <c r="AS77" s="141"/>
    </row>
    <row r="78" spans="1:45" ht="45" customHeight="1">
      <c r="A78" s="153">
        <v>75</v>
      </c>
      <c r="B78" s="153"/>
      <c r="C78" s="140"/>
      <c r="D78" s="28"/>
      <c r="E78" s="59"/>
      <c r="F78" s="59"/>
      <c r="G78" s="90"/>
      <c r="H78" s="90"/>
      <c r="I78" s="93"/>
      <c r="J78" s="96"/>
      <c r="K78" s="96"/>
      <c r="L78" s="69"/>
      <c r="M78" s="69"/>
      <c r="N78" s="39">
        <v>0</v>
      </c>
      <c r="O78" s="141"/>
      <c r="P78" s="141"/>
      <c r="Q78" s="141"/>
      <c r="R78" s="141"/>
      <c r="S78" s="141"/>
      <c r="T78" s="29">
        <v>0</v>
      </c>
      <c r="U78" s="145">
        <v>0</v>
      </c>
      <c r="V78" s="145">
        <v>0</v>
      </c>
      <c r="W78" s="145">
        <v>0</v>
      </c>
      <c r="X78" s="145">
        <v>0</v>
      </c>
      <c r="Y78" s="145">
        <v>0</v>
      </c>
      <c r="Z78" s="145">
        <v>0</v>
      </c>
      <c r="AA78" s="142">
        <f t="shared" si="4"/>
        <v>0</v>
      </c>
      <c r="AB78" s="141"/>
      <c r="AC78" s="67"/>
      <c r="AD78" s="67"/>
      <c r="AE78" s="24"/>
      <c r="AF78" s="24"/>
      <c r="AG78" s="24"/>
      <c r="AH78" s="71"/>
      <c r="AI78" s="69"/>
      <c r="AJ78" s="141"/>
      <c r="AK78" s="141"/>
      <c r="AL78" s="141"/>
      <c r="AM78" s="141"/>
      <c r="AN78" s="141"/>
      <c r="AO78" s="141"/>
      <c r="AP78" s="141"/>
      <c r="AQ78" s="141"/>
      <c r="AR78" s="141"/>
      <c r="AS78" s="141"/>
    </row>
    <row r="79" spans="1:45" ht="45" customHeight="1">
      <c r="A79" s="153">
        <v>76</v>
      </c>
      <c r="B79" s="153"/>
      <c r="C79" s="140"/>
      <c r="D79" s="28"/>
      <c r="E79" s="59"/>
      <c r="F79" s="59"/>
      <c r="G79" s="90"/>
      <c r="H79" s="90"/>
      <c r="I79" s="93"/>
      <c r="J79" s="93"/>
      <c r="K79" s="93"/>
      <c r="L79" s="69"/>
      <c r="M79" s="69"/>
      <c r="N79" s="39">
        <v>0</v>
      </c>
      <c r="O79" s="141"/>
      <c r="P79" s="141"/>
      <c r="Q79" s="141"/>
      <c r="R79" s="21"/>
      <c r="S79" s="141"/>
      <c r="T79" s="29">
        <v>0</v>
      </c>
      <c r="U79" s="145">
        <v>0</v>
      </c>
      <c r="V79" s="145">
        <v>0</v>
      </c>
      <c r="W79" s="145">
        <v>0</v>
      </c>
      <c r="X79" s="145">
        <v>0</v>
      </c>
      <c r="Y79" s="145">
        <v>0</v>
      </c>
      <c r="Z79" s="145">
        <v>0</v>
      </c>
      <c r="AA79" s="142">
        <f t="shared" si="4"/>
        <v>0</v>
      </c>
      <c r="AB79" s="141"/>
      <c r="AC79" s="67"/>
      <c r="AD79" s="67"/>
      <c r="AE79" s="24"/>
      <c r="AF79" s="24"/>
      <c r="AG79" s="24"/>
      <c r="AH79" s="71"/>
      <c r="AI79" s="69"/>
      <c r="AJ79" s="141"/>
      <c r="AK79" s="141"/>
      <c r="AL79" s="141"/>
      <c r="AM79" s="141"/>
      <c r="AN79" s="141"/>
      <c r="AO79" s="141"/>
      <c r="AP79" s="141"/>
      <c r="AQ79" s="141"/>
      <c r="AR79" s="141"/>
      <c r="AS79" s="141"/>
    </row>
    <row r="80" spans="1:45" ht="45" customHeight="1">
      <c r="A80" s="153">
        <v>77</v>
      </c>
      <c r="B80" s="153"/>
      <c r="C80" s="140"/>
      <c r="D80" s="28"/>
      <c r="E80" s="59"/>
      <c r="F80" s="59"/>
      <c r="G80" s="90"/>
      <c r="H80" s="90"/>
      <c r="I80" s="93"/>
      <c r="J80" s="93"/>
      <c r="K80" s="93"/>
      <c r="L80" s="69"/>
      <c r="M80" s="69"/>
      <c r="N80" s="39">
        <v>0</v>
      </c>
      <c r="O80" s="21"/>
      <c r="P80" s="21"/>
      <c r="Q80" s="141"/>
      <c r="R80" s="21"/>
      <c r="S80" s="141"/>
      <c r="T80" s="29">
        <v>0</v>
      </c>
      <c r="U80" s="145">
        <v>0</v>
      </c>
      <c r="V80" s="145">
        <v>0</v>
      </c>
      <c r="W80" s="145">
        <v>0</v>
      </c>
      <c r="X80" s="145">
        <v>0</v>
      </c>
      <c r="Y80" s="145">
        <v>0</v>
      </c>
      <c r="Z80" s="145">
        <v>0</v>
      </c>
      <c r="AA80" s="142">
        <f t="shared" si="4"/>
        <v>0</v>
      </c>
      <c r="AB80" s="141"/>
      <c r="AC80" s="67"/>
      <c r="AD80" s="67"/>
      <c r="AE80" s="24"/>
      <c r="AF80" s="24"/>
      <c r="AG80" s="24"/>
      <c r="AH80" s="71"/>
      <c r="AI80" s="69"/>
      <c r="AJ80" s="141"/>
      <c r="AK80" s="141"/>
      <c r="AL80" s="141"/>
      <c r="AM80" s="141"/>
      <c r="AN80" s="141"/>
      <c r="AO80" s="141"/>
      <c r="AP80" s="141"/>
      <c r="AQ80" s="141"/>
      <c r="AR80" s="141"/>
      <c r="AS80" s="141"/>
    </row>
    <row r="81" spans="1:45" ht="45" customHeight="1">
      <c r="A81" s="153">
        <v>78</v>
      </c>
      <c r="B81" s="153"/>
      <c r="C81" s="140"/>
      <c r="D81" s="140"/>
      <c r="E81" s="59"/>
      <c r="F81" s="59"/>
      <c r="G81" s="90"/>
      <c r="H81" s="90"/>
      <c r="I81" s="93"/>
      <c r="J81" s="93"/>
      <c r="K81" s="93"/>
      <c r="L81" s="69"/>
      <c r="M81" s="69"/>
      <c r="N81" s="39">
        <v>0</v>
      </c>
      <c r="O81" s="21"/>
      <c r="P81" s="21"/>
      <c r="Q81" s="141"/>
      <c r="R81" s="21"/>
      <c r="S81" s="141"/>
      <c r="T81" s="29">
        <v>0</v>
      </c>
      <c r="U81" s="145">
        <v>0</v>
      </c>
      <c r="V81" s="145">
        <v>0</v>
      </c>
      <c r="W81" s="145">
        <v>0</v>
      </c>
      <c r="X81" s="145">
        <v>0</v>
      </c>
      <c r="Y81" s="145">
        <v>0</v>
      </c>
      <c r="Z81" s="145">
        <v>0</v>
      </c>
      <c r="AA81" s="142">
        <f t="shared" si="4"/>
        <v>0</v>
      </c>
      <c r="AB81" s="141"/>
      <c r="AC81" s="67"/>
      <c r="AD81" s="67"/>
      <c r="AE81" s="24"/>
      <c r="AF81" s="24"/>
      <c r="AG81" s="24"/>
      <c r="AH81" s="71"/>
      <c r="AI81" s="69"/>
      <c r="AJ81" s="141"/>
      <c r="AK81" s="141"/>
      <c r="AL81" s="141"/>
      <c r="AM81" s="141"/>
      <c r="AN81" s="141"/>
      <c r="AO81" s="141"/>
      <c r="AP81" s="141"/>
      <c r="AQ81" s="141"/>
      <c r="AR81" s="141"/>
      <c r="AS81" s="141"/>
    </row>
    <row r="82" spans="1:45" ht="45" customHeight="1">
      <c r="A82" s="153">
        <v>79</v>
      </c>
      <c r="B82" s="153"/>
      <c r="C82" s="140"/>
      <c r="D82" s="28"/>
      <c r="E82" s="59"/>
      <c r="F82" s="59"/>
      <c r="G82" s="90"/>
      <c r="H82" s="90"/>
      <c r="I82" s="93"/>
      <c r="J82" s="93"/>
      <c r="K82" s="93"/>
      <c r="L82" s="69"/>
      <c r="M82" s="69"/>
      <c r="N82" s="39">
        <v>0</v>
      </c>
      <c r="O82" s="21"/>
      <c r="P82" s="21"/>
      <c r="Q82" s="141"/>
      <c r="R82" s="21"/>
      <c r="S82" s="141"/>
      <c r="T82" s="29">
        <v>0</v>
      </c>
      <c r="U82" s="145">
        <v>0</v>
      </c>
      <c r="V82" s="145">
        <v>0</v>
      </c>
      <c r="W82" s="145">
        <v>0</v>
      </c>
      <c r="X82" s="145">
        <v>0</v>
      </c>
      <c r="Y82" s="145">
        <v>0</v>
      </c>
      <c r="Z82" s="145">
        <v>0</v>
      </c>
      <c r="AA82" s="142">
        <f t="shared" si="4"/>
        <v>0</v>
      </c>
      <c r="AB82" s="141"/>
      <c r="AC82" s="67"/>
      <c r="AD82" s="67"/>
      <c r="AE82" s="24"/>
      <c r="AF82" s="24"/>
      <c r="AG82" s="24"/>
      <c r="AH82" s="71"/>
      <c r="AI82" s="69"/>
      <c r="AJ82" s="141"/>
      <c r="AK82" s="141"/>
      <c r="AL82" s="141"/>
      <c r="AM82" s="141"/>
      <c r="AN82" s="141"/>
      <c r="AO82" s="141"/>
      <c r="AP82" s="141"/>
      <c r="AQ82" s="141"/>
      <c r="AR82" s="141"/>
      <c r="AS82" s="141"/>
    </row>
    <row r="83" spans="1:45" ht="45" customHeight="1">
      <c r="A83" s="153">
        <v>80</v>
      </c>
      <c r="B83" s="153"/>
      <c r="C83" s="140"/>
      <c r="D83" s="28"/>
      <c r="E83" s="59"/>
      <c r="F83" s="59"/>
      <c r="G83" s="90"/>
      <c r="H83" s="90"/>
      <c r="I83" s="93"/>
      <c r="J83" s="93"/>
      <c r="K83" s="93"/>
      <c r="L83" s="69"/>
      <c r="M83" s="69"/>
      <c r="N83" s="39">
        <v>0</v>
      </c>
      <c r="O83" s="21"/>
      <c r="P83" s="21"/>
      <c r="Q83" s="141"/>
      <c r="R83" s="21"/>
      <c r="S83" s="141"/>
      <c r="T83" s="29">
        <v>0</v>
      </c>
      <c r="U83" s="145">
        <v>0</v>
      </c>
      <c r="V83" s="145">
        <v>0</v>
      </c>
      <c r="W83" s="145">
        <v>0</v>
      </c>
      <c r="X83" s="145">
        <v>0</v>
      </c>
      <c r="Y83" s="145">
        <v>0</v>
      </c>
      <c r="Z83" s="145">
        <v>0</v>
      </c>
      <c r="AA83" s="142">
        <f t="shared" si="4"/>
        <v>0</v>
      </c>
      <c r="AB83" s="141"/>
      <c r="AC83" s="67"/>
      <c r="AD83" s="67"/>
      <c r="AE83" s="24"/>
      <c r="AF83" s="24"/>
      <c r="AG83" s="24"/>
      <c r="AH83" s="71"/>
      <c r="AI83" s="69"/>
      <c r="AJ83" s="141"/>
      <c r="AK83" s="141"/>
      <c r="AL83" s="141"/>
      <c r="AM83" s="141"/>
      <c r="AN83" s="141"/>
      <c r="AO83" s="141"/>
      <c r="AP83" s="141"/>
      <c r="AQ83" s="141"/>
      <c r="AR83" s="141"/>
      <c r="AS83" s="141"/>
    </row>
    <row r="84" spans="1:45" ht="45" customHeight="1">
      <c r="A84" s="153">
        <v>81</v>
      </c>
      <c r="B84" s="153"/>
      <c r="C84" s="140"/>
      <c r="D84" s="28"/>
      <c r="E84" s="59"/>
      <c r="F84" s="59"/>
      <c r="G84" s="90"/>
      <c r="H84" s="90"/>
      <c r="I84" s="93"/>
      <c r="J84" s="93"/>
      <c r="K84" s="93"/>
      <c r="L84" s="69"/>
      <c r="M84" s="69"/>
      <c r="N84" s="39">
        <v>0</v>
      </c>
      <c r="O84" s="21"/>
      <c r="P84" s="21"/>
      <c r="Q84" s="141"/>
      <c r="R84" s="21"/>
      <c r="S84" s="141"/>
      <c r="T84" s="29">
        <v>0</v>
      </c>
      <c r="U84" s="145">
        <v>0</v>
      </c>
      <c r="V84" s="145">
        <v>0</v>
      </c>
      <c r="W84" s="145">
        <v>0</v>
      </c>
      <c r="X84" s="145">
        <v>0</v>
      </c>
      <c r="Y84" s="145">
        <v>0</v>
      </c>
      <c r="Z84" s="145">
        <v>0</v>
      </c>
      <c r="AA84" s="142">
        <f t="shared" si="4"/>
        <v>0</v>
      </c>
      <c r="AB84" s="141"/>
      <c r="AC84" s="67"/>
      <c r="AD84" s="67"/>
      <c r="AE84" s="24"/>
      <c r="AF84" s="24"/>
      <c r="AG84" s="24"/>
      <c r="AH84" s="71"/>
      <c r="AI84" s="69"/>
      <c r="AJ84" s="141"/>
      <c r="AK84" s="141"/>
      <c r="AL84" s="141"/>
      <c r="AM84" s="141"/>
      <c r="AN84" s="141"/>
      <c r="AO84" s="141"/>
      <c r="AP84" s="141"/>
      <c r="AQ84" s="141"/>
      <c r="AR84" s="141"/>
      <c r="AS84" s="141"/>
    </row>
    <row r="85" spans="1:45" ht="45" customHeight="1">
      <c r="A85" s="153">
        <v>82</v>
      </c>
      <c r="B85" s="153"/>
      <c r="C85" s="140"/>
      <c r="D85" s="28"/>
      <c r="E85" s="59"/>
      <c r="F85" s="59"/>
      <c r="G85" s="90"/>
      <c r="H85" s="90"/>
      <c r="I85" s="93"/>
      <c r="J85" s="93"/>
      <c r="K85" s="93"/>
      <c r="L85" s="69"/>
      <c r="M85" s="69"/>
      <c r="N85" s="39">
        <v>0</v>
      </c>
      <c r="O85" s="21"/>
      <c r="P85" s="21"/>
      <c r="Q85" s="141"/>
      <c r="R85" s="21"/>
      <c r="S85" s="141"/>
      <c r="T85" s="29">
        <v>0</v>
      </c>
      <c r="U85" s="145">
        <v>0</v>
      </c>
      <c r="V85" s="145">
        <v>0</v>
      </c>
      <c r="W85" s="145">
        <v>0</v>
      </c>
      <c r="X85" s="145">
        <v>0</v>
      </c>
      <c r="Y85" s="145">
        <v>0</v>
      </c>
      <c r="Z85" s="145">
        <v>0</v>
      </c>
      <c r="AA85" s="142">
        <f t="shared" si="4"/>
        <v>0</v>
      </c>
      <c r="AB85" s="141"/>
      <c r="AC85" s="67"/>
      <c r="AD85" s="67"/>
      <c r="AE85" s="24"/>
      <c r="AF85" s="24"/>
      <c r="AG85" s="24"/>
      <c r="AH85" s="71"/>
      <c r="AI85" s="69"/>
      <c r="AJ85" s="141"/>
      <c r="AK85" s="141"/>
      <c r="AL85" s="141"/>
      <c r="AM85" s="141"/>
      <c r="AN85" s="141"/>
      <c r="AO85" s="141"/>
      <c r="AP85" s="141"/>
      <c r="AQ85" s="141"/>
      <c r="AR85" s="141"/>
      <c r="AS85" s="141"/>
    </row>
    <row r="86" spans="1:45" ht="45" customHeight="1">
      <c r="A86" s="153">
        <v>83</v>
      </c>
      <c r="B86" s="153"/>
      <c r="C86" s="140"/>
      <c r="D86" s="28"/>
      <c r="E86" s="59"/>
      <c r="F86" s="59"/>
      <c r="G86" s="90"/>
      <c r="H86" s="90"/>
      <c r="I86" s="93"/>
      <c r="J86" s="93"/>
      <c r="K86" s="93"/>
      <c r="L86" s="69"/>
      <c r="M86" s="69"/>
      <c r="N86" s="39">
        <v>0</v>
      </c>
      <c r="O86" s="21"/>
      <c r="P86" s="21"/>
      <c r="Q86" s="141"/>
      <c r="R86" s="21"/>
      <c r="S86" s="141"/>
      <c r="T86" s="29">
        <v>0</v>
      </c>
      <c r="U86" s="145">
        <v>0</v>
      </c>
      <c r="V86" s="145">
        <v>0</v>
      </c>
      <c r="W86" s="145">
        <v>0</v>
      </c>
      <c r="X86" s="145">
        <v>0</v>
      </c>
      <c r="Y86" s="145">
        <v>0</v>
      </c>
      <c r="Z86" s="145">
        <v>0</v>
      </c>
      <c r="AA86" s="142">
        <f t="shared" si="4"/>
        <v>0</v>
      </c>
      <c r="AB86" s="141"/>
      <c r="AC86" s="67"/>
      <c r="AD86" s="67"/>
      <c r="AE86" s="24"/>
      <c r="AF86" s="24"/>
      <c r="AG86" s="24"/>
      <c r="AH86" s="71"/>
      <c r="AI86" s="69"/>
      <c r="AJ86" s="141"/>
      <c r="AK86" s="141"/>
      <c r="AL86" s="141"/>
      <c r="AM86" s="141"/>
      <c r="AN86" s="141"/>
      <c r="AO86" s="141"/>
      <c r="AP86" s="141"/>
      <c r="AQ86" s="141"/>
      <c r="AR86" s="141"/>
      <c r="AS86" s="141"/>
    </row>
    <row r="87" spans="1:45" ht="45" customHeight="1">
      <c r="A87" s="153">
        <v>84</v>
      </c>
      <c r="B87" s="153"/>
      <c r="C87" s="140"/>
      <c r="D87" s="28"/>
      <c r="E87" s="59"/>
      <c r="F87" s="59"/>
      <c r="G87" s="90"/>
      <c r="H87" s="90"/>
      <c r="I87" s="93"/>
      <c r="J87" s="93"/>
      <c r="K87" s="93"/>
      <c r="L87" s="69"/>
      <c r="M87" s="69"/>
      <c r="N87" s="39">
        <v>0</v>
      </c>
      <c r="O87" s="21"/>
      <c r="P87" s="21"/>
      <c r="Q87" s="141"/>
      <c r="R87" s="21"/>
      <c r="S87" s="141"/>
      <c r="T87" s="29">
        <v>0</v>
      </c>
      <c r="U87" s="145">
        <v>0</v>
      </c>
      <c r="V87" s="145">
        <v>0</v>
      </c>
      <c r="W87" s="145">
        <v>0</v>
      </c>
      <c r="X87" s="145">
        <v>0</v>
      </c>
      <c r="Y87" s="145">
        <v>0</v>
      </c>
      <c r="Z87" s="145">
        <v>0</v>
      </c>
      <c r="AA87" s="142">
        <f t="shared" si="4"/>
        <v>0</v>
      </c>
      <c r="AB87" s="141"/>
      <c r="AC87" s="67"/>
      <c r="AD87" s="67"/>
      <c r="AE87" s="24"/>
      <c r="AF87" s="24"/>
      <c r="AG87" s="24"/>
      <c r="AH87" s="71"/>
      <c r="AI87" s="69"/>
      <c r="AJ87" s="141"/>
      <c r="AK87" s="141"/>
      <c r="AL87" s="141"/>
      <c r="AM87" s="141"/>
      <c r="AN87" s="141"/>
      <c r="AO87" s="141"/>
      <c r="AP87" s="141"/>
      <c r="AQ87" s="141"/>
      <c r="AR87" s="141"/>
      <c r="AS87" s="141"/>
    </row>
    <row r="88" spans="1:45" ht="45" customHeight="1">
      <c r="A88" s="153">
        <v>85</v>
      </c>
      <c r="B88" s="153"/>
      <c r="C88" s="140"/>
      <c r="D88" s="28"/>
      <c r="E88" s="59"/>
      <c r="F88" s="59"/>
      <c r="G88" s="90"/>
      <c r="H88" s="90"/>
      <c r="I88" s="93"/>
      <c r="J88" s="93"/>
      <c r="K88" s="93"/>
      <c r="L88" s="69"/>
      <c r="M88" s="69"/>
      <c r="N88" s="39">
        <v>0</v>
      </c>
      <c r="O88" s="21"/>
      <c r="P88" s="21"/>
      <c r="Q88" s="141"/>
      <c r="R88" s="21"/>
      <c r="S88" s="141"/>
      <c r="T88" s="29">
        <v>0</v>
      </c>
      <c r="U88" s="145">
        <v>0</v>
      </c>
      <c r="V88" s="145">
        <v>0</v>
      </c>
      <c r="W88" s="145">
        <v>0</v>
      </c>
      <c r="X88" s="145">
        <v>0</v>
      </c>
      <c r="Y88" s="145">
        <v>0</v>
      </c>
      <c r="Z88" s="145">
        <v>0</v>
      </c>
      <c r="AA88" s="142">
        <f t="shared" si="4"/>
        <v>0</v>
      </c>
      <c r="AB88" s="141"/>
      <c r="AC88" s="67"/>
      <c r="AD88" s="67"/>
      <c r="AE88" s="24"/>
      <c r="AF88" s="24"/>
      <c r="AG88" s="24"/>
      <c r="AH88" s="71"/>
      <c r="AI88" s="69"/>
      <c r="AJ88" s="141"/>
      <c r="AK88" s="141"/>
      <c r="AL88" s="141"/>
      <c r="AM88" s="141"/>
      <c r="AN88" s="141"/>
      <c r="AO88" s="141"/>
      <c r="AP88" s="141"/>
      <c r="AQ88" s="141"/>
      <c r="AR88" s="141"/>
      <c r="AS88" s="141"/>
    </row>
    <row r="89" spans="1:45" ht="45" customHeight="1">
      <c r="A89" s="153">
        <v>86</v>
      </c>
      <c r="B89" s="153"/>
      <c r="C89" s="140"/>
      <c r="D89" s="28"/>
      <c r="E89" s="59"/>
      <c r="F89" s="59"/>
      <c r="G89" s="90"/>
      <c r="H89" s="90"/>
      <c r="I89" s="93"/>
      <c r="J89" s="93"/>
      <c r="K89" s="93"/>
      <c r="L89" s="69"/>
      <c r="M89" s="69"/>
      <c r="N89" s="39">
        <v>0</v>
      </c>
      <c r="O89" s="21"/>
      <c r="P89" s="21"/>
      <c r="Q89" s="141"/>
      <c r="R89" s="21"/>
      <c r="S89" s="141"/>
      <c r="T89" s="29">
        <v>0</v>
      </c>
      <c r="U89" s="145">
        <v>0</v>
      </c>
      <c r="V89" s="145">
        <v>0</v>
      </c>
      <c r="W89" s="145">
        <v>0</v>
      </c>
      <c r="X89" s="145">
        <v>0</v>
      </c>
      <c r="Y89" s="145">
        <v>0</v>
      </c>
      <c r="Z89" s="145">
        <v>0</v>
      </c>
      <c r="AA89" s="142">
        <f t="shared" si="4"/>
        <v>0</v>
      </c>
      <c r="AB89" s="141"/>
      <c r="AC89" s="67"/>
      <c r="AD89" s="67"/>
      <c r="AE89" s="24"/>
      <c r="AF89" s="24"/>
      <c r="AG89" s="24"/>
      <c r="AH89" s="71"/>
      <c r="AI89" s="69"/>
      <c r="AJ89" s="141"/>
      <c r="AK89" s="141"/>
      <c r="AL89" s="141"/>
      <c r="AM89" s="141"/>
      <c r="AN89" s="141"/>
      <c r="AO89" s="141"/>
      <c r="AP89" s="141"/>
      <c r="AQ89" s="141"/>
      <c r="AR89" s="141"/>
      <c r="AS89" s="141"/>
    </row>
    <row r="90" spans="1:45" ht="45" customHeight="1">
      <c r="A90" s="153">
        <v>87</v>
      </c>
      <c r="B90" s="153"/>
      <c r="C90" s="140"/>
      <c r="D90" s="28"/>
      <c r="E90" s="59"/>
      <c r="F90" s="59"/>
      <c r="G90" s="90"/>
      <c r="H90" s="90"/>
      <c r="I90" s="93"/>
      <c r="J90" s="93"/>
      <c r="K90" s="93"/>
      <c r="L90" s="69"/>
      <c r="M90" s="69"/>
      <c r="N90" s="39">
        <v>0</v>
      </c>
      <c r="O90" s="21"/>
      <c r="P90" s="21"/>
      <c r="Q90" s="141"/>
      <c r="R90" s="21"/>
      <c r="S90" s="141"/>
      <c r="T90" s="29">
        <v>0</v>
      </c>
      <c r="U90" s="145">
        <v>0</v>
      </c>
      <c r="V90" s="145">
        <v>0</v>
      </c>
      <c r="W90" s="145">
        <v>0</v>
      </c>
      <c r="X90" s="145">
        <v>0</v>
      </c>
      <c r="Y90" s="145">
        <v>0</v>
      </c>
      <c r="Z90" s="145">
        <v>0</v>
      </c>
      <c r="AA90" s="142">
        <f t="shared" si="4"/>
        <v>0</v>
      </c>
      <c r="AB90" s="141"/>
      <c r="AC90" s="67"/>
      <c r="AD90" s="67"/>
      <c r="AE90" s="24"/>
      <c r="AF90" s="24"/>
      <c r="AG90" s="24"/>
      <c r="AH90" s="71"/>
      <c r="AI90" s="69"/>
      <c r="AJ90" s="141"/>
      <c r="AK90" s="141"/>
      <c r="AL90" s="141"/>
      <c r="AM90" s="141"/>
      <c r="AN90" s="141"/>
      <c r="AO90" s="141"/>
      <c r="AP90" s="141"/>
      <c r="AQ90" s="141"/>
      <c r="AR90" s="141"/>
      <c r="AS90" s="141"/>
    </row>
    <row r="91" spans="1:45" ht="45" customHeight="1">
      <c r="A91" s="153">
        <v>88</v>
      </c>
      <c r="B91" s="153"/>
      <c r="C91" s="140"/>
      <c r="D91" s="28"/>
      <c r="E91" s="59"/>
      <c r="F91" s="59"/>
      <c r="G91" s="90"/>
      <c r="H91" s="90"/>
      <c r="I91" s="93"/>
      <c r="J91" s="93"/>
      <c r="K91" s="93"/>
      <c r="L91" s="69"/>
      <c r="M91" s="69"/>
      <c r="N91" s="39">
        <v>0</v>
      </c>
      <c r="O91" s="21"/>
      <c r="P91" s="21"/>
      <c r="Q91" s="141"/>
      <c r="R91" s="21"/>
      <c r="S91" s="141"/>
      <c r="T91" s="29">
        <v>0</v>
      </c>
      <c r="U91" s="145">
        <v>0</v>
      </c>
      <c r="V91" s="145">
        <v>0</v>
      </c>
      <c r="W91" s="145">
        <v>0</v>
      </c>
      <c r="X91" s="145">
        <v>0</v>
      </c>
      <c r="Y91" s="145">
        <v>0</v>
      </c>
      <c r="Z91" s="145">
        <v>0</v>
      </c>
      <c r="AA91" s="142">
        <f t="shared" si="4"/>
        <v>0</v>
      </c>
      <c r="AB91" s="141"/>
      <c r="AC91" s="67"/>
      <c r="AD91" s="67"/>
      <c r="AE91" s="24"/>
      <c r="AF91" s="24"/>
      <c r="AG91" s="24"/>
      <c r="AH91" s="71"/>
      <c r="AI91" s="69"/>
      <c r="AJ91" s="141"/>
      <c r="AK91" s="141"/>
      <c r="AL91" s="141"/>
      <c r="AM91" s="141"/>
      <c r="AN91" s="141"/>
      <c r="AO91" s="141"/>
      <c r="AP91" s="141"/>
      <c r="AQ91" s="141"/>
      <c r="AR91" s="141"/>
      <c r="AS91" s="141"/>
    </row>
    <row r="92" spans="1:45" ht="45" customHeight="1">
      <c r="A92" s="153">
        <v>89</v>
      </c>
      <c r="B92" s="153"/>
      <c r="C92" s="140"/>
      <c r="D92" s="28"/>
      <c r="E92" s="59"/>
      <c r="F92" s="59"/>
      <c r="G92" s="90"/>
      <c r="H92" s="90"/>
      <c r="I92" s="93"/>
      <c r="J92" s="93"/>
      <c r="K92" s="93"/>
      <c r="L92" s="69"/>
      <c r="M92" s="69"/>
      <c r="N92" s="39">
        <v>0</v>
      </c>
      <c r="O92" s="21"/>
      <c r="P92" s="21"/>
      <c r="Q92" s="141"/>
      <c r="R92" s="21"/>
      <c r="S92" s="141"/>
      <c r="T92" s="29">
        <v>0</v>
      </c>
      <c r="U92" s="145">
        <v>0</v>
      </c>
      <c r="V92" s="145">
        <v>0</v>
      </c>
      <c r="W92" s="145">
        <v>0</v>
      </c>
      <c r="X92" s="145">
        <v>0</v>
      </c>
      <c r="Y92" s="145">
        <v>0</v>
      </c>
      <c r="Z92" s="145">
        <v>0</v>
      </c>
      <c r="AA92" s="142">
        <f t="shared" si="4"/>
        <v>0</v>
      </c>
      <c r="AB92" s="141"/>
      <c r="AC92" s="67"/>
      <c r="AD92" s="67"/>
      <c r="AE92" s="24"/>
      <c r="AF92" s="24"/>
      <c r="AG92" s="24"/>
      <c r="AH92" s="71"/>
      <c r="AI92" s="69"/>
      <c r="AJ92" s="141"/>
      <c r="AK92" s="141"/>
      <c r="AL92" s="141"/>
      <c r="AM92" s="141"/>
      <c r="AN92" s="141"/>
      <c r="AO92" s="141"/>
      <c r="AP92" s="141"/>
      <c r="AQ92" s="141"/>
      <c r="AR92" s="141"/>
      <c r="AS92" s="141"/>
    </row>
    <row r="93" spans="1:45" ht="45" customHeight="1">
      <c r="A93" s="153">
        <v>90</v>
      </c>
      <c r="B93" s="153"/>
      <c r="C93" s="140"/>
      <c r="D93" s="28"/>
      <c r="E93" s="59"/>
      <c r="F93" s="59"/>
      <c r="G93" s="90"/>
      <c r="H93" s="90"/>
      <c r="I93" s="93"/>
      <c r="J93" s="93"/>
      <c r="K93" s="93"/>
      <c r="L93" s="69"/>
      <c r="M93" s="69"/>
      <c r="N93" s="39">
        <v>0</v>
      </c>
      <c r="O93" s="21"/>
      <c r="P93" s="21"/>
      <c r="Q93" s="141"/>
      <c r="R93" s="21"/>
      <c r="S93" s="141"/>
      <c r="T93" s="29">
        <v>0</v>
      </c>
      <c r="U93" s="145">
        <v>0</v>
      </c>
      <c r="V93" s="145">
        <v>0</v>
      </c>
      <c r="W93" s="145">
        <v>0</v>
      </c>
      <c r="X93" s="145">
        <v>0</v>
      </c>
      <c r="Y93" s="145">
        <v>0</v>
      </c>
      <c r="Z93" s="145">
        <v>0</v>
      </c>
      <c r="AA93" s="142">
        <f t="shared" si="4"/>
        <v>0</v>
      </c>
      <c r="AB93" s="141"/>
      <c r="AC93" s="67"/>
      <c r="AD93" s="67"/>
      <c r="AE93" s="24"/>
      <c r="AF93" s="24"/>
      <c r="AG93" s="24"/>
      <c r="AH93" s="71"/>
      <c r="AI93" s="69"/>
      <c r="AJ93" s="141"/>
      <c r="AK93" s="141"/>
      <c r="AL93" s="141"/>
      <c r="AM93" s="141"/>
      <c r="AN93" s="141"/>
      <c r="AO93" s="141"/>
      <c r="AP93" s="141"/>
      <c r="AQ93" s="141"/>
      <c r="AR93" s="141"/>
      <c r="AS93" s="141"/>
    </row>
    <row r="94" spans="1:45" ht="45" customHeight="1">
      <c r="A94" s="153">
        <v>91</v>
      </c>
      <c r="B94" s="153"/>
      <c r="C94" s="140"/>
      <c r="D94" s="28"/>
      <c r="E94" s="59"/>
      <c r="F94" s="59"/>
      <c r="G94" s="90"/>
      <c r="H94" s="90"/>
      <c r="I94" s="93"/>
      <c r="J94" s="93"/>
      <c r="K94" s="93"/>
      <c r="L94" s="69"/>
      <c r="M94" s="69"/>
      <c r="N94" s="39">
        <v>0</v>
      </c>
      <c r="O94" s="21"/>
      <c r="P94" s="21"/>
      <c r="Q94" s="141"/>
      <c r="R94" s="21"/>
      <c r="S94" s="141"/>
      <c r="T94" s="29">
        <v>0</v>
      </c>
      <c r="U94" s="145">
        <v>0</v>
      </c>
      <c r="V94" s="145">
        <v>0</v>
      </c>
      <c r="W94" s="145">
        <v>0</v>
      </c>
      <c r="X94" s="145">
        <v>0</v>
      </c>
      <c r="Y94" s="145">
        <v>0</v>
      </c>
      <c r="Z94" s="145">
        <v>0</v>
      </c>
      <c r="AA94" s="142">
        <f t="shared" si="4"/>
        <v>0</v>
      </c>
      <c r="AB94" s="141"/>
      <c r="AC94" s="67"/>
      <c r="AD94" s="67"/>
      <c r="AE94" s="24"/>
      <c r="AF94" s="24"/>
      <c r="AG94" s="24"/>
      <c r="AH94" s="71"/>
      <c r="AI94" s="69"/>
      <c r="AJ94" s="141"/>
      <c r="AK94" s="141"/>
      <c r="AL94" s="141"/>
      <c r="AM94" s="141"/>
      <c r="AN94" s="141"/>
      <c r="AO94" s="141"/>
      <c r="AP94" s="141"/>
      <c r="AQ94" s="141"/>
      <c r="AR94" s="141"/>
      <c r="AS94" s="141"/>
    </row>
    <row r="95" spans="1:45" ht="45" customHeight="1">
      <c r="A95" s="153">
        <v>92</v>
      </c>
      <c r="B95" s="153"/>
      <c r="C95" s="140"/>
      <c r="D95" s="28"/>
      <c r="E95" s="59"/>
      <c r="F95" s="59"/>
      <c r="G95" s="90"/>
      <c r="H95" s="90"/>
      <c r="I95" s="93"/>
      <c r="J95" s="93"/>
      <c r="K95" s="93"/>
      <c r="L95" s="69"/>
      <c r="M95" s="69"/>
      <c r="N95" s="39">
        <v>0</v>
      </c>
      <c r="O95" s="21"/>
      <c r="P95" s="21"/>
      <c r="Q95" s="141"/>
      <c r="R95" s="21"/>
      <c r="S95" s="141"/>
      <c r="T95" s="29">
        <v>0</v>
      </c>
      <c r="U95" s="145">
        <v>0</v>
      </c>
      <c r="V95" s="145">
        <v>0</v>
      </c>
      <c r="W95" s="145">
        <v>0</v>
      </c>
      <c r="X95" s="145">
        <v>0</v>
      </c>
      <c r="Y95" s="145">
        <v>0</v>
      </c>
      <c r="Z95" s="145">
        <v>0</v>
      </c>
      <c r="AA95" s="142">
        <f t="shared" si="4"/>
        <v>0</v>
      </c>
      <c r="AB95" s="141"/>
      <c r="AC95" s="67"/>
      <c r="AD95" s="67"/>
      <c r="AE95" s="24"/>
      <c r="AF95" s="24"/>
      <c r="AG95" s="24"/>
      <c r="AH95" s="71"/>
      <c r="AI95" s="69"/>
      <c r="AJ95" s="141"/>
      <c r="AK95" s="141"/>
      <c r="AL95" s="141"/>
      <c r="AM95" s="141"/>
      <c r="AN95" s="141"/>
      <c r="AO95" s="141"/>
      <c r="AP95" s="141"/>
      <c r="AQ95" s="141"/>
      <c r="AR95" s="141"/>
      <c r="AS95" s="141"/>
    </row>
    <row r="96" spans="1:45" ht="45" customHeight="1">
      <c r="A96" s="153">
        <v>93</v>
      </c>
      <c r="B96" s="153"/>
      <c r="C96" s="140"/>
      <c r="D96" s="28"/>
      <c r="E96" s="59"/>
      <c r="F96" s="59"/>
      <c r="G96" s="90"/>
      <c r="H96" s="90"/>
      <c r="I96" s="93"/>
      <c r="J96" s="93"/>
      <c r="K96" s="93"/>
      <c r="L96" s="69"/>
      <c r="M96" s="69"/>
      <c r="N96" s="39">
        <v>0</v>
      </c>
      <c r="O96" s="21"/>
      <c r="P96" s="21"/>
      <c r="Q96" s="141"/>
      <c r="R96" s="21"/>
      <c r="S96" s="141"/>
      <c r="T96" s="29">
        <v>0</v>
      </c>
      <c r="U96" s="145">
        <v>0</v>
      </c>
      <c r="V96" s="145">
        <v>0</v>
      </c>
      <c r="W96" s="145">
        <v>0</v>
      </c>
      <c r="X96" s="145">
        <v>0</v>
      </c>
      <c r="Y96" s="145">
        <v>0</v>
      </c>
      <c r="Z96" s="145">
        <v>0</v>
      </c>
      <c r="AA96" s="142">
        <f t="shared" si="4"/>
        <v>0</v>
      </c>
      <c r="AB96" s="141"/>
      <c r="AC96" s="67"/>
      <c r="AD96" s="67"/>
      <c r="AE96" s="24"/>
      <c r="AF96" s="24"/>
      <c r="AG96" s="24"/>
      <c r="AH96" s="71"/>
      <c r="AI96" s="69"/>
      <c r="AJ96" s="141"/>
      <c r="AK96" s="141"/>
      <c r="AL96" s="141"/>
      <c r="AM96" s="141"/>
      <c r="AN96" s="141"/>
      <c r="AO96" s="141"/>
      <c r="AP96" s="141"/>
      <c r="AQ96" s="141"/>
      <c r="AR96" s="141"/>
      <c r="AS96" s="141"/>
    </row>
    <row r="97" spans="1:45" ht="45" customHeight="1">
      <c r="A97" s="153">
        <v>94</v>
      </c>
      <c r="B97" s="153"/>
      <c r="C97" s="140"/>
      <c r="D97" s="28"/>
      <c r="E97" s="59"/>
      <c r="F97" s="59"/>
      <c r="G97" s="90"/>
      <c r="H97" s="90"/>
      <c r="I97" s="93"/>
      <c r="J97" s="93"/>
      <c r="K97" s="93"/>
      <c r="L97" s="69"/>
      <c r="M97" s="69"/>
      <c r="N97" s="39">
        <v>0</v>
      </c>
      <c r="O97" s="21"/>
      <c r="P97" s="21"/>
      <c r="Q97" s="141"/>
      <c r="R97" s="21"/>
      <c r="S97" s="141"/>
      <c r="T97" s="29">
        <v>0</v>
      </c>
      <c r="U97" s="145">
        <v>0</v>
      </c>
      <c r="V97" s="145">
        <v>0</v>
      </c>
      <c r="W97" s="145">
        <v>0</v>
      </c>
      <c r="X97" s="145">
        <v>0</v>
      </c>
      <c r="Y97" s="145">
        <v>0</v>
      </c>
      <c r="Z97" s="145">
        <v>0</v>
      </c>
      <c r="AA97" s="142">
        <f t="shared" si="4"/>
        <v>0</v>
      </c>
      <c r="AB97" s="141"/>
      <c r="AC97" s="67"/>
      <c r="AD97" s="67"/>
      <c r="AE97" s="24"/>
      <c r="AF97" s="24"/>
      <c r="AG97" s="24"/>
      <c r="AH97" s="71"/>
      <c r="AI97" s="69"/>
      <c r="AJ97" s="141"/>
      <c r="AK97" s="141"/>
      <c r="AL97" s="141"/>
      <c r="AM97" s="141"/>
      <c r="AN97" s="141"/>
      <c r="AO97" s="141"/>
      <c r="AP97" s="141"/>
      <c r="AQ97" s="141"/>
      <c r="AR97" s="141"/>
      <c r="AS97" s="141"/>
    </row>
    <row r="98" spans="1:45" ht="45" customHeight="1">
      <c r="A98" s="153">
        <v>95</v>
      </c>
      <c r="B98" s="153"/>
      <c r="C98" s="140"/>
      <c r="D98" s="28"/>
      <c r="E98" s="59"/>
      <c r="F98" s="59"/>
      <c r="G98" s="90"/>
      <c r="H98" s="90"/>
      <c r="I98" s="93"/>
      <c r="J98" s="93"/>
      <c r="K98" s="93"/>
      <c r="L98" s="69"/>
      <c r="M98" s="69"/>
      <c r="N98" s="39">
        <v>0</v>
      </c>
      <c r="O98" s="21"/>
      <c r="P98" s="21"/>
      <c r="Q98" s="141"/>
      <c r="R98" s="21"/>
      <c r="S98" s="141"/>
      <c r="T98" s="29">
        <v>0</v>
      </c>
      <c r="U98" s="145">
        <v>0</v>
      </c>
      <c r="V98" s="145">
        <v>0</v>
      </c>
      <c r="W98" s="145">
        <v>0</v>
      </c>
      <c r="X98" s="145">
        <v>0</v>
      </c>
      <c r="Y98" s="145">
        <v>0</v>
      </c>
      <c r="Z98" s="145">
        <v>0</v>
      </c>
      <c r="AA98" s="142">
        <f t="shared" si="4"/>
        <v>0</v>
      </c>
      <c r="AB98" s="141"/>
      <c r="AC98" s="67"/>
      <c r="AD98" s="67"/>
      <c r="AE98" s="24"/>
      <c r="AF98" s="24"/>
      <c r="AG98" s="24"/>
      <c r="AH98" s="71"/>
      <c r="AI98" s="69"/>
      <c r="AJ98" s="141"/>
      <c r="AK98" s="141"/>
      <c r="AL98" s="141"/>
      <c r="AM98" s="141"/>
      <c r="AN98" s="141"/>
      <c r="AO98" s="141"/>
      <c r="AP98" s="141"/>
      <c r="AQ98" s="141"/>
      <c r="AR98" s="141"/>
      <c r="AS98" s="141"/>
    </row>
    <row r="99" spans="1:45" ht="45" customHeight="1">
      <c r="A99" s="153">
        <v>96</v>
      </c>
      <c r="B99" s="153"/>
      <c r="C99" s="140"/>
      <c r="D99" s="28"/>
      <c r="E99" s="59"/>
      <c r="F99" s="59"/>
      <c r="G99" s="90"/>
      <c r="H99" s="90"/>
      <c r="I99" s="93"/>
      <c r="J99" s="93"/>
      <c r="K99" s="93"/>
      <c r="L99" s="69"/>
      <c r="M99" s="69"/>
      <c r="N99" s="39">
        <v>0</v>
      </c>
      <c r="O99" s="21"/>
      <c r="P99" s="21"/>
      <c r="Q99" s="141"/>
      <c r="R99" s="21"/>
      <c r="S99" s="141"/>
      <c r="T99" s="29">
        <v>0</v>
      </c>
      <c r="U99" s="145">
        <v>0</v>
      </c>
      <c r="V99" s="145">
        <v>0</v>
      </c>
      <c r="W99" s="145">
        <v>0</v>
      </c>
      <c r="X99" s="145">
        <v>0</v>
      </c>
      <c r="Y99" s="145">
        <v>0</v>
      </c>
      <c r="Z99" s="145">
        <v>0</v>
      </c>
      <c r="AA99" s="142">
        <f t="shared" si="4"/>
        <v>0</v>
      </c>
      <c r="AB99" s="141"/>
      <c r="AC99" s="67"/>
      <c r="AD99" s="67"/>
      <c r="AE99" s="24"/>
      <c r="AF99" s="24"/>
      <c r="AG99" s="24"/>
      <c r="AH99" s="71"/>
      <c r="AI99" s="69"/>
      <c r="AJ99" s="141"/>
      <c r="AK99" s="141"/>
      <c r="AL99" s="141"/>
      <c r="AM99" s="141"/>
      <c r="AN99" s="141"/>
      <c r="AO99" s="141"/>
      <c r="AP99" s="141"/>
      <c r="AQ99" s="141"/>
      <c r="AR99" s="141"/>
      <c r="AS99" s="141"/>
    </row>
    <row r="100" spans="1:45" ht="45" customHeight="1">
      <c r="A100" s="153">
        <v>97</v>
      </c>
      <c r="B100" s="153"/>
      <c r="C100" s="140"/>
      <c r="D100" s="28"/>
      <c r="E100" s="59"/>
      <c r="F100" s="59"/>
      <c r="G100" s="90"/>
      <c r="H100" s="90"/>
      <c r="I100" s="93"/>
      <c r="J100" s="93"/>
      <c r="K100" s="93"/>
      <c r="L100" s="69"/>
      <c r="M100" s="69"/>
      <c r="N100" s="39">
        <v>0</v>
      </c>
      <c r="O100" s="21"/>
      <c r="P100" s="21"/>
      <c r="Q100" s="141"/>
      <c r="R100" s="21"/>
      <c r="S100" s="141"/>
      <c r="T100" s="29">
        <v>0</v>
      </c>
      <c r="U100" s="145">
        <v>0</v>
      </c>
      <c r="V100" s="145">
        <v>0</v>
      </c>
      <c r="W100" s="145">
        <v>0</v>
      </c>
      <c r="X100" s="145">
        <v>0</v>
      </c>
      <c r="Y100" s="145">
        <v>0</v>
      </c>
      <c r="Z100" s="145">
        <v>0</v>
      </c>
      <c r="AA100" s="142">
        <f t="shared" ref="AA100:AA131" si="5">AVERAGE(T100:Z100)</f>
        <v>0</v>
      </c>
      <c r="AB100" s="141"/>
      <c r="AC100" s="67"/>
      <c r="AD100" s="67"/>
      <c r="AE100" s="24"/>
      <c r="AF100" s="24"/>
      <c r="AG100" s="24"/>
      <c r="AH100" s="71"/>
      <c r="AI100" s="69"/>
      <c r="AJ100" s="141"/>
      <c r="AK100" s="141"/>
      <c r="AL100" s="141"/>
      <c r="AM100" s="141"/>
      <c r="AN100" s="141"/>
      <c r="AO100" s="141"/>
      <c r="AP100" s="141"/>
      <c r="AQ100" s="141"/>
      <c r="AR100" s="141"/>
      <c r="AS100" s="141"/>
    </row>
    <row r="101" spans="1:45" ht="45" customHeight="1">
      <c r="A101" s="153">
        <v>98</v>
      </c>
      <c r="B101" s="153"/>
      <c r="C101" s="140"/>
      <c r="D101" s="28"/>
      <c r="E101" s="59"/>
      <c r="F101" s="59"/>
      <c r="G101" s="90"/>
      <c r="H101" s="90"/>
      <c r="I101" s="93"/>
      <c r="J101" s="93"/>
      <c r="K101" s="93"/>
      <c r="L101" s="69"/>
      <c r="M101" s="69"/>
      <c r="N101" s="39">
        <v>0</v>
      </c>
      <c r="O101" s="21"/>
      <c r="P101" s="21"/>
      <c r="Q101" s="141"/>
      <c r="R101" s="21"/>
      <c r="S101" s="141"/>
      <c r="T101" s="29">
        <v>0</v>
      </c>
      <c r="U101" s="145">
        <v>0</v>
      </c>
      <c r="V101" s="145">
        <v>0</v>
      </c>
      <c r="W101" s="145">
        <v>0</v>
      </c>
      <c r="X101" s="145">
        <v>0</v>
      </c>
      <c r="Y101" s="145">
        <v>0</v>
      </c>
      <c r="Z101" s="145">
        <v>0</v>
      </c>
      <c r="AA101" s="142">
        <f t="shared" si="5"/>
        <v>0</v>
      </c>
      <c r="AB101" s="141"/>
      <c r="AC101" s="67"/>
      <c r="AD101" s="67"/>
      <c r="AE101" s="24"/>
      <c r="AF101" s="24"/>
      <c r="AG101" s="24"/>
      <c r="AH101" s="71"/>
      <c r="AI101" s="69"/>
      <c r="AJ101" s="141"/>
      <c r="AK101" s="141"/>
      <c r="AL101" s="141"/>
      <c r="AM101" s="141"/>
      <c r="AN101" s="141"/>
      <c r="AO101" s="141"/>
      <c r="AP101" s="141"/>
      <c r="AQ101" s="141"/>
      <c r="AR101" s="141"/>
      <c r="AS101" s="141"/>
    </row>
    <row r="102" spans="1:45" ht="45" customHeight="1">
      <c r="A102" s="153">
        <v>99</v>
      </c>
      <c r="B102" s="153"/>
      <c r="C102" s="140"/>
      <c r="D102" s="28"/>
      <c r="E102" s="59"/>
      <c r="F102" s="59"/>
      <c r="G102" s="90"/>
      <c r="H102" s="90"/>
      <c r="I102" s="93"/>
      <c r="J102" s="93"/>
      <c r="K102" s="93"/>
      <c r="L102" s="69"/>
      <c r="M102" s="69"/>
      <c r="N102" s="39">
        <v>0</v>
      </c>
      <c r="O102" s="21"/>
      <c r="P102" s="21"/>
      <c r="Q102" s="141"/>
      <c r="R102" s="21"/>
      <c r="S102" s="141"/>
      <c r="T102" s="29">
        <v>0</v>
      </c>
      <c r="U102" s="145">
        <v>0</v>
      </c>
      <c r="V102" s="145">
        <v>0</v>
      </c>
      <c r="W102" s="145">
        <v>0</v>
      </c>
      <c r="X102" s="145">
        <v>0</v>
      </c>
      <c r="Y102" s="145">
        <v>0</v>
      </c>
      <c r="Z102" s="145">
        <v>0</v>
      </c>
      <c r="AA102" s="142">
        <f t="shared" si="5"/>
        <v>0</v>
      </c>
      <c r="AB102" s="141"/>
      <c r="AC102" s="67"/>
      <c r="AD102" s="67"/>
      <c r="AE102" s="24"/>
      <c r="AF102" s="24"/>
      <c r="AG102" s="24"/>
      <c r="AH102" s="71"/>
      <c r="AI102" s="69"/>
      <c r="AJ102" s="141"/>
      <c r="AK102" s="141"/>
      <c r="AL102" s="141"/>
      <c r="AM102" s="141"/>
      <c r="AN102" s="141"/>
      <c r="AO102" s="141"/>
      <c r="AP102" s="141"/>
      <c r="AQ102" s="141"/>
      <c r="AR102" s="141"/>
      <c r="AS102" s="141"/>
    </row>
    <row r="103" spans="1:45" ht="45" customHeight="1">
      <c r="A103" s="153">
        <v>100</v>
      </c>
      <c r="B103" s="153"/>
      <c r="C103" s="140"/>
      <c r="D103" s="28"/>
      <c r="E103" s="59"/>
      <c r="F103" s="59"/>
      <c r="G103" s="90"/>
      <c r="H103" s="90"/>
      <c r="I103" s="93"/>
      <c r="J103" s="93"/>
      <c r="K103" s="93"/>
      <c r="L103" s="69"/>
      <c r="M103" s="69"/>
      <c r="N103" s="39">
        <v>0</v>
      </c>
      <c r="O103" s="21"/>
      <c r="P103" s="21"/>
      <c r="Q103" s="141"/>
      <c r="R103" s="21"/>
      <c r="S103" s="141"/>
      <c r="T103" s="29">
        <v>0</v>
      </c>
      <c r="U103" s="145">
        <v>0</v>
      </c>
      <c r="V103" s="145">
        <v>0</v>
      </c>
      <c r="W103" s="145">
        <v>0</v>
      </c>
      <c r="X103" s="145">
        <v>0</v>
      </c>
      <c r="Y103" s="145">
        <v>0</v>
      </c>
      <c r="Z103" s="145">
        <v>0</v>
      </c>
      <c r="AA103" s="142">
        <f t="shared" si="5"/>
        <v>0</v>
      </c>
      <c r="AB103" s="141"/>
      <c r="AC103" s="67"/>
      <c r="AD103" s="67"/>
      <c r="AE103" s="24"/>
      <c r="AF103" s="24"/>
      <c r="AG103" s="24"/>
      <c r="AH103" s="71"/>
      <c r="AI103" s="69"/>
      <c r="AJ103" s="141"/>
      <c r="AK103" s="141"/>
      <c r="AL103" s="141"/>
      <c r="AM103" s="141"/>
      <c r="AN103" s="141"/>
      <c r="AO103" s="141"/>
      <c r="AP103" s="141"/>
      <c r="AQ103" s="141"/>
      <c r="AR103" s="141"/>
      <c r="AS103" s="141"/>
    </row>
    <row r="104" spans="1:45" ht="45" customHeight="1">
      <c r="A104" s="153">
        <v>101</v>
      </c>
      <c r="B104" s="153"/>
      <c r="C104" s="140"/>
      <c r="D104" s="28"/>
      <c r="E104" s="59"/>
      <c r="F104" s="59"/>
      <c r="G104" s="90"/>
      <c r="H104" s="90"/>
      <c r="I104" s="93"/>
      <c r="J104" s="93"/>
      <c r="K104" s="93"/>
      <c r="L104" s="69"/>
      <c r="M104" s="69"/>
      <c r="N104" s="39">
        <v>0</v>
      </c>
      <c r="O104" s="21"/>
      <c r="P104" s="21"/>
      <c r="Q104" s="141"/>
      <c r="R104" s="21"/>
      <c r="S104" s="141"/>
      <c r="T104" s="29">
        <v>0</v>
      </c>
      <c r="U104" s="145">
        <v>0</v>
      </c>
      <c r="V104" s="145">
        <v>0</v>
      </c>
      <c r="W104" s="145">
        <v>0</v>
      </c>
      <c r="X104" s="145">
        <v>0</v>
      </c>
      <c r="Y104" s="145">
        <v>0</v>
      </c>
      <c r="Z104" s="145">
        <v>0</v>
      </c>
      <c r="AA104" s="142">
        <f t="shared" si="5"/>
        <v>0</v>
      </c>
      <c r="AB104" s="141"/>
      <c r="AC104" s="67"/>
      <c r="AD104" s="67"/>
      <c r="AE104" s="24"/>
      <c r="AF104" s="24"/>
      <c r="AG104" s="24"/>
      <c r="AH104" s="71"/>
      <c r="AI104" s="69"/>
      <c r="AJ104" s="141"/>
      <c r="AK104" s="141"/>
      <c r="AL104" s="141"/>
      <c r="AM104" s="141"/>
      <c r="AN104" s="141"/>
      <c r="AO104" s="141"/>
      <c r="AP104" s="141"/>
      <c r="AQ104" s="141"/>
      <c r="AR104" s="141"/>
      <c r="AS104" s="141"/>
    </row>
    <row r="105" spans="1:45" ht="45" customHeight="1">
      <c r="A105" s="153">
        <v>102</v>
      </c>
      <c r="B105" s="153"/>
      <c r="C105" s="140"/>
      <c r="D105" s="28"/>
      <c r="E105" s="59"/>
      <c r="F105" s="59"/>
      <c r="G105" s="90"/>
      <c r="H105" s="90"/>
      <c r="I105" s="93"/>
      <c r="J105" s="93"/>
      <c r="K105" s="93"/>
      <c r="L105" s="69"/>
      <c r="M105" s="69"/>
      <c r="N105" s="39">
        <v>0</v>
      </c>
      <c r="O105" s="21"/>
      <c r="P105" s="21"/>
      <c r="Q105" s="141"/>
      <c r="R105" s="21"/>
      <c r="S105" s="141"/>
      <c r="T105" s="29">
        <v>0</v>
      </c>
      <c r="U105" s="145">
        <v>0</v>
      </c>
      <c r="V105" s="145">
        <v>0</v>
      </c>
      <c r="W105" s="145">
        <v>0</v>
      </c>
      <c r="X105" s="145">
        <v>0</v>
      </c>
      <c r="Y105" s="145">
        <v>0</v>
      </c>
      <c r="Z105" s="145">
        <v>0</v>
      </c>
      <c r="AA105" s="142">
        <f t="shared" si="5"/>
        <v>0</v>
      </c>
      <c r="AB105" s="141"/>
      <c r="AC105" s="67"/>
      <c r="AD105" s="67"/>
      <c r="AE105" s="24"/>
      <c r="AF105" s="24"/>
      <c r="AG105" s="24"/>
      <c r="AH105" s="71"/>
      <c r="AI105" s="69"/>
      <c r="AJ105" s="141"/>
      <c r="AK105" s="141"/>
      <c r="AL105" s="141"/>
      <c r="AM105" s="141"/>
      <c r="AN105" s="141"/>
      <c r="AO105" s="141"/>
      <c r="AP105" s="141"/>
      <c r="AQ105" s="141"/>
      <c r="AR105" s="141"/>
      <c r="AS105" s="141"/>
    </row>
    <row r="106" spans="1:45" ht="45" customHeight="1">
      <c r="A106" s="153">
        <v>103</v>
      </c>
      <c r="B106" s="153"/>
      <c r="C106" s="140"/>
      <c r="D106" s="28"/>
      <c r="E106" s="59"/>
      <c r="F106" s="59"/>
      <c r="G106" s="90"/>
      <c r="H106" s="90"/>
      <c r="I106" s="93"/>
      <c r="J106" s="93"/>
      <c r="K106" s="93"/>
      <c r="L106" s="69"/>
      <c r="M106" s="69"/>
      <c r="N106" s="39">
        <v>0</v>
      </c>
      <c r="O106" s="21"/>
      <c r="P106" s="21"/>
      <c r="Q106" s="141"/>
      <c r="R106" s="21"/>
      <c r="S106" s="141"/>
      <c r="T106" s="29">
        <v>0</v>
      </c>
      <c r="U106" s="145">
        <v>0</v>
      </c>
      <c r="V106" s="145">
        <v>0</v>
      </c>
      <c r="W106" s="145">
        <v>0</v>
      </c>
      <c r="X106" s="145">
        <v>0</v>
      </c>
      <c r="Y106" s="145">
        <v>0</v>
      </c>
      <c r="Z106" s="145">
        <v>0</v>
      </c>
      <c r="AA106" s="142">
        <f t="shared" si="5"/>
        <v>0</v>
      </c>
      <c r="AB106" s="141"/>
      <c r="AC106" s="67"/>
      <c r="AD106" s="67"/>
      <c r="AE106" s="24"/>
      <c r="AF106" s="24"/>
      <c r="AG106" s="24"/>
      <c r="AH106" s="71"/>
      <c r="AI106" s="69"/>
      <c r="AJ106" s="141"/>
      <c r="AK106" s="141"/>
      <c r="AL106" s="141"/>
      <c r="AM106" s="141"/>
      <c r="AN106" s="141"/>
      <c r="AO106" s="141"/>
      <c r="AP106" s="141"/>
      <c r="AQ106" s="141"/>
      <c r="AR106" s="141"/>
      <c r="AS106" s="141"/>
    </row>
    <row r="107" spans="1:45" ht="45" customHeight="1">
      <c r="A107" s="153">
        <v>104</v>
      </c>
      <c r="B107" s="153"/>
      <c r="C107" s="140"/>
      <c r="D107" s="28"/>
      <c r="E107" s="59"/>
      <c r="F107" s="59"/>
      <c r="G107" s="90"/>
      <c r="H107" s="90"/>
      <c r="I107" s="93"/>
      <c r="J107" s="93"/>
      <c r="K107" s="93"/>
      <c r="L107" s="69"/>
      <c r="M107" s="69"/>
      <c r="N107" s="39">
        <v>0</v>
      </c>
      <c r="O107" s="21"/>
      <c r="P107" s="21"/>
      <c r="Q107" s="141"/>
      <c r="R107" s="21"/>
      <c r="S107" s="141"/>
      <c r="T107" s="29">
        <v>0</v>
      </c>
      <c r="U107" s="145">
        <v>0</v>
      </c>
      <c r="V107" s="145">
        <v>0</v>
      </c>
      <c r="W107" s="145">
        <v>0</v>
      </c>
      <c r="X107" s="145">
        <v>0</v>
      </c>
      <c r="Y107" s="145">
        <v>0</v>
      </c>
      <c r="Z107" s="145">
        <v>0</v>
      </c>
      <c r="AA107" s="142">
        <f t="shared" si="5"/>
        <v>0</v>
      </c>
      <c r="AB107" s="141"/>
      <c r="AC107" s="67"/>
      <c r="AD107" s="67"/>
      <c r="AE107" s="24"/>
      <c r="AF107" s="24"/>
      <c r="AG107" s="24"/>
      <c r="AH107" s="71"/>
      <c r="AI107" s="69"/>
      <c r="AJ107" s="141"/>
      <c r="AK107" s="141"/>
      <c r="AL107" s="141"/>
      <c r="AM107" s="141"/>
      <c r="AN107" s="141"/>
      <c r="AO107" s="141"/>
      <c r="AP107" s="141"/>
      <c r="AQ107" s="141"/>
      <c r="AR107" s="141"/>
      <c r="AS107" s="141"/>
    </row>
    <row r="108" spans="1:45" ht="45" customHeight="1">
      <c r="A108" s="153">
        <v>105</v>
      </c>
      <c r="B108" s="153"/>
      <c r="C108" s="140"/>
      <c r="D108" s="28"/>
      <c r="E108" s="59"/>
      <c r="F108" s="59"/>
      <c r="G108" s="90"/>
      <c r="H108" s="90"/>
      <c r="I108" s="93"/>
      <c r="J108" s="93"/>
      <c r="K108" s="93"/>
      <c r="L108" s="69"/>
      <c r="M108" s="69"/>
      <c r="N108" s="39">
        <v>3</v>
      </c>
      <c r="O108" s="21"/>
      <c r="P108" s="21"/>
      <c r="Q108" s="141"/>
      <c r="R108" s="21"/>
      <c r="S108" s="141"/>
      <c r="T108" s="29">
        <v>0</v>
      </c>
      <c r="U108" s="145">
        <v>0</v>
      </c>
      <c r="V108" s="145">
        <v>0</v>
      </c>
      <c r="W108" s="145">
        <v>0</v>
      </c>
      <c r="X108" s="145">
        <v>0</v>
      </c>
      <c r="Y108" s="145">
        <v>0</v>
      </c>
      <c r="Z108" s="145">
        <v>0</v>
      </c>
      <c r="AA108" s="142">
        <f t="shared" si="5"/>
        <v>0</v>
      </c>
      <c r="AB108" s="141"/>
      <c r="AC108" s="67"/>
      <c r="AD108" s="67"/>
      <c r="AE108" s="24"/>
      <c r="AF108" s="24"/>
      <c r="AG108" s="24"/>
      <c r="AH108" s="71"/>
      <c r="AI108" s="69"/>
      <c r="AJ108" s="141"/>
      <c r="AK108" s="141"/>
      <c r="AL108" s="141"/>
      <c r="AM108" s="141"/>
      <c r="AN108" s="141"/>
      <c r="AO108" s="141"/>
      <c r="AP108" s="141"/>
      <c r="AQ108" s="141"/>
      <c r="AR108" s="141"/>
      <c r="AS108" s="141"/>
    </row>
    <row r="109" spans="1:45" ht="45" customHeight="1">
      <c r="A109" s="153">
        <v>106</v>
      </c>
      <c r="B109" s="153"/>
      <c r="C109" s="140"/>
      <c r="D109" s="28"/>
      <c r="E109" s="59"/>
      <c r="F109" s="59"/>
      <c r="G109" s="90"/>
      <c r="H109" s="90"/>
      <c r="I109" s="93"/>
      <c r="J109" s="93"/>
      <c r="K109" s="93"/>
      <c r="L109" s="69"/>
      <c r="M109" s="69"/>
      <c r="N109" s="39">
        <v>0</v>
      </c>
      <c r="O109" s="21"/>
      <c r="P109" s="21"/>
      <c r="Q109" s="141"/>
      <c r="R109" s="21"/>
      <c r="S109" s="141"/>
      <c r="T109" s="29">
        <v>0</v>
      </c>
      <c r="U109" s="145">
        <v>0</v>
      </c>
      <c r="V109" s="145">
        <v>0</v>
      </c>
      <c r="W109" s="145">
        <v>0</v>
      </c>
      <c r="X109" s="145">
        <v>0</v>
      </c>
      <c r="Y109" s="145">
        <v>0</v>
      </c>
      <c r="Z109" s="145">
        <v>0</v>
      </c>
      <c r="AA109" s="142">
        <f t="shared" si="5"/>
        <v>0</v>
      </c>
      <c r="AB109" s="141"/>
      <c r="AC109" s="67"/>
      <c r="AD109" s="67"/>
      <c r="AE109" s="24"/>
      <c r="AF109" s="24"/>
      <c r="AG109" s="24"/>
      <c r="AH109" s="71"/>
      <c r="AI109" s="69"/>
      <c r="AJ109" s="141"/>
      <c r="AK109" s="141"/>
      <c r="AL109" s="141"/>
      <c r="AM109" s="141"/>
      <c r="AN109" s="141"/>
      <c r="AO109" s="141"/>
      <c r="AP109" s="141"/>
      <c r="AQ109" s="141"/>
      <c r="AR109" s="141"/>
      <c r="AS109" s="141"/>
    </row>
    <row r="110" spans="1:45" ht="45" customHeight="1">
      <c r="A110" s="153">
        <v>107</v>
      </c>
      <c r="B110" s="153"/>
      <c r="C110" s="140"/>
      <c r="D110" s="28"/>
      <c r="E110" s="59"/>
      <c r="F110" s="59"/>
      <c r="G110" s="90"/>
      <c r="H110" s="90"/>
      <c r="I110" s="93"/>
      <c r="J110" s="93"/>
      <c r="K110" s="93"/>
      <c r="L110" s="69"/>
      <c r="M110" s="69"/>
      <c r="N110" s="39">
        <v>0</v>
      </c>
      <c r="O110" s="21"/>
      <c r="P110" s="21"/>
      <c r="Q110" s="141"/>
      <c r="R110" s="21"/>
      <c r="S110" s="141"/>
      <c r="T110" s="29">
        <v>0</v>
      </c>
      <c r="U110" s="145">
        <v>0</v>
      </c>
      <c r="V110" s="145">
        <v>0</v>
      </c>
      <c r="W110" s="145">
        <v>0</v>
      </c>
      <c r="X110" s="145">
        <v>0</v>
      </c>
      <c r="Y110" s="145">
        <v>0</v>
      </c>
      <c r="Z110" s="145">
        <v>0</v>
      </c>
      <c r="AA110" s="142">
        <f t="shared" si="5"/>
        <v>0</v>
      </c>
      <c r="AB110" s="141"/>
      <c r="AC110" s="67"/>
      <c r="AD110" s="67"/>
      <c r="AE110" s="24"/>
      <c r="AF110" s="24"/>
      <c r="AG110" s="24"/>
      <c r="AH110" s="71"/>
      <c r="AI110" s="69"/>
      <c r="AJ110" s="141"/>
      <c r="AK110" s="141"/>
      <c r="AL110" s="141"/>
      <c r="AM110" s="141"/>
      <c r="AN110" s="141"/>
      <c r="AO110" s="141"/>
      <c r="AP110" s="141"/>
      <c r="AQ110" s="141"/>
      <c r="AR110" s="141"/>
      <c r="AS110" s="141"/>
    </row>
    <row r="111" spans="1:45" ht="45" customHeight="1">
      <c r="A111" s="153">
        <v>108</v>
      </c>
      <c r="B111" s="153"/>
      <c r="C111" s="140"/>
      <c r="D111" s="28"/>
      <c r="E111" s="59"/>
      <c r="F111" s="59"/>
      <c r="G111" s="90"/>
      <c r="H111" s="90"/>
      <c r="I111" s="93"/>
      <c r="J111" s="93"/>
      <c r="K111" s="93"/>
      <c r="L111" s="69"/>
      <c r="M111" s="69"/>
      <c r="N111" s="39">
        <v>0</v>
      </c>
      <c r="O111" s="21"/>
      <c r="P111" s="21"/>
      <c r="Q111" s="141"/>
      <c r="R111" s="21"/>
      <c r="S111" s="141"/>
      <c r="T111" s="29">
        <v>0</v>
      </c>
      <c r="U111" s="145">
        <v>0</v>
      </c>
      <c r="V111" s="145">
        <v>0</v>
      </c>
      <c r="W111" s="145">
        <v>0</v>
      </c>
      <c r="X111" s="145">
        <v>0</v>
      </c>
      <c r="Y111" s="145">
        <v>0</v>
      </c>
      <c r="Z111" s="145">
        <v>0</v>
      </c>
      <c r="AA111" s="142">
        <f t="shared" si="5"/>
        <v>0</v>
      </c>
      <c r="AB111" s="141"/>
      <c r="AC111" s="67"/>
      <c r="AD111" s="67"/>
      <c r="AE111" s="24"/>
      <c r="AF111" s="24"/>
      <c r="AG111" s="24"/>
      <c r="AH111" s="71"/>
      <c r="AI111" s="69"/>
      <c r="AJ111" s="141"/>
      <c r="AK111" s="141"/>
      <c r="AL111" s="141"/>
      <c r="AM111" s="141"/>
      <c r="AN111" s="141"/>
      <c r="AO111" s="141"/>
      <c r="AP111" s="141"/>
      <c r="AQ111" s="141"/>
      <c r="AR111" s="141"/>
      <c r="AS111" s="141"/>
    </row>
    <row r="112" spans="1:45" ht="45" customHeight="1">
      <c r="A112" s="153">
        <v>109</v>
      </c>
      <c r="B112" s="153"/>
      <c r="C112" s="140"/>
      <c r="D112" s="28"/>
      <c r="E112" s="59"/>
      <c r="F112" s="59"/>
      <c r="G112" s="90"/>
      <c r="H112" s="90"/>
      <c r="I112" s="93"/>
      <c r="J112" s="93"/>
      <c r="K112" s="93"/>
      <c r="L112" s="69"/>
      <c r="M112" s="69"/>
      <c r="N112" s="39">
        <v>0</v>
      </c>
      <c r="O112" s="21"/>
      <c r="P112" s="21"/>
      <c r="Q112" s="141"/>
      <c r="R112" s="21"/>
      <c r="S112" s="141"/>
      <c r="T112" s="29">
        <v>0</v>
      </c>
      <c r="U112" s="145">
        <v>0</v>
      </c>
      <c r="V112" s="145">
        <v>0</v>
      </c>
      <c r="W112" s="145">
        <v>0</v>
      </c>
      <c r="X112" s="145">
        <v>0</v>
      </c>
      <c r="Y112" s="145">
        <v>0</v>
      </c>
      <c r="Z112" s="145">
        <v>0</v>
      </c>
      <c r="AA112" s="142">
        <f t="shared" si="5"/>
        <v>0</v>
      </c>
      <c r="AB112" s="141"/>
      <c r="AC112" s="67"/>
      <c r="AD112" s="67"/>
      <c r="AE112" s="24"/>
      <c r="AF112" s="24"/>
      <c r="AG112" s="24"/>
      <c r="AH112" s="71"/>
      <c r="AI112" s="69"/>
      <c r="AJ112" s="141"/>
      <c r="AK112" s="141"/>
      <c r="AL112" s="141"/>
      <c r="AM112" s="141"/>
      <c r="AN112" s="141"/>
      <c r="AO112" s="141"/>
      <c r="AP112" s="141"/>
      <c r="AQ112" s="141"/>
      <c r="AR112" s="141"/>
      <c r="AS112" s="141"/>
    </row>
    <row r="113" spans="1:45" ht="45" customHeight="1">
      <c r="A113" s="153">
        <v>110</v>
      </c>
      <c r="B113" s="153"/>
      <c r="C113" s="140"/>
      <c r="D113" s="28"/>
      <c r="E113" s="59"/>
      <c r="F113" s="59"/>
      <c r="G113" s="90"/>
      <c r="H113" s="90"/>
      <c r="I113" s="93"/>
      <c r="J113" s="93"/>
      <c r="K113" s="93"/>
      <c r="L113" s="69"/>
      <c r="M113" s="69"/>
      <c r="N113" s="39">
        <v>0</v>
      </c>
      <c r="O113" s="21"/>
      <c r="P113" s="21"/>
      <c r="Q113" s="141"/>
      <c r="R113" s="21"/>
      <c r="S113" s="141"/>
      <c r="T113" s="29">
        <v>0</v>
      </c>
      <c r="U113" s="145">
        <v>0</v>
      </c>
      <c r="V113" s="145">
        <v>0</v>
      </c>
      <c r="W113" s="145">
        <v>0</v>
      </c>
      <c r="X113" s="145">
        <v>0</v>
      </c>
      <c r="Y113" s="145">
        <v>0</v>
      </c>
      <c r="Z113" s="145">
        <v>0</v>
      </c>
      <c r="AA113" s="142">
        <f t="shared" si="5"/>
        <v>0</v>
      </c>
      <c r="AB113" s="141"/>
      <c r="AC113" s="67"/>
      <c r="AD113" s="67"/>
      <c r="AE113" s="24"/>
      <c r="AF113" s="24"/>
      <c r="AG113" s="24"/>
      <c r="AH113" s="71"/>
      <c r="AI113" s="69"/>
      <c r="AJ113" s="141"/>
      <c r="AK113" s="141"/>
      <c r="AL113" s="141"/>
      <c r="AM113" s="141"/>
      <c r="AN113" s="141"/>
      <c r="AO113" s="141"/>
      <c r="AP113" s="141"/>
      <c r="AQ113" s="141"/>
      <c r="AR113" s="141"/>
      <c r="AS113" s="141"/>
    </row>
    <row r="114" spans="1:45" ht="45" customHeight="1">
      <c r="A114" s="153">
        <v>111</v>
      </c>
      <c r="B114" s="153"/>
      <c r="C114" s="140"/>
      <c r="D114" s="28"/>
      <c r="E114" s="59"/>
      <c r="F114" s="59"/>
      <c r="G114" s="90"/>
      <c r="H114" s="90"/>
      <c r="I114" s="93"/>
      <c r="J114" s="93"/>
      <c r="K114" s="93"/>
      <c r="L114" s="69"/>
      <c r="M114" s="69"/>
      <c r="N114" s="39">
        <v>0</v>
      </c>
      <c r="O114" s="21"/>
      <c r="P114" s="21"/>
      <c r="Q114" s="141"/>
      <c r="R114" s="21"/>
      <c r="S114" s="141"/>
      <c r="T114" s="29">
        <v>0</v>
      </c>
      <c r="U114" s="145">
        <v>0</v>
      </c>
      <c r="V114" s="145">
        <v>0</v>
      </c>
      <c r="W114" s="145">
        <v>0</v>
      </c>
      <c r="X114" s="145">
        <v>0</v>
      </c>
      <c r="Y114" s="145">
        <v>0</v>
      </c>
      <c r="Z114" s="145">
        <v>0</v>
      </c>
      <c r="AA114" s="142">
        <f t="shared" si="5"/>
        <v>0</v>
      </c>
      <c r="AB114" s="141"/>
      <c r="AC114" s="67"/>
      <c r="AD114" s="67"/>
      <c r="AE114" s="24"/>
      <c r="AF114" s="24"/>
      <c r="AG114" s="24"/>
      <c r="AH114" s="71"/>
      <c r="AI114" s="69"/>
      <c r="AJ114" s="141"/>
      <c r="AK114" s="141"/>
      <c r="AL114" s="141"/>
      <c r="AM114" s="141"/>
      <c r="AN114" s="141"/>
      <c r="AO114" s="141"/>
      <c r="AP114" s="141"/>
      <c r="AQ114" s="141"/>
      <c r="AR114" s="141"/>
      <c r="AS114" s="141"/>
    </row>
    <row r="115" spans="1:45" ht="45" customHeight="1">
      <c r="A115" s="153">
        <v>112</v>
      </c>
      <c r="B115" s="153"/>
      <c r="C115" s="140"/>
      <c r="D115" s="28"/>
      <c r="E115" s="59"/>
      <c r="F115" s="59"/>
      <c r="G115" s="90"/>
      <c r="H115" s="90"/>
      <c r="I115" s="93"/>
      <c r="J115" s="93"/>
      <c r="K115" s="93"/>
      <c r="L115" s="69"/>
      <c r="M115" s="69"/>
      <c r="N115" s="39">
        <v>0</v>
      </c>
      <c r="O115" s="21"/>
      <c r="P115" s="21"/>
      <c r="Q115" s="141"/>
      <c r="R115" s="21"/>
      <c r="S115" s="141"/>
      <c r="T115" s="29">
        <v>0</v>
      </c>
      <c r="U115" s="145">
        <v>0</v>
      </c>
      <c r="V115" s="145">
        <v>0</v>
      </c>
      <c r="W115" s="145">
        <v>0</v>
      </c>
      <c r="X115" s="145">
        <v>0</v>
      </c>
      <c r="Y115" s="145">
        <v>0</v>
      </c>
      <c r="Z115" s="145">
        <v>0</v>
      </c>
      <c r="AA115" s="142">
        <f t="shared" si="5"/>
        <v>0</v>
      </c>
      <c r="AB115" s="141"/>
      <c r="AC115" s="67"/>
      <c r="AD115" s="67"/>
      <c r="AE115" s="24"/>
      <c r="AF115" s="24"/>
      <c r="AG115" s="24"/>
      <c r="AH115" s="71"/>
      <c r="AI115" s="69"/>
      <c r="AJ115" s="141"/>
      <c r="AK115" s="141"/>
      <c r="AL115" s="141"/>
      <c r="AM115" s="141"/>
      <c r="AN115" s="141"/>
      <c r="AO115" s="141"/>
      <c r="AP115" s="141"/>
      <c r="AQ115" s="141"/>
      <c r="AR115" s="141"/>
      <c r="AS115" s="141"/>
    </row>
    <row r="116" spans="1:45" ht="45" customHeight="1">
      <c r="A116" s="153">
        <v>113</v>
      </c>
      <c r="B116" s="153"/>
      <c r="C116" s="140"/>
      <c r="D116" s="28"/>
      <c r="E116" s="59"/>
      <c r="F116" s="59"/>
      <c r="G116" s="90"/>
      <c r="H116" s="90"/>
      <c r="I116" s="93"/>
      <c r="J116" s="93"/>
      <c r="K116" s="93"/>
      <c r="L116" s="69"/>
      <c r="M116" s="69"/>
      <c r="N116" s="39">
        <v>0</v>
      </c>
      <c r="O116" s="21"/>
      <c r="P116" s="21"/>
      <c r="Q116" s="141"/>
      <c r="R116" s="21"/>
      <c r="S116" s="141"/>
      <c r="T116" s="29">
        <v>0</v>
      </c>
      <c r="U116" s="145">
        <v>0</v>
      </c>
      <c r="V116" s="145">
        <v>0</v>
      </c>
      <c r="W116" s="145">
        <v>0</v>
      </c>
      <c r="X116" s="145">
        <v>0</v>
      </c>
      <c r="Y116" s="145">
        <v>0</v>
      </c>
      <c r="Z116" s="145">
        <v>0</v>
      </c>
      <c r="AA116" s="142">
        <f t="shared" si="5"/>
        <v>0</v>
      </c>
      <c r="AB116" s="141"/>
      <c r="AC116" s="67"/>
      <c r="AD116" s="67"/>
      <c r="AE116" s="24"/>
      <c r="AF116" s="24"/>
      <c r="AG116" s="24"/>
      <c r="AH116" s="71"/>
      <c r="AI116" s="69"/>
      <c r="AJ116" s="141"/>
      <c r="AK116" s="141"/>
      <c r="AL116" s="141"/>
      <c r="AM116" s="141"/>
      <c r="AN116" s="141"/>
      <c r="AO116" s="141"/>
      <c r="AP116" s="141"/>
      <c r="AQ116" s="141"/>
      <c r="AR116" s="141"/>
      <c r="AS116" s="141"/>
    </row>
    <row r="117" spans="1:45" ht="45" customHeight="1">
      <c r="A117" s="153">
        <v>114</v>
      </c>
      <c r="B117" s="153"/>
      <c r="C117" s="140"/>
      <c r="D117" s="28"/>
      <c r="E117" s="59"/>
      <c r="F117" s="59"/>
      <c r="G117" s="90"/>
      <c r="H117" s="90"/>
      <c r="I117" s="93"/>
      <c r="J117" s="93"/>
      <c r="K117" s="93"/>
      <c r="L117" s="69"/>
      <c r="M117" s="69"/>
      <c r="N117" s="39">
        <v>0</v>
      </c>
      <c r="O117" s="21"/>
      <c r="P117" s="21"/>
      <c r="Q117" s="141"/>
      <c r="R117" s="21"/>
      <c r="S117" s="141"/>
      <c r="T117" s="29">
        <v>0</v>
      </c>
      <c r="U117" s="145">
        <v>0</v>
      </c>
      <c r="V117" s="145">
        <v>0</v>
      </c>
      <c r="W117" s="145">
        <v>0</v>
      </c>
      <c r="X117" s="145">
        <v>0</v>
      </c>
      <c r="Y117" s="145">
        <v>0</v>
      </c>
      <c r="Z117" s="145">
        <v>0</v>
      </c>
      <c r="AA117" s="142">
        <f t="shared" si="5"/>
        <v>0</v>
      </c>
      <c r="AB117" s="141"/>
      <c r="AC117" s="67"/>
      <c r="AD117" s="67"/>
      <c r="AE117" s="24"/>
      <c r="AF117" s="24"/>
      <c r="AG117" s="24"/>
      <c r="AH117" s="71"/>
      <c r="AI117" s="69"/>
      <c r="AJ117" s="141"/>
      <c r="AK117" s="141"/>
      <c r="AL117" s="141"/>
      <c r="AM117" s="141"/>
      <c r="AN117" s="141"/>
      <c r="AO117" s="141"/>
      <c r="AP117" s="141"/>
      <c r="AQ117" s="141"/>
      <c r="AR117" s="141"/>
      <c r="AS117" s="141"/>
    </row>
    <row r="118" spans="1:45" ht="45" customHeight="1">
      <c r="A118" s="153">
        <v>115</v>
      </c>
      <c r="B118" s="153"/>
      <c r="C118" s="140"/>
      <c r="D118" s="28"/>
      <c r="E118" s="59"/>
      <c r="F118" s="59"/>
      <c r="G118" s="90"/>
      <c r="H118" s="90"/>
      <c r="I118" s="93"/>
      <c r="J118" s="93"/>
      <c r="K118" s="93"/>
      <c r="L118" s="69"/>
      <c r="M118" s="69"/>
      <c r="N118" s="39">
        <v>0</v>
      </c>
      <c r="O118" s="21"/>
      <c r="P118" s="21"/>
      <c r="Q118" s="141"/>
      <c r="R118" s="21"/>
      <c r="S118" s="141"/>
      <c r="T118" s="29">
        <v>0</v>
      </c>
      <c r="U118" s="145">
        <v>0</v>
      </c>
      <c r="V118" s="145">
        <v>0</v>
      </c>
      <c r="W118" s="145">
        <v>0</v>
      </c>
      <c r="X118" s="145">
        <v>0</v>
      </c>
      <c r="Y118" s="145">
        <v>0</v>
      </c>
      <c r="Z118" s="145">
        <v>0</v>
      </c>
      <c r="AA118" s="142">
        <f t="shared" si="5"/>
        <v>0</v>
      </c>
      <c r="AB118" s="141"/>
      <c r="AC118" s="67"/>
      <c r="AD118" s="67"/>
      <c r="AE118" s="24"/>
      <c r="AF118" s="24"/>
      <c r="AG118" s="24"/>
      <c r="AH118" s="71"/>
      <c r="AI118" s="69"/>
      <c r="AJ118" s="141"/>
      <c r="AK118" s="141"/>
      <c r="AL118" s="141"/>
      <c r="AM118" s="141"/>
      <c r="AN118" s="141"/>
      <c r="AO118" s="141"/>
      <c r="AP118" s="141"/>
      <c r="AQ118" s="141"/>
      <c r="AR118" s="141"/>
      <c r="AS118" s="141"/>
    </row>
    <row r="119" spans="1:45" ht="45" customHeight="1">
      <c r="A119" s="153">
        <v>116</v>
      </c>
      <c r="B119" s="153"/>
      <c r="C119" s="140"/>
      <c r="D119" s="28"/>
      <c r="E119" s="59"/>
      <c r="F119" s="59"/>
      <c r="G119" s="90"/>
      <c r="H119" s="90"/>
      <c r="I119" s="93"/>
      <c r="J119" s="93"/>
      <c r="K119" s="93"/>
      <c r="L119" s="69"/>
      <c r="M119" s="69"/>
      <c r="N119" s="39">
        <v>0</v>
      </c>
      <c r="O119" s="21"/>
      <c r="P119" s="21"/>
      <c r="Q119" s="141"/>
      <c r="R119" s="21"/>
      <c r="S119" s="141"/>
      <c r="T119" s="29">
        <v>0</v>
      </c>
      <c r="U119" s="145">
        <v>0</v>
      </c>
      <c r="V119" s="145">
        <v>0</v>
      </c>
      <c r="W119" s="145">
        <v>0</v>
      </c>
      <c r="X119" s="145">
        <v>0</v>
      </c>
      <c r="Y119" s="145">
        <v>0</v>
      </c>
      <c r="Z119" s="145">
        <v>0</v>
      </c>
      <c r="AA119" s="142">
        <f t="shared" si="5"/>
        <v>0</v>
      </c>
      <c r="AB119" s="141"/>
      <c r="AC119" s="67"/>
      <c r="AD119" s="67"/>
      <c r="AE119" s="24"/>
      <c r="AF119" s="24"/>
      <c r="AG119" s="24"/>
      <c r="AH119" s="71"/>
      <c r="AI119" s="69"/>
      <c r="AJ119" s="141"/>
      <c r="AK119" s="141"/>
      <c r="AL119" s="141"/>
      <c r="AM119" s="141"/>
      <c r="AN119" s="141"/>
      <c r="AO119" s="141"/>
      <c r="AP119" s="141"/>
      <c r="AQ119" s="141"/>
      <c r="AR119" s="141"/>
      <c r="AS119" s="141"/>
    </row>
    <row r="120" spans="1:45" ht="45" customHeight="1">
      <c r="A120" s="153">
        <v>117</v>
      </c>
      <c r="B120" s="153"/>
      <c r="C120" s="140"/>
      <c r="D120" s="28"/>
      <c r="E120" s="59"/>
      <c r="F120" s="59"/>
      <c r="G120" s="90"/>
      <c r="H120" s="90"/>
      <c r="I120" s="93"/>
      <c r="J120" s="93"/>
      <c r="K120" s="93"/>
      <c r="L120" s="69"/>
      <c r="M120" s="69"/>
      <c r="N120" s="39">
        <v>0</v>
      </c>
      <c r="O120" s="21"/>
      <c r="P120" s="21"/>
      <c r="Q120" s="141"/>
      <c r="R120" s="21"/>
      <c r="S120" s="141"/>
      <c r="T120" s="29">
        <v>0</v>
      </c>
      <c r="U120" s="145">
        <v>0</v>
      </c>
      <c r="V120" s="145">
        <v>0</v>
      </c>
      <c r="W120" s="145">
        <v>0</v>
      </c>
      <c r="X120" s="145">
        <v>0</v>
      </c>
      <c r="Y120" s="145">
        <v>0</v>
      </c>
      <c r="Z120" s="145">
        <v>0</v>
      </c>
      <c r="AA120" s="142">
        <f t="shared" si="5"/>
        <v>0</v>
      </c>
      <c r="AB120" s="141"/>
      <c r="AC120" s="67"/>
      <c r="AD120" s="67"/>
      <c r="AE120" s="24"/>
      <c r="AF120" s="24"/>
      <c r="AG120" s="24"/>
      <c r="AH120" s="71"/>
      <c r="AI120" s="69"/>
      <c r="AJ120" s="141"/>
      <c r="AK120" s="141"/>
      <c r="AL120" s="141"/>
      <c r="AM120" s="141"/>
      <c r="AN120" s="141"/>
      <c r="AO120" s="141"/>
      <c r="AP120" s="141"/>
      <c r="AQ120" s="141"/>
      <c r="AR120" s="141"/>
      <c r="AS120" s="141"/>
    </row>
    <row r="121" spans="1:45" ht="45" customHeight="1">
      <c r="A121" s="153">
        <v>118</v>
      </c>
      <c r="B121" s="153"/>
      <c r="C121" s="140"/>
      <c r="D121" s="28"/>
      <c r="E121" s="59"/>
      <c r="F121" s="59"/>
      <c r="G121" s="90"/>
      <c r="H121" s="90"/>
      <c r="I121" s="93"/>
      <c r="J121" s="93"/>
      <c r="K121" s="93"/>
      <c r="L121" s="69"/>
      <c r="M121" s="69"/>
      <c r="N121" s="39">
        <v>0</v>
      </c>
      <c r="O121" s="21"/>
      <c r="P121" s="21"/>
      <c r="Q121" s="141"/>
      <c r="R121" s="21"/>
      <c r="S121" s="141"/>
      <c r="T121" s="29">
        <v>0</v>
      </c>
      <c r="U121" s="145">
        <v>0</v>
      </c>
      <c r="V121" s="145">
        <v>0</v>
      </c>
      <c r="W121" s="145">
        <v>0</v>
      </c>
      <c r="X121" s="145">
        <v>0</v>
      </c>
      <c r="Y121" s="145">
        <v>0</v>
      </c>
      <c r="Z121" s="145">
        <v>0</v>
      </c>
      <c r="AA121" s="142">
        <f t="shared" si="5"/>
        <v>0</v>
      </c>
      <c r="AB121" s="141"/>
      <c r="AC121" s="67"/>
      <c r="AD121" s="67"/>
      <c r="AE121" s="24"/>
      <c r="AF121" s="24"/>
      <c r="AG121" s="24"/>
      <c r="AH121" s="71"/>
      <c r="AI121" s="69"/>
      <c r="AJ121" s="141"/>
      <c r="AK121" s="141"/>
      <c r="AL121" s="141"/>
      <c r="AM121" s="141"/>
      <c r="AN121" s="141"/>
      <c r="AO121" s="141"/>
      <c r="AP121" s="141"/>
      <c r="AQ121" s="141"/>
      <c r="AR121" s="141"/>
      <c r="AS121" s="141"/>
    </row>
    <row r="122" spans="1:45" ht="45" customHeight="1">
      <c r="A122" s="153">
        <v>119</v>
      </c>
      <c r="B122" s="153"/>
      <c r="C122" s="140"/>
      <c r="D122" s="28"/>
      <c r="E122" s="59"/>
      <c r="F122" s="59"/>
      <c r="G122" s="90"/>
      <c r="H122" s="90"/>
      <c r="I122" s="93"/>
      <c r="J122" s="93"/>
      <c r="K122" s="93"/>
      <c r="L122" s="69"/>
      <c r="M122" s="69"/>
      <c r="N122" s="39">
        <v>0</v>
      </c>
      <c r="O122" s="21"/>
      <c r="P122" s="21"/>
      <c r="Q122" s="141"/>
      <c r="R122" s="21"/>
      <c r="S122" s="141"/>
      <c r="T122" s="29">
        <v>0</v>
      </c>
      <c r="U122" s="145">
        <v>0</v>
      </c>
      <c r="V122" s="145">
        <v>0</v>
      </c>
      <c r="W122" s="145">
        <v>0</v>
      </c>
      <c r="X122" s="145">
        <v>0</v>
      </c>
      <c r="Y122" s="145">
        <v>0</v>
      </c>
      <c r="Z122" s="145">
        <v>0</v>
      </c>
      <c r="AA122" s="142">
        <f t="shared" si="5"/>
        <v>0</v>
      </c>
      <c r="AB122" s="141"/>
      <c r="AC122" s="67"/>
      <c r="AD122" s="67"/>
      <c r="AE122" s="24"/>
      <c r="AF122" s="24"/>
      <c r="AG122" s="24"/>
      <c r="AH122" s="71"/>
      <c r="AI122" s="69"/>
      <c r="AJ122" s="141"/>
      <c r="AK122" s="141"/>
      <c r="AL122" s="141"/>
      <c r="AM122" s="141"/>
      <c r="AN122" s="141"/>
      <c r="AO122" s="141"/>
      <c r="AP122" s="141"/>
      <c r="AQ122" s="141"/>
      <c r="AR122" s="141"/>
      <c r="AS122" s="141"/>
    </row>
    <row r="123" spans="1:45" ht="45" customHeight="1">
      <c r="A123" s="153">
        <v>120</v>
      </c>
      <c r="B123" s="153"/>
      <c r="C123" s="140"/>
      <c r="D123" s="28"/>
      <c r="E123" s="59"/>
      <c r="F123" s="59"/>
      <c r="G123" s="90"/>
      <c r="H123" s="90"/>
      <c r="I123" s="93"/>
      <c r="J123" s="93"/>
      <c r="K123" s="93"/>
      <c r="L123" s="69"/>
      <c r="M123" s="69"/>
      <c r="N123" s="39">
        <v>0</v>
      </c>
      <c r="O123" s="21"/>
      <c r="P123" s="21"/>
      <c r="Q123" s="141"/>
      <c r="R123" s="21"/>
      <c r="S123" s="141"/>
      <c r="T123" s="29">
        <v>0</v>
      </c>
      <c r="U123" s="145">
        <v>0</v>
      </c>
      <c r="V123" s="145">
        <v>0</v>
      </c>
      <c r="W123" s="145">
        <v>0</v>
      </c>
      <c r="X123" s="145">
        <v>0</v>
      </c>
      <c r="Y123" s="145">
        <v>0</v>
      </c>
      <c r="Z123" s="145">
        <v>0</v>
      </c>
      <c r="AA123" s="142">
        <f t="shared" si="5"/>
        <v>0</v>
      </c>
      <c r="AB123" s="141"/>
      <c r="AC123" s="67"/>
      <c r="AD123" s="67"/>
      <c r="AE123" s="24"/>
      <c r="AF123" s="24"/>
      <c r="AG123" s="24"/>
      <c r="AH123" s="71"/>
      <c r="AI123" s="69"/>
      <c r="AJ123" s="141"/>
      <c r="AK123" s="141"/>
      <c r="AL123" s="141"/>
      <c r="AM123" s="141"/>
      <c r="AN123" s="141"/>
      <c r="AO123" s="141"/>
      <c r="AP123" s="141"/>
      <c r="AQ123" s="141"/>
      <c r="AR123" s="141"/>
      <c r="AS123" s="141"/>
    </row>
    <row r="124" spans="1:45" ht="45" customHeight="1">
      <c r="A124" s="153">
        <v>121</v>
      </c>
      <c r="B124" s="153"/>
      <c r="C124" s="140"/>
      <c r="D124" s="28"/>
      <c r="E124" s="59"/>
      <c r="F124" s="59"/>
      <c r="G124" s="90"/>
      <c r="H124" s="90"/>
      <c r="I124" s="93"/>
      <c r="J124" s="93"/>
      <c r="K124" s="93"/>
      <c r="L124" s="69"/>
      <c r="M124" s="69"/>
      <c r="N124" s="39">
        <v>0</v>
      </c>
      <c r="O124" s="21"/>
      <c r="P124" s="21"/>
      <c r="Q124" s="141"/>
      <c r="R124" s="21"/>
      <c r="S124" s="141"/>
      <c r="T124" s="29">
        <v>0</v>
      </c>
      <c r="U124" s="145">
        <v>0</v>
      </c>
      <c r="V124" s="145">
        <v>0</v>
      </c>
      <c r="W124" s="145">
        <v>0</v>
      </c>
      <c r="X124" s="145">
        <v>0</v>
      </c>
      <c r="Y124" s="145">
        <v>0</v>
      </c>
      <c r="Z124" s="145">
        <v>0</v>
      </c>
      <c r="AA124" s="142">
        <f t="shared" si="5"/>
        <v>0</v>
      </c>
      <c r="AB124" s="141"/>
      <c r="AC124" s="67"/>
      <c r="AD124" s="67"/>
      <c r="AE124" s="24"/>
      <c r="AF124" s="24"/>
      <c r="AG124" s="24"/>
      <c r="AH124" s="71"/>
      <c r="AI124" s="69"/>
      <c r="AJ124" s="141"/>
      <c r="AK124" s="141"/>
      <c r="AL124" s="141"/>
      <c r="AM124" s="141"/>
      <c r="AN124" s="141"/>
      <c r="AO124" s="141"/>
      <c r="AP124" s="141"/>
      <c r="AQ124" s="141"/>
      <c r="AR124" s="141"/>
      <c r="AS124" s="141"/>
    </row>
    <row r="125" spans="1:45" ht="45" customHeight="1">
      <c r="A125" s="153">
        <v>122</v>
      </c>
      <c r="B125" s="153"/>
      <c r="C125" s="140"/>
      <c r="D125" s="28"/>
      <c r="E125" s="59"/>
      <c r="F125" s="59"/>
      <c r="G125" s="90"/>
      <c r="H125" s="90"/>
      <c r="I125" s="93"/>
      <c r="J125" s="93"/>
      <c r="K125" s="93"/>
      <c r="L125" s="69"/>
      <c r="M125" s="69"/>
      <c r="N125" s="39">
        <v>0</v>
      </c>
      <c r="O125" s="21"/>
      <c r="P125" s="21"/>
      <c r="Q125" s="141"/>
      <c r="R125" s="21"/>
      <c r="S125" s="141"/>
      <c r="T125" s="29">
        <v>0</v>
      </c>
      <c r="U125" s="145">
        <v>0</v>
      </c>
      <c r="V125" s="145">
        <v>0</v>
      </c>
      <c r="W125" s="145">
        <v>0</v>
      </c>
      <c r="X125" s="145">
        <v>0</v>
      </c>
      <c r="Y125" s="145">
        <v>0</v>
      </c>
      <c r="Z125" s="145">
        <v>0</v>
      </c>
      <c r="AA125" s="142">
        <f t="shared" si="5"/>
        <v>0</v>
      </c>
      <c r="AB125" s="141"/>
      <c r="AC125" s="67"/>
      <c r="AD125" s="67"/>
      <c r="AE125" s="24"/>
      <c r="AF125" s="24"/>
      <c r="AG125" s="24"/>
      <c r="AH125" s="71"/>
      <c r="AI125" s="69"/>
      <c r="AJ125" s="141"/>
      <c r="AK125" s="141"/>
      <c r="AL125" s="141"/>
      <c r="AM125" s="141"/>
      <c r="AN125" s="141"/>
      <c r="AO125" s="141"/>
      <c r="AP125" s="141"/>
      <c r="AQ125" s="141"/>
      <c r="AR125" s="141"/>
      <c r="AS125" s="141"/>
    </row>
    <row r="126" spans="1:45" ht="45" customHeight="1">
      <c r="A126" s="153">
        <v>123</v>
      </c>
      <c r="B126" s="153"/>
      <c r="C126" s="140"/>
      <c r="D126" s="28"/>
      <c r="E126" s="59"/>
      <c r="F126" s="59"/>
      <c r="G126" s="90"/>
      <c r="H126" s="90"/>
      <c r="I126" s="93"/>
      <c r="J126" s="93"/>
      <c r="K126" s="93"/>
      <c r="L126" s="69"/>
      <c r="M126" s="69"/>
      <c r="N126" s="39">
        <v>0</v>
      </c>
      <c r="O126" s="21"/>
      <c r="P126" s="21"/>
      <c r="Q126" s="141"/>
      <c r="R126" s="21"/>
      <c r="S126" s="141"/>
      <c r="T126" s="29">
        <v>0</v>
      </c>
      <c r="U126" s="145">
        <v>0</v>
      </c>
      <c r="V126" s="145">
        <v>0</v>
      </c>
      <c r="W126" s="145">
        <v>0</v>
      </c>
      <c r="X126" s="145">
        <v>0</v>
      </c>
      <c r="Y126" s="145">
        <v>0</v>
      </c>
      <c r="Z126" s="145">
        <v>0</v>
      </c>
      <c r="AA126" s="142">
        <f t="shared" si="5"/>
        <v>0</v>
      </c>
      <c r="AB126" s="141"/>
      <c r="AC126" s="67"/>
      <c r="AD126" s="67"/>
      <c r="AE126" s="24"/>
      <c r="AF126" s="24"/>
      <c r="AG126" s="24"/>
      <c r="AH126" s="71"/>
      <c r="AI126" s="69"/>
      <c r="AJ126" s="141"/>
      <c r="AK126" s="141"/>
      <c r="AL126" s="141"/>
      <c r="AM126" s="141"/>
      <c r="AN126" s="141"/>
      <c r="AO126" s="141"/>
      <c r="AP126" s="141"/>
      <c r="AQ126" s="141"/>
      <c r="AR126" s="141"/>
      <c r="AS126" s="141"/>
    </row>
    <row r="127" spans="1:45" ht="45" customHeight="1">
      <c r="A127" s="153">
        <v>124</v>
      </c>
      <c r="B127" s="153"/>
      <c r="C127" s="140"/>
      <c r="D127" s="28"/>
      <c r="E127" s="59"/>
      <c r="F127" s="59"/>
      <c r="G127" s="90"/>
      <c r="H127" s="90"/>
      <c r="I127" s="93"/>
      <c r="J127" s="93"/>
      <c r="K127" s="93"/>
      <c r="L127" s="69"/>
      <c r="M127" s="69"/>
      <c r="N127" s="39">
        <v>0</v>
      </c>
      <c r="O127" s="21"/>
      <c r="P127" s="21"/>
      <c r="Q127" s="141"/>
      <c r="R127" s="21"/>
      <c r="S127" s="141"/>
      <c r="T127" s="29">
        <v>0</v>
      </c>
      <c r="U127" s="145">
        <v>0</v>
      </c>
      <c r="V127" s="145">
        <v>0</v>
      </c>
      <c r="W127" s="145">
        <v>0</v>
      </c>
      <c r="X127" s="145">
        <v>0</v>
      </c>
      <c r="Y127" s="145">
        <v>0</v>
      </c>
      <c r="Z127" s="145">
        <v>0</v>
      </c>
      <c r="AA127" s="142">
        <f t="shared" si="5"/>
        <v>0</v>
      </c>
      <c r="AB127" s="141"/>
      <c r="AC127" s="67"/>
      <c r="AD127" s="67"/>
      <c r="AE127" s="24"/>
      <c r="AF127" s="24"/>
      <c r="AG127" s="24"/>
      <c r="AH127" s="71"/>
      <c r="AI127" s="69"/>
      <c r="AJ127" s="141"/>
      <c r="AK127" s="141"/>
      <c r="AL127" s="141"/>
      <c r="AM127" s="141"/>
      <c r="AN127" s="141"/>
      <c r="AO127" s="141"/>
      <c r="AP127" s="141"/>
      <c r="AQ127" s="141"/>
      <c r="AR127" s="141"/>
      <c r="AS127" s="141"/>
    </row>
    <row r="128" spans="1:45" ht="45" customHeight="1">
      <c r="A128" s="153">
        <v>125</v>
      </c>
      <c r="B128" s="153"/>
      <c r="C128" s="140"/>
      <c r="D128" s="28"/>
      <c r="E128" s="59"/>
      <c r="F128" s="59"/>
      <c r="G128" s="90"/>
      <c r="H128" s="90"/>
      <c r="I128" s="93"/>
      <c r="J128" s="93"/>
      <c r="K128" s="93"/>
      <c r="L128" s="69"/>
      <c r="M128" s="69"/>
      <c r="N128" s="39">
        <v>0</v>
      </c>
      <c r="O128" s="21"/>
      <c r="P128" s="21"/>
      <c r="Q128" s="141"/>
      <c r="R128" s="21"/>
      <c r="S128" s="141"/>
      <c r="T128" s="29">
        <v>0</v>
      </c>
      <c r="U128" s="145">
        <v>0</v>
      </c>
      <c r="V128" s="145">
        <v>0</v>
      </c>
      <c r="W128" s="145">
        <v>0</v>
      </c>
      <c r="X128" s="145">
        <v>0</v>
      </c>
      <c r="Y128" s="145">
        <v>0</v>
      </c>
      <c r="Z128" s="145">
        <v>0</v>
      </c>
      <c r="AA128" s="142">
        <f t="shared" si="5"/>
        <v>0</v>
      </c>
      <c r="AB128" s="141"/>
      <c r="AC128" s="67"/>
      <c r="AD128" s="67"/>
      <c r="AE128" s="24"/>
      <c r="AF128" s="24"/>
      <c r="AG128" s="24"/>
      <c r="AH128" s="71"/>
      <c r="AI128" s="69"/>
      <c r="AJ128" s="141"/>
      <c r="AK128" s="141"/>
      <c r="AL128" s="141"/>
      <c r="AM128" s="141"/>
      <c r="AN128" s="141"/>
      <c r="AO128" s="141"/>
      <c r="AP128" s="141"/>
      <c r="AQ128" s="141"/>
      <c r="AR128" s="141"/>
      <c r="AS128" s="141"/>
    </row>
    <row r="129" spans="1:45" ht="45" customHeight="1">
      <c r="A129" s="153">
        <v>126</v>
      </c>
      <c r="B129" s="153"/>
      <c r="C129" s="140"/>
      <c r="D129" s="28"/>
      <c r="E129" s="59"/>
      <c r="F129" s="59"/>
      <c r="G129" s="90"/>
      <c r="H129" s="90"/>
      <c r="I129" s="93"/>
      <c r="J129" s="93"/>
      <c r="K129" s="93"/>
      <c r="L129" s="69"/>
      <c r="M129" s="69"/>
      <c r="N129" s="39">
        <v>0</v>
      </c>
      <c r="O129" s="21"/>
      <c r="P129" s="21"/>
      <c r="Q129" s="141"/>
      <c r="R129" s="21"/>
      <c r="S129" s="141"/>
      <c r="T129" s="29">
        <v>0</v>
      </c>
      <c r="U129" s="145">
        <v>0</v>
      </c>
      <c r="V129" s="145">
        <v>0</v>
      </c>
      <c r="W129" s="145">
        <v>0</v>
      </c>
      <c r="X129" s="145">
        <v>0</v>
      </c>
      <c r="Y129" s="145">
        <v>0</v>
      </c>
      <c r="Z129" s="145">
        <v>0</v>
      </c>
      <c r="AA129" s="142">
        <f t="shared" si="5"/>
        <v>0</v>
      </c>
      <c r="AB129" s="141"/>
      <c r="AC129" s="67"/>
      <c r="AD129" s="67"/>
      <c r="AE129" s="24"/>
      <c r="AF129" s="24"/>
      <c r="AG129" s="24"/>
      <c r="AH129" s="71"/>
      <c r="AI129" s="69"/>
      <c r="AJ129" s="141"/>
      <c r="AK129" s="141"/>
      <c r="AL129" s="141"/>
      <c r="AM129" s="141"/>
      <c r="AN129" s="141"/>
      <c r="AO129" s="141"/>
      <c r="AP129" s="141"/>
      <c r="AQ129" s="141"/>
      <c r="AR129" s="141"/>
      <c r="AS129" s="141"/>
    </row>
    <row r="130" spans="1:45" ht="45" customHeight="1">
      <c r="A130" s="153">
        <v>127</v>
      </c>
      <c r="B130" s="153"/>
      <c r="C130" s="140"/>
      <c r="D130" s="28"/>
      <c r="E130" s="59"/>
      <c r="F130" s="59"/>
      <c r="G130" s="90"/>
      <c r="H130" s="90"/>
      <c r="I130" s="93"/>
      <c r="J130" s="93"/>
      <c r="K130" s="93"/>
      <c r="L130" s="69"/>
      <c r="M130" s="69"/>
      <c r="N130" s="39">
        <v>0</v>
      </c>
      <c r="O130" s="21"/>
      <c r="P130" s="21"/>
      <c r="Q130" s="141"/>
      <c r="R130" s="21"/>
      <c r="S130" s="141"/>
      <c r="T130" s="29">
        <v>0</v>
      </c>
      <c r="U130" s="145">
        <v>0</v>
      </c>
      <c r="V130" s="145">
        <v>0</v>
      </c>
      <c r="W130" s="145">
        <v>0</v>
      </c>
      <c r="X130" s="145">
        <v>0</v>
      </c>
      <c r="Y130" s="145">
        <v>0</v>
      </c>
      <c r="Z130" s="145">
        <v>0</v>
      </c>
      <c r="AA130" s="142">
        <f t="shared" si="5"/>
        <v>0</v>
      </c>
      <c r="AB130" s="141"/>
      <c r="AC130" s="67"/>
      <c r="AD130" s="67"/>
      <c r="AE130" s="24"/>
      <c r="AF130" s="24"/>
      <c r="AG130" s="24"/>
      <c r="AH130" s="71"/>
      <c r="AI130" s="69"/>
      <c r="AJ130" s="141"/>
      <c r="AK130" s="141"/>
      <c r="AL130" s="141"/>
      <c r="AM130" s="141"/>
      <c r="AN130" s="141"/>
      <c r="AO130" s="141"/>
      <c r="AP130" s="141"/>
      <c r="AQ130" s="141"/>
      <c r="AR130" s="141"/>
      <c r="AS130" s="141"/>
    </row>
    <row r="131" spans="1:45" ht="45" customHeight="1">
      <c r="A131" s="153">
        <v>128</v>
      </c>
      <c r="B131" s="153"/>
      <c r="C131" s="140"/>
      <c r="D131" s="28"/>
      <c r="E131" s="59"/>
      <c r="F131" s="59"/>
      <c r="G131" s="90"/>
      <c r="H131" s="90"/>
      <c r="I131" s="93"/>
      <c r="J131" s="93"/>
      <c r="K131" s="93"/>
      <c r="L131" s="69"/>
      <c r="M131" s="69"/>
      <c r="N131" s="39">
        <v>0</v>
      </c>
      <c r="O131" s="21"/>
      <c r="P131" s="21"/>
      <c r="Q131" s="141"/>
      <c r="R131" s="21"/>
      <c r="S131" s="141"/>
      <c r="T131" s="29">
        <v>0</v>
      </c>
      <c r="U131" s="145">
        <v>0</v>
      </c>
      <c r="V131" s="145">
        <v>0</v>
      </c>
      <c r="W131" s="145">
        <v>0</v>
      </c>
      <c r="X131" s="145">
        <v>0</v>
      </c>
      <c r="Y131" s="145">
        <v>0</v>
      </c>
      <c r="Z131" s="145">
        <v>0</v>
      </c>
      <c r="AA131" s="142">
        <f t="shared" si="5"/>
        <v>0</v>
      </c>
      <c r="AB131" s="141"/>
      <c r="AC131" s="67"/>
      <c r="AD131" s="67"/>
      <c r="AE131" s="24"/>
      <c r="AF131" s="24"/>
      <c r="AG131" s="24"/>
      <c r="AH131" s="71"/>
      <c r="AI131" s="69"/>
      <c r="AJ131" s="141"/>
      <c r="AK131" s="141"/>
      <c r="AL131" s="141"/>
      <c r="AM131" s="141"/>
      <c r="AN131" s="141"/>
      <c r="AO131" s="141"/>
      <c r="AP131" s="141"/>
      <c r="AQ131" s="141"/>
      <c r="AR131" s="141"/>
      <c r="AS131" s="141"/>
    </row>
    <row r="132" spans="1:45" ht="45" customHeight="1">
      <c r="A132" s="153">
        <v>129</v>
      </c>
      <c r="B132" s="153"/>
      <c r="C132" s="152"/>
      <c r="D132" s="28"/>
      <c r="E132" s="59"/>
      <c r="F132" s="59"/>
      <c r="G132" s="90"/>
      <c r="H132" s="90"/>
      <c r="I132" s="93"/>
      <c r="J132" s="93"/>
      <c r="K132" s="93"/>
      <c r="L132" s="69"/>
      <c r="M132" s="69"/>
      <c r="N132" s="39">
        <v>0</v>
      </c>
      <c r="O132" s="21"/>
      <c r="P132" s="21"/>
      <c r="Q132" s="141"/>
      <c r="R132" s="21"/>
      <c r="S132" s="141"/>
      <c r="T132" s="29">
        <v>0</v>
      </c>
      <c r="U132" s="145">
        <v>0</v>
      </c>
      <c r="V132" s="145">
        <v>0</v>
      </c>
      <c r="W132" s="145">
        <v>0</v>
      </c>
      <c r="X132" s="145">
        <v>0</v>
      </c>
      <c r="Y132" s="145">
        <v>0</v>
      </c>
      <c r="Z132" s="145">
        <v>0</v>
      </c>
      <c r="AA132" s="142">
        <f t="shared" ref="AA132:AA163" si="6">AVERAGE(T132:Z132)</f>
        <v>0</v>
      </c>
      <c r="AB132" s="141"/>
      <c r="AC132" s="67"/>
      <c r="AD132" s="67"/>
      <c r="AE132" s="24"/>
      <c r="AF132" s="24"/>
      <c r="AG132" s="24"/>
      <c r="AH132" s="71"/>
      <c r="AI132" s="69"/>
      <c r="AJ132" s="141"/>
      <c r="AK132" s="141"/>
      <c r="AL132" s="141"/>
      <c r="AM132" s="141"/>
      <c r="AN132" s="141"/>
      <c r="AO132" s="141"/>
      <c r="AP132" s="141"/>
      <c r="AQ132" s="141"/>
      <c r="AR132" s="141"/>
      <c r="AS132" s="141"/>
    </row>
    <row r="133" spans="1:45" ht="45" customHeight="1">
      <c r="A133" s="153">
        <v>130</v>
      </c>
      <c r="B133" s="153"/>
      <c r="C133" s="153"/>
      <c r="D133" s="28"/>
      <c r="E133" s="59"/>
      <c r="F133" s="59"/>
      <c r="G133" s="90"/>
      <c r="H133" s="90"/>
      <c r="I133" s="93"/>
      <c r="J133" s="93"/>
      <c r="K133" s="93"/>
      <c r="L133" s="69"/>
      <c r="M133" s="69"/>
      <c r="N133" s="39">
        <v>0</v>
      </c>
      <c r="O133" s="21"/>
      <c r="P133" s="21"/>
      <c r="Q133" s="141"/>
      <c r="R133" s="21"/>
      <c r="S133" s="141"/>
      <c r="T133" s="29">
        <v>0</v>
      </c>
      <c r="U133" s="145">
        <v>0</v>
      </c>
      <c r="V133" s="145">
        <v>0</v>
      </c>
      <c r="W133" s="145">
        <v>0</v>
      </c>
      <c r="X133" s="145">
        <v>0</v>
      </c>
      <c r="Y133" s="145">
        <v>0</v>
      </c>
      <c r="Z133" s="145">
        <v>0</v>
      </c>
      <c r="AA133" s="142">
        <f t="shared" si="6"/>
        <v>0</v>
      </c>
      <c r="AB133" s="141"/>
      <c r="AC133" s="67"/>
      <c r="AD133" s="67"/>
      <c r="AE133" s="24"/>
      <c r="AF133" s="24"/>
      <c r="AG133" s="24"/>
      <c r="AH133" s="71"/>
      <c r="AI133" s="69"/>
      <c r="AJ133" s="141"/>
      <c r="AK133" s="141"/>
      <c r="AL133" s="141"/>
      <c r="AM133" s="141"/>
      <c r="AN133" s="141"/>
      <c r="AO133" s="141"/>
      <c r="AP133" s="141"/>
      <c r="AQ133" s="141"/>
      <c r="AR133" s="141"/>
      <c r="AS133" s="141"/>
    </row>
    <row r="134" spans="1:45" ht="45" customHeight="1">
      <c r="A134" s="153">
        <v>131</v>
      </c>
      <c r="B134" s="153"/>
      <c r="C134" s="153"/>
      <c r="D134" s="28"/>
      <c r="E134" s="59"/>
      <c r="F134" s="59"/>
      <c r="G134" s="90"/>
      <c r="H134" s="90"/>
      <c r="I134" s="93"/>
      <c r="J134" s="93"/>
      <c r="K134" s="93"/>
      <c r="L134" s="69"/>
      <c r="M134" s="69"/>
      <c r="N134" s="39">
        <v>0</v>
      </c>
      <c r="O134" s="21"/>
      <c r="P134" s="21"/>
      <c r="Q134" s="141"/>
      <c r="R134" s="21"/>
      <c r="S134" s="141"/>
      <c r="T134" s="29">
        <v>0</v>
      </c>
      <c r="U134" s="145">
        <v>0</v>
      </c>
      <c r="V134" s="145">
        <v>0</v>
      </c>
      <c r="W134" s="145">
        <v>0</v>
      </c>
      <c r="X134" s="145">
        <v>0</v>
      </c>
      <c r="Y134" s="145">
        <v>0</v>
      </c>
      <c r="Z134" s="145">
        <v>0</v>
      </c>
      <c r="AA134" s="142">
        <f t="shared" si="6"/>
        <v>0</v>
      </c>
      <c r="AB134" s="141"/>
      <c r="AC134" s="67"/>
      <c r="AD134" s="67"/>
      <c r="AE134" s="24"/>
      <c r="AF134" s="24"/>
      <c r="AG134" s="24"/>
      <c r="AH134" s="71"/>
      <c r="AI134" s="69"/>
      <c r="AJ134" s="141"/>
      <c r="AK134" s="141"/>
      <c r="AL134" s="141"/>
      <c r="AM134" s="141"/>
      <c r="AN134" s="141"/>
      <c r="AO134" s="141"/>
      <c r="AP134" s="141"/>
      <c r="AQ134" s="141"/>
      <c r="AR134" s="141"/>
      <c r="AS134" s="141"/>
    </row>
    <row r="135" spans="1:45" ht="45" customHeight="1">
      <c r="A135" s="153">
        <v>132</v>
      </c>
      <c r="B135" s="153"/>
      <c r="C135" s="153"/>
      <c r="D135" s="28"/>
      <c r="E135" s="59"/>
      <c r="F135" s="59"/>
      <c r="G135" s="90"/>
      <c r="H135" s="90"/>
      <c r="I135" s="93"/>
      <c r="J135" s="93"/>
      <c r="K135" s="93"/>
      <c r="L135" s="69"/>
      <c r="M135" s="69"/>
      <c r="N135" s="39">
        <v>0</v>
      </c>
      <c r="O135" s="21"/>
      <c r="P135" s="21"/>
      <c r="Q135" s="141"/>
      <c r="R135" s="21"/>
      <c r="S135" s="141"/>
      <c r="T135" s="29">
        <v>0</v>
      </c>
      <c r="U135" s="145">
        <v>0</v>
      </c>
      <c r="V135" s="145">
        <v>0</v>
      </c>
      <c r="W135" s="145">
        <v>0</v>
      </c>
      <c r="X135" s="145">
        <v>0</v>
      </c>
      <c r="Y135" s="145">
        <v>0</v>
      </c>
      <c r="Z135" s="145">
        <v>0</v>
      </c>
      <c r="AA135" s="142">
        <f t="shared" si="6"/>
        <v>0</v>
      </c>
      <c r="AB135" s="141"/>
      <c r="AC135" s="67"/>
      <c r="AD135" s="67"/>
      <c r="AE135" s="24"/>
      <c r="AF135" s="24"/>
      <c r="AG135" s="24"/>
      <c r="AH135" s="71"/>
      <c r="AI135" s="69"/>
      <c r="AJ135" s="141"/>
      <c r="AK135" s="141"/>
      <c r="AL135" s="141"/>
      <c r="AM135" s="141"/>
      <c r="AN135" s="141"/>
      <c r="AO135" s="141"/>
      <c r="AP135" s="141"/>
      <c r="AQ135" s="141"/>
      <c r="AR135" s="141"/>
      <c r="AS135" s="141"/>
    </row>
    <row r="136" spans="1:45" ht="45" customHeight="1">
      <c r="A136" s="153">
        <v>133</v>
      </c>
      <c r="B136" s="153"/>
      <c r="C136" s="153"/>
      <c r="D136" s="28"/>
      <c r="E136" s="59"/>
      <c r="F136" s="59"/>
      <c r="G136" s="90"/>
      <c r="H136" s="90"/>
      <c r="I136" s="93"/>
      <c r="J136" s="93"/>
      <c r="K136" s="93"/>
      <c r="L136" s="69"/>
      <c r="M136" s="69"/>
      <c r="N136" s="39">
        <v>0</v>
      </c>
      <c r="O136" s="21"/>
      <c r="P136" s="21"/>
      <c r="Q136" s="141"/>
      <c r="R136" s="21"/>
      <c r="S136" s="141"/>
      <c r="T136" s="29">
        <v>0</v>
      </c>
      <c r="U136" s="145">
        <v>0</v>
      </c>
      <c r="V136" s="145">
        <v>0</v>
      </c>
      <c r="W136" s="145">
        <v>0</v>
      </c>
      <c r="X136" s="145">
        <v>0</v>
      </c>
      <c r="Y136" s="145">
        <v>0</v>
      </c>
      <c r="Z136" s="145">
        <v>0</v>
      </c>
      <c r="AA136" s="142">
        <f t="shared" si="6"/>
        <v>0</v>
      </c>
      <c r="AB136" s="141"/>
      <c r="AC136" s="67"/>
      <c r="AD136" s="67"/>
      <c r="AE136" s="24"/>
      <c r="AF136" s="24"/>
      <c r="AG136" s="24"/>
      <c r="AH136" s="71"/>
      <c r="AI136" s="69"/>
      <c r="AJ136" s="141"/>
      <c r="AK136" s="141"/>
      <c r="AL136" s="141"/>
      <c r="AM136" s="141"/>
      <c r="AN136" s="141"/>
      <c r="AO136" s="141"/>
      <c r="AP136" s="141"/>
      <c r="AQ136" s="141"/>
      <c r="AR136" s="141"/>
      <c r="AS136" s="141"/>
    </row>
    <row r="137" spans="1:45" ht="45" customHeight="1">
      <c r="A137" s="153">
        <v>134</v>
      </c>
      <c r="B137" s="153"/>
      <c r="C137" s="153"/>
      <c r="D137" s="28"/>
      <c r="E137" s="59"/>
      <c r="F137" s="59"/>
      <c r="G137" s="90"/>
      <c r="H137" s="90"/>
      <c r="I137" s="93"/>
      <c r="J137" s="93"/>
      <c r="K137" s="93"/>
      <c r="L137" s="69"/>
      <c r="M137" s="69"/>
      <c r="N137" s="39">
        <v>0</v>
      </c>
      <c r="O137" s="21"/>
      <c r="P137" s="21"/>
      <c r="Q137" s="141"/>
      <c r="R137" s="21"/>
      <c r="S137" s="141"/>
      <c r="T137" s="29">
        <v>0</v>
      </c>
      <c r="U137" s="145">
        <v>0</v>
      </c>
      <c r="V137" s="145">
        <v>0</v>
      </c>
      <c r="W137" s="145">
        <v>0</v>
      </c>
      <c r="X137" s="145">
        <v>0</v>
      </c>
      <c r="Y137" s="145">
        <v>0</v>
      </c>
      <c r="Z137" s="145">
        <v>0</v>
      </c>
      <c r="AA137" s="142">
        <f t="shared" si="6"/>
        <v>0</v>
      </c>
      <c r="AB137" s="141"/>
      <c r="AC137" s="67"/>
      <c r="AD137" s="67"/>
      <c r="AE137" s="24"/>
      <c r="AF137" s="24"/>
      <c r="AG137" s="24"/>
      <c r="AH137" s="71"/>
      <c r="AI137" s="69"/>
      <c r="AJ137" s="141"/>
      <c r="AK137" s="141"/>
      <c r="AL137" s="141"/>
      <c r="AM137" s="141"/>
      <c r="AN137" s="141"/>
      <c r="AO137" s="141"/>
      <c r="AP137" s="141"/>
      <c r="AQ137" s="141"/>
      <c r="AR137" s="141"/>
      <c r="AS137" s="141"/>
    </row>
    <row r="138" spans="1:45" ht="45" customHeight="1">
      <c r="A138" s="153">
        <v>135</v>
      </c>
      <c r="B138" s="153"/>
      <c r="C138" s="153"/>
      <c r="D138" s="28"/>
      <c r="E138" s="59"/>
      <c r="F138" s="59"/>
      <c r="G138" s="90"/>
      <c r="H138" s="90"/>
      <c r="I138" s="93"/>
      <c r="J138" s="93"/>
      <c r="K138" s="93"/>
      <c r="L138" s="69"/>
      <c r="M138" s="69"/>
      <c r="N138" s="39">
        <v>0</v>
      </c>
      <c r="O138" s="21"/>
      <c r="P138" s="21"/>
      <c r="Q138" s="141"/>
      <c r="R138" s="21"/>
      <c r="S138" s="141"/>
      <c r="T138" s="29">
        <v>0</v>
      </c>
      <c r="U138" s="145">
        <v>0</v>
      </c>
      <c r="V138" s="145">
        <v>0</v>
      </c>
      <c r="W138" s="145">
        <v>0</v>
      </c>
      <c r="X138" s="145">
        <v>0</v>
      </c>
      <c r="Y138" s="145">
        <v>0</v>
      </c>
      <c r="Z138" s="145">
        <v>0</v>
      </c>
      <c r="AA138" s="142">
        <f t="shared" si="6"/>
        <v>0</v>
      </c>
      <c r="AB138" s="141"/>
      <c r="AC138" s="67"/>
      <c r="AD138" s="67"/>
      <c r="AE138" s="24"/>
      <c r="AF138" s="24"/>
      <c r="AG138" s="24"/>
      <c r="AH138" s="71"/>
      <c r="AI138" s="69"/>
      <c r="AJ138" s="141"/>
      <c r="AK138" s="141"/>
      <c r="AL138" s="141"/>
      <c r="AM138" s="141"/>
      <c r="AN138" s="141"/>
      <c r="AO138" s="141"/>
      <c r="AP138" s="141"/>
      <c r="AQ138" s="141"/>
      <c r="AR138" s="141"/>
      <c r="AS138" s="141"/>
    </row>
    <row r="139" spans="1:45" ht="45" customHeight="1">
      <c r="A139" s="153">
        <v>136</v>
      </c>
      <c r="B139" s="153"/>
      <c r="C139" s="153"/>
      <c r="D139" s="28"/>
      <c r="E139" s="59"/>
      <c r="F139" s="59"/>
      <c r="G139" s="90"/>
      <c r="H139" s="90"/>
      <c r="I139" s="93"/>
      <c r="J139" s="93"/>
      <c r="K139" s="93"/>
      <c r="L139" s="69"/>
      <c r="M139" s="69"/>
      <c r="N139" s="39">
        <v>0</v>
      </c>
      <c r="O139" s="21"/>
      <c r="P139" s="21"/>
      <c r="Q139" s="141"/>
      <c r="R139" s="21"/>
      <c r="S139" s="141"/>
      <c r="T139" s="29">
        <v>0</v>
      </c>
      <c r="U139" s="145">
        <v>0</v>
      </c>
      <c r="V139" s="145">
        <v>0</v>
      </c>
      <c r="W139" s="145">
        <v>0</v>
      </c>
      <c r="X139" s="145">
        <v>0</v>
      </c>
      <c r="Y139" s="145">
        <v>0</v>
      </c>
      <c r="Z139" s="145">
        <v>0</v>
      </c>
      <c r="AA139" s="142">
        <f t="shared" si="6"/>
        <v>0</v>
      </c>
      <c r="AB139" s="141"/>
      <c r="AC139" s="67"/>
      <c r="AD139" s="67"/>
      <c r="AE139" s="24"/>
      <c r="AF139" s="24"/>
      <c r="AG139" s="24"/>
      <c r="AH139" s="71"/>
      <c r="AI139" s="69"/>
      <c r="AJ139" s="141"/>
      <c r="AK139" s="141"/>
      <c r="AL139" s="141"/>
      <c r="AM139" s="141"/>
      <c r="AN139" s="141"/>
      <c r="AO139" s="141"/>
      <c r="AP139" s="141"/>
      <c r="AQ139" s="141"/>
      <c r="AR139" s="141"/>
      <c r="AS139" s="141"/>
    </row>
    <row r="140" spans="1:45" ht="45" customHeight="1">
      <c r="A140" s="153">
        <v>137</v>
      </c>
      <c r="B140" s="153"/>
      <c r="C140" s="153"/>
      <c r="D140" s="28"/>
      <c r="E140" s="59"/>
      <c r="F140" s="59"/>
      <c r="G140" s="90"/>
      <c r="H140" s="90"/>
      <c r="I140" s="93"/>
      <c r="J140" s="93"/>
      <c r="K140" s="93"/>
      <c r="L140" s="69"/>
      <c r="M140" s="69"/>
      <c r="N140" s="39">
        <v>0</v>
      </c>
      <c r="O140" s="21"/>
      <c r="P140" s="21"/>
      <c r="Q140" s="141"/>
      <c r="R140" s="21"/>
      <c r="S140" s="141"/>
      <c r="T140" s="29">
        <v>0</v>
      </c>
      <c r="U140" s="145">
        <v>0</v>
      </c>
      <c r="V140" s="145">
        <v>0</v>
      </c>
      <c r="W140" s="145">
        <v>0</v>
      </c>
      <c r="X140" s="145">
        <v>0</v>
      </c>
      <c r="Y140" s="145">
        <v>0</v>
      </c>
      <c r="Z140" s="145">
        <v>0</v>
      </c>
      <c r="AA140" s="142">
        <f t="shared" si="6"/>
        <v>0</v>
      </c>
      <c r="AB140" s="141"/>
      <c r="AC140" s="67"/>
      <c r="AD140" s="67"/>
      <c r="AE140" s="24"/>
      <c r="AF140" s="24"/>
      <c r="AG140" s="24"/>
      <c r="AH140" s="71"/>
      <c r="AI140" s="69"/>
      <c r="AJ140" s="141"/>
      <c r="AK140" s="141"/>
      <c r="AL140" s="141"/>
      <c r="AM140" s="141"/>
      <c r="AN140" s="141"/>
      <c r="AO140" s="141"/>
      <c r="AP140" s="141"/>
      <c r="AQ140" s="141"/>
      <c r="AR140" s="141"/>
      <c r="AS140" s="141"/>
    </row>
    <row r="141" spans="1:45" ht="45" customHeight="1">
      <c r="A141" s="153">
        <v>138</v>
      </c>
      <c r="B141" s="153"/>
      <c r="C141" s="153"/>
      <c r="D141" s="28"/>
      <c r="E141" s="59"/>
      <c r="F141" s="59"/>
      <c r="G141" s="90"/>
      <c r="H141" s="90"/>
      <c r="I141" s="93"/>
      <c r="J141" s="93"/>
      <c r="K141" s="93"/>
      <c r="L141" s="69"/>
      <c r="M141" s="69"/>
      <c r="N141" s="39">
        <v>0</v>
      </c>
      <c r="O141" s="21"/>
      <c r="P141" s="21"/>
      <c r="Q141" s="141"/>
      <c r="R141" s="21"/>
      <c r="S141" s="141"/>
      <c r="T141" s="29">
        <v>0</v>
      </c>
      <c r="U141" s="145">
        <v>0</v>
      </c>
      <c r="V141" s="145">
        <v>0</v>
      </c>
      <c r="W141" s="145">
        <v>0</v>
      </c>
      <c r="X141" s="145">
        <v>0</v>
      </c>
      <c r="Y141" s="145">
        <v>0</v>
      </c>
      <c r="Z141" s="145">
        <v>0</v>
      </c>
      <c r="AA141" s="142">
        <f t="shared" si="6"/>
        <v>0</v>
      </c>
      <c r="AB141" s="141"/>
      <c r="AC141" s="67"/>
      <c r="AD141" s="67"/>
      <c r="AE141" s="24"/>
      <c r="AF141" s="24"/>
      <c r="AG141" s="24"/>
      <c r="AH141" s="71"/>
      <c r="AI141" s="69"/>
      <c r="AJ141" s="141"/>
      <c r="AK141" s="141"/>
      <c r="AL141" s="141"/>
      <c r="AM141" s="141"/>
      <c r="AN141" s="141"/>
      <c r="AO141" s="141"/>
      <c r="AP141" s="141"/>
      <c r="AQ141" s="141"/>
      <c r="AR141" s="141"/>
      <c r="AS141" s="141"/>
    </row>
    <row r="142" spans="1:45" ht="45" customHeight="1">
      <c r="A142" s="153">
        <v>139</v>
      </c>
      <c r="B142" s="153"/>
      <c r="C142" s="153"/>
      <c r="D142" s="28"/>
      <c r="E142" s="59"/>
      <c r="F142" s="59"/>
      <c r="G142" s="90"/>
      <c r="H142" s="90"/>
      <c r="I142" s="93"/>
      <c r="J142" s="93"/>
      <c r="K142" s="93"/>
      <c r="L142" s="69"/>
      <c r="M142" s="69"/>
      <c r="N142" s="39">
        <v>0</v>
      </c>
      <c r="O142" s="21"/>
      <c r="P142" s="21"/>
      <c r="Q142" s="141"/>
      <c r="R142" s="21"/>
      <c r="S142" s="141"/>
      <c r="T142" s="29">
        <v>0</v>
      </c>
      <c r="U142" s="145">
        <v>0</v>
      </c>
      <c r="V142" s="145">
        <v>0</v>
      </c>
      <c r="W142" s="145">
        <v>0</v>
      </c>
      <c r="X142" s="145">
        <v>0</v>
      </c>
      <c r="Y142" s="145">
        <v>0</v>
      </c>
      <c r="Z142" s="145">
        <v>0</v>
      </c>
      <c r="AA142" s="142">
        <f t="shared" si="6"/>
        <v>0</v>
      </c>
      <c r="AB142" s="141"/>
      <c r="AC142" s="67"/>
      <c r="AD142" s="67"/>
      <c r="AE142" s="24"/>
      <c r="AF142" s="24"/>
      <c r="AG142" s="24"/>
      <c r="AH142" s="71"/>
      <c r="AI142" s="69"/>
      <c r="AJ142" s="141"/>
      <c r="AK142" s="141"/>
      <c r="AL142" s="141"/>
      <c r="AM142" s="141"/>
      <c r="AN142" s="141"/>
      <c r="AO142" s="141"/>
      <c r="AP142" s="141"/>
      <c r="AQ142" s="141"/>
      <c r="AR142" s="141"/>
      <c r="AS142" s="141"/>
    </row>
    <row r="143" spans="1:45" ht="45" customHeight="1">
      <c r="A143" s="153">
        <v>140</v>
      </c>
      <c r="B143" s="153"/>
      <c r="C143" s="153"/>
      <c r="D143" s="28"/>
      <c r="E143" s="59"/>
      <c r="F143" s="59"/>
      <c r="G143" s="90"/>
      <c r="H143" s="90"/>
      <c r="I143" s="93"/>
      <c r="J143" s="93"/>
      <c r="K143" s="93"/>
      <c r="L143" s="69"/>
      <c r="M143" s="69"/>
      <c r="N143" s="39">
        <v>0</v>
      </c>
      <c r="O143" s="21"/>
      <c r="P143" s="21"/>
      <c r="Q143" s="141"/>
      <c r="R143" s="21"/>
      <c r="S143" s="141"/>
      <c r="T143" s="29">
        <v>0</v>
      </c>
      <c r="U143" s="145">
        <v>0</v>
      </c>
      <c r="V143" s="145">
        <v>0</v>
      </c>
      <c r="W143" s="145">
        <v>0</v>
      </c>
      <c r="X143" s="145">
        <v>0</v>
      </c>
      <c r="Y143" s="145">
        <v>0</v>
      </c>
      <c r="Z143" s="145">
        <v>0</v>
      </c>
      <c r="AA143" s="142">
        <f t="shared" si="6"/>
        <v>0</v>
      </c>
      <c r="AB143" s="141"/>
      <c r="AC143" s="67"/>
      <c r="AD143" s="67"/>
      <c r="AE143" s="24"/>
      <c r="AF143" s="24"/>
      <c r="AG143" s="24"/>
      <c r="AH143" s="71"/>
      <c r="AI143" s="69"/>
      <c r="AJ143" s="141"/>
      <c r="AK143" s="141"/>
      <c r="AL143" s="141"/>
      <c r="AM143" s="141"/>
      <c r="AN143" s="141"/>
      <c r="AO143" s="141"/>
      <c r="AP143" s="141"/>
      <c r="AQ143" s="141"/>
      <c r="AR143" s="141"/>
      <c r="AS143" s="141"/>
    </row>
    <row r="144" spans="1:45" ht="45" customHeight="1">
      <c r="A144" s="153">
        <v>141</v>
      </c>
      <c r="B144" s="153"/>
      <c r="C144" s="153"/>
      <c r="D144" s="28"/>
      <c r="E144" s="59"/>
      <c r="F144" s="59"/>
      <c r="G144" s="90"/>
      <c r="H144" s="90"/>
      <c r="I144" s="93"/>
      <c r="J144" s="93"/>
      <c r="K144" s="93"/>
      <c r="L144" s="69"/>
      <c r="M144" s="69"/>
      <c r="N144" s="39">
        <v>0</v>
      </c>
      <c r="O144" s="21"/>
      <c r="P144" s="21"/>
      <c r="Q144" s="141"/>
      <c r="R144" s="21"/>
      <c r="S144" s="141"/>
      <c r="T144" s="29">
        <v>0</v>
      </c>
      <c r="U144" s="145">
        <v>0</v>
      </c>
      <c r="V144" s="145">
        <v>0</v>
      </c>
      <c r="W144" s="145">
        <v>0</v>
      </c>
      <c r="X144" s="145">
        <v>0</v>
      </c>
      <c r="Y144" s="145">
        <v>0</v>
      </c>
      <c r="Z144" s="145">
        <v>0</v>
      </c>
      <c r="AA144" s="142">
        <f t="shared" si="6"/>
        <v>0</v>
      </c>
      <c r="AB144" s="141"/>
      <c r="AC144" s="67"/>
      <c r="AD144" s="67"/>
      <c r="AE144" s="24"/>
      <c r="AF144" s="24"/>
      <c r="AG144" s="24"/>
      <c r="AH144" s="71"/>
      <c r="AI144" s="69"/>
      <c r="AJ144" s="141"/>
      <c r="AK144" s="141"/>
      <c r="AL144" s="141"/>
      <c r="AM144" s="141"/>
      <c r="AN144" s="141"/>
      <c r="AO144" s="141"/>
      <c r="AP144" s="141"/>
      <c r="AQ144" s="141"/>
      <c r="AR144" s="141"/>
      <c r="AS144" s="141"/>
    </row>
    <row r="145" spans="1:45" ht="45" customHeight="1">
      <c r="A145" s="153">
        <v>142</v>
      </c>
      <c r="B145" s="153"/>
      <c r="C145" s="153"/>
      <c r="D145" s="28"/>
      <c r="E145" s="59"/>
      <c r="F145" s="59"/>
      <c r="G145" s="90"/>
      <c r="H145" s="90"/>
      <c r="I145" s="93"/>
      <c r="J145" s="93"/>
      <c r="K145" s="93"/>
      <c r="L145" s="69"/>
      <c r="M145" s="69"/>
      <c r="N145" s="39">
        <v>0</v>
      </c>
      <c r="O145" s="21"/>
      <c r="P145" s="21"/>
      <c r="Q145" s="141"/>
      <c r="R145" s="21"/>
      <c r="S145" s="141"/>
      <c r="T145" s="29">
        <v>0</v>
      </c>
      <c r="U145" s="145">
        <v>0</v>
      </c>
      <c r="V145" s="145">
        <v>0</v>
      </c>
      <c r="W145" s="145">
        <v>0</v>
      </c>
      <c r="X145" s="145">
        <v>0</v>
      </c>
      <c r="Y145" s="145">
        <v>0</v>
      </c>
      <c r="Z145" s="145">
        <v>0</v>
      </c>
      <c r="AA145" s="142">
        <f t="shared" si="6"/>
        <v>0</v>
      </c>
      <c r="AB145" s="141"/>
      <c r="AC145" s="67"/>
      <c r="AD145" s="67"/>
      <c r="AE145" s="24"/>
      <c r="AF145" s="24"/>
      <c r="AG145" s="24"/>
      <c r="AH145" s="71"/>
      <c r="AI145" s="69"/>
      <c r="AJ145" s="141"/>
      <c r="AK145" s="141"/>
      <c r="AL145" s="141"/>
      <c r="AM145" s="141"/>
      <c r="AN145" s="141"/>
      <c r="AO145" s="141"/>
      <c r="AP145" s="141"/>
      <c r="AQ145" s="141"/>
      <c r="AR145" s="141"/>
      <c r="AS145" s="141"/>
    </row>
    <row r="146" spans="1:45" ht="45" customHeight="1">
      <c r="A146" s="153">
        <v>143</v>
      </c>
      <c r="B146" s="153"/>
      <c r="C146" s="153"/>
      <c r="D146" s="28"/>
      <c r="E146" s="59"/>
      <c r="F146" s="59"/>
      <c r="G146" s="90"/>
      <c r="H146" s="90"/>
      <c r="I146" s="93"/>
      <c r="J146" s="94"/>
      <c r="K146" s="94"/>
      <c r="L146" s="69"/>
      <c r="M146" s="69"/>
      <c r="N146" s="39">
        <v>0</v>
      </c>
      <c r="O146" s="25"/>
      <c r="P146" s="25"/>
      <c r="Q146" s="154"/>
      <c r="R146" s="25"/>
      <c r="S146" s="141"/>
      <c r="T146" s="29">
        <v>0</v>
      </c>
      <c r="U146" s="145">
        <v>0</v>
      </c>
      <c r="V146" s="145">
        <v>0</v>
      </c>
      <c r="W146" s="145">
        <v>0</v>
      </c>
      <c r="X146" s="145">
        <v>0</v>
      </c>
      <c r="Y146" s="145">
        <v>0</v>
      </c>
      <c r="Z146" s="145">
        <v>0</v>
      </c>
      <c r="AA146" s="142">
        <f t="shared" si="6"/>
        <v>0</v>
      </c>
      <c r="AB146" s="141"/>
      <c r="AC146" s="67"/>
      <c r="AD146" s="67"/>
      <c r="AE146" s="24"/>
      <c r="AF146" s="24"/>
      <c r="AG146" s="24"/>
      <c r="AH146" s="71"/>
      <c r="AI146" s="69"/>
      <c r="AJ146" s="141"/>
      <c r="AK146" s="141"/>
      <c r="AL146" s="141"/>
      <c r="AM146" s="141"/>
      <c r="AN146" s="141"/>
      <c r="AO146" s="141"/>
      <c r="AP146" s="141"/>
      <c r="AQ146" s="141"/>
      <c r="AR146" s="141"/>
      <c r="AS146" s="141"/>
    </row>
    <row r="147" spans="1:45" ht="45" customHeight="1">
      <c r="A147" s="153">
        <v>144</v>
      </c>
      <c r="B147" s="153"/>
      <c r="C147" s="153"/>
      <c r="D147" s="28"/>
      <c r="E147" s="59"/>
      <c r="F147" s="59"/>
      <c r="G147" s="90"/>
      <c r="H147" s="90"/>
      <c r="I147" s="93"/>
      <c r="J147" s="96"/>
      <c r="K147" s="96"/>
      <c r="L147" s="69"/>
      <c r="M147" s="69"/>
      <c r="N147" s="39">
        <v>0</v>
      </c>
      <c r="O147" s="21"/>
      <c r="P147" s="21"/>
      <c r="Q147" s="141"/>
      <c r="R147" s="21"/>
      <c r="S147" s="141"/>
      <c r="T147" s="29">
        <v>0</v>
      </c>
      <c r="U147" s="145">
        <v>0</v>
      </c>
      <c r="V147" s="145">
        <v>0</v>
      </c>
      <c r="W147" s="145">
        <v>0</v>
      </c>
      <c r="X147" s="145">
        <v>0</v>
      </c>
      <c r="Y147" s="145">
        <v>0</v>
      </c>
      <c r="Z147" s="145">
        <v>0</v>
      </c>
      <c r="AA147" s="142">
        <f t="shared" si="6"/>
        <v>0</v>
      </c>
      <c r="AB147" s="141"/>
      <c r="AC147" s="67"/>
      <c r="AD147" s="67"/>
      <c r="AE147" s="24"/>
      <c r="AF147" s="24"/>
      <c r="AG147" s="24"/>
      <c r="AH147" s="71"/>
      <c r="AI147" s="69"/>
      <c r="AJ147" s="141"/>
      <c r="AK147" s="141"/>
      <c r="AL147" s="141"/>
      <c r="AM147" s="141"/>
      <c r="AN147" s="141"/>
      <c r="AO147" s="141"/>
      <c r="AP147" s="141"/>
      <c r="AQ147" s="141"/>
      <c r="AR147" s="141"/>
      <c r="AS147" s="141"/>
    </row>
    <row r="148" spans="1:45" ht="45" customHeight="1">
      <c r="A148" s="153">
        <v>145</v>
      </c>
      <c r="B148" s="153"/>
      <c r="C148" s="153"/>
      <c r="D148" s="28"/>
      <c r="E148" s="59"/>
      <c r="F148" s="59"/>
      <c r="G148" s="90"/>
      <c r="H148" s="90"/>
      <c r="I148" s="93"/>
      <c r="J148" s="96"/>
      <c r="K148" s="96"/>
      <c r="L148" s="69"/>
      <c r="M148" s="69"/>
      <c r="N148" s="39">
        <v>0</v>
      </c>
      <c r="O148" s="21"/>
      <c r="P148" s="21"/>
      <c r="Q148" s="141"/>
      <c r="R148" s="21"/>
      <c r="S148" s="141"/>
      <c r="T148" s="29">
        <v>0</v>
      </c>
      <c r="U148" s="145">
        <v>0</v>
      </c>
      <c r="V148" s="145">
        <v>0</v>
      </c>
      <c r="W148" s="145">
        <v>0</v>
      </c>
      <c r="X148" s="145">
        <v>0</v>
      </c>
      <c r="Y148" s="145">
        <v>0</v>
      </c>
      <c r="Z148" s="145">
        <v>0</v>
      </c>
      <c r="AA148" s="142">
        <f t="shared" si="6"/>
        <v>0</v>
      </c>
      <c r="AB148" s="141"/>
      <c r="AC148" s="67"/>
      <c r="AD148" s="67"/>
      <c r="AE148" s="24"/>
      <c r="AF148" s="24"/>
      <c r="AG148" s="24"/>
      <c r="AH148" s="71"/>
      <c r="AI148" s="69"/>
      <c r="AJ148" s="141"/>
      <c r="AK148" s="141"/>
      <c r="AL148" s="141"/>
      <c r="AM148" s="141"/>
      <c r="AN148" s="141"/>
      <c r="AO148" s="141"/>
      <c r="AP148" s="141"/>
      <c r="AQ148" s="141"/>
      <c r="AR148" s="141"/>
      <c r="AS148" s="141"/>
    </row>
    <row r="149" spans="1:45" ht="45" customHeight="1">
      <c r="A149" s="153">
        <v>146</v>
      </c>
      <c r="B149" s="153"/>
      <c r="C149" s="28"/>
      <c r="D149" s="28"/>
      <c r="E149" s="59"/>
      <c r="F149" s="59"/>
      <c r="G149" s="92"/>
      <c r="H149" s="90"/>
      <c r="I149" s="93"/>
      <c r="J149" s="96"/>
      <c r="K149" s="96"/>
      <c r="L149" s="69"/>
      <c r="M149" s="69"/>
      <c r="N149" s="39">
        <v>0</v>
      </c>
      <c r="O149" s="21"/>
      <c r="P149" s="21"/>
      <c r="Q149" s="141"/>
      <c r="R149" s="21"/>
      <c r="S149" s="141"/>
      <c r="T149" s="29">
        <v>0</v>
      </c>
      <c r="U149" s="145">
        <v>0</v>
      </c>
      <c r="V149" s="145">
        <v>0</v>
      </c>
      <c r="W149" s="145">
        <v>0</v>
      </c>
      <c r="X149" s="145">
        <v>0</v>
      </c>
      <c r="Y149" s="145">
        <v>0</v>
      </c>
      <c r="Z149" s="145">
        <v>0</v>
      </c>
      <c r="AA149" s="142">
        <f t="shared" si="6"/>
        <v>0</v>
      </c>
      <c r="AB149" s="141"/>
      <c r="AC149" s="67"/>
      <c r="AD149" s="67"/>
      <c r="AE149" s="24"/>
      <c r="AF149" s="24"/>
      <c r="AG149" s="24"/>
      <c r="AH149" s="71"/>
      <c r="AI149" s="69"/>
      <c r="AJ149" s="141"/>
      <c r="AK149" s="141"/>
      <c r="AL149" s="141"/>
      <c r="AM149" s="141"/>
      <c r="AN149" s="141"/>
      <c r="AO149" s="141"/>
      <c r="AP149" s="141"/>
      <c r="AQ149" s="141"/>
      <c r="AR149" s="141"/>
      <c r="AS149" s="141"/>
    </row>
    <row r="150" spans="1:45" ht="45" customHeight="1">
      <c r="A150" s="153">
        <v>147</v>
      </c>
      <c r="B150" s="153"/>
      <c r="C150" s="140"/>
      <c r="D150" s="140"/>
      <c r="E150" s="59"/>
      <c r="F150" s="59"/>
      <c r="G150" s="90"/>
      <c r="H150" s="91"/>
      <c r="I150" s="93"/>
      <c r="J150" s="96"/>
      <c r="K150" s="96"/>
      <c r="L150" s="69"/>
      <c r="M150" s="69"/>
      <c r="N150" s="70">
        <v>0</v>
      </c>
      <c r="O150" s="21"/>
      <c r="P150" s="21"/>
      <c r="Q150" s="141"/>
      <c r="R150" s="21"/>
      <c r="S150" s="141"/>
      <c r="T150" s="29">
        <v>0</v>
      </c>
      <c r="U150" s="145">
        <v>0</v>
      </c>
      <c r="V150" s="145">
        <v>0</v>
      </c>
      <c r="W150" s="145">
        <v>0</v>
      </c>
      <c r="X150" s="145">
        <v>0</v>
      </c>
      <c r="Y150" s="145">
        <v>0</v>
      </c>
      <c r="Z150" s="145">
        <v>0</v>
      </c>
      <c r="AA150" s="142">
        <f t="shared" si="6"/>
        <v>0</v>
      </c>
      <c r="AB150" s="141"/>
      <c r="AC150" s="67"/>
      <c r="AD150" s="67"/>
      <c r="AE150" s="24"/>
      <c r="AF150" s="24"/>
      <c r="AG150" s="24"/>
      <c r="AH150" s="71"/>
      <c r="AI150" s="69"/>
      <c r="AJ150" s="141"/>
      <c r="AK150" s="141"/>
      <c r="AL150" s="141"/>
      <c r="AM150" s="141"/>
      <c r="AN150" s="141"/>
      <c r="AO150" s="141"/>
      <c r="AP150" s="141"/>
      <c r="AQ150" s="141"/>
      <c r="AR150" s="141"/>
      <c r="AS150" s="141"/>
    </row>
  </sheetData>
  <autoFilter ref="A3:AS150" xr:uid="{696602BA-561E-4DCB-9536-28EA9CF1990B}"/>
  <mergeCells count="6">
    <mergeCell ref="L1:R2"/>
    <mergeCell ref="G1:K2"/>
    <mergeCell ref="AO1:AS1"/>
    <mergeCell ref="AI1:AN1"/>
    <mergeCell ref="X2:Z2"/>
    <mergeCell ref="V2:W2"/>
  </mergeCells>
  <conditionalFormatting sqref="E4:E150">
    <cfRule type="colorScale" priority="6">
      <colorScale>
        <cfvo type="min"/>
        <cfvo type="percentile" val="50"/>
        <cfvo type="max"/>
        <color rgb="FFF8696B"/>
        <color rgb="FFFFEB84"/>
        <color rgb="FF63BE7B"/>
      </colorScale>
    </cfRule>
  </conditionalFormatting>
  <conditionalFormatting sqref="F4:F150">
    <cfRule type="colorScale" priority="98">
      <colorScale>
        <cfvo type="min"/>
        <cfvo type="percentile" val="50"/>
        <cfvo type="max"/>
        <color rgb="FFF8696B"/>
        <color rgb="FFFFEB84"/>
        <color rgb="FF63BE7B"/>
      </colorScale>
    </cfRule>
  </conditionalFormatting>
  <conditionalFormatting sqref="G4:H150">
    <cfRule type="cellIs" dxfId="71" priority="3" operator="between">
      <formula>TODAY()</formula>
      <formula>TODAY()+7</formula>
    </cfRule>
    <cfRule type="cellIs" dxfId="70" priority="4" operator="greaterThanOrEqual">
      <formula>TODAY()+30</formula>
    </cfRule>
    <cfRule type="cellIs" dxfId="69" priority="5" operator="lessThan">
      <formula>TODAY()-30</formula>
    </cfRule>
  </conditionalFormatting>
  <conditionalFormatting sqref="N4:N150">
    <cfRule type="iconSet" priority="100">
      <iconSet iconSet="5Rating">
        <cfvo type="percent" val="0"/>
        <cfvo type="percent" val="20"/>
        <cfvo type="percent" val="40"/>
        <cfvo type="percent" val="60"/>
        <cfvo type="percent" val="80"/>
      </iconSet>
    </cfRule>
  </conditionalFormatting>
  <conditionalFormatting sqref="T4:AA150">
    <cfRule type="colorScale" priority="96">
      <colorScale>
        <cfvo type="min"/>
        <cfvo type="percentile" val="50"/>
        <cfvo type="max"/>
        <color rgb="FF63BE7B"/>
        <color rgb="FFFFEB84"/>
        <color rgb="FFF8696B"/>
      </colorScale>
    </cfRule>
  </conditionalFormatting>
  <dataValidations count="1">
    <dataValidation allowBlank="1" showInputMessage="1" showErrorMessage="1" sqref="AB4:AD150 S4:S150" xr:uid="{212711EF-D6D3-4DE4-A59A-E589D860FAB8}"/>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1A32627-4BF7-40BA-A14A-E79949F2B885}">
          <x14:formula1>
            <xm:f>'Guide suivi GDP '!$E$3:$E$8</xm:f>
          </x14:formula1>
          <xm:sqref>Q4:Q150</xm:sqref>
        </x14:dataValidation>
        <x14:dataValidation type="list" allowBlank="1" showInputMessage="1" showErrorMessage="1" xr:uid="{4C37E617-3E2A-4B71-9A76-4DE5AC46AAF7}">
          <x14:formula1>
            <xm:f>'Guide suivi GDP '!$E$20:$E$24</xm:f>
          </x14:formula1>
          <xm:sqref>R4:R150</xm:sqref>
        </x14:dataValidation>
        <x14:dataValidation type="list" showInputMessage="1" showErrorMessage="1" xr:uid="{174D3FF9-368A-4741-9F27-64EAF67CF311}">
          <x14:formula1>
            <xm:f>'Guide suivi GDP '!$E$31:$E$33</xm:f>
          </x14:formula1>
          <xm:sqref>B4:B150</xm:sqref>
        </x14:dataValidation>
        <x14:dataValidation type="list" showInputMessage="1" showErrorMessage="1" xr:uid="{23324A63-CB8D-44F9-A926-01E60C59A9D6}">
          <x14:formula1>
            <xm:f>'Guide suivi GDP '!$E$34:$E$36</xm:f>
          </x14:formula1>
          <xm:sqref>C4:C150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740F-A86C-4845-B49C-F6ADD5769B6F}">
  <sheetPr>
    <tabColor rgb="FF92D050"/>
  </sheetPr>
  <dimension ref="A1:AW151"/>
  <sheetViews>
    <sheetView workbookViewId="0">
      <pane xSplit="4" ySplit="3" topLeftCell="E59" activePane="bottomRight" state="frozen"/>
      <selection pane="topRight"/>
      <selection pane="bottomLeft"/>
      <selection pane="bottomRight" activeCell="H69" sqref="H69"/>
    </sheetView>
  </sheetViews>
  <sheetFormatPr baseColWidth="10" defaultColWidth="9.140625" defaultRowHeight="12.75" outlineLevelCol="1"/>
  <cols>
    <col min="1" max="1" width="1.710937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8" width="12.28515625" style="5" customWidth="1" outlineLevel="1"/>
    <col min="9" max="9" width="12.28515625" style="5" hidden="1" customWidth="1" outlineLevel="1"/>
    <col min="10" max="10" width="11.7109375" style="5" hidden="1" customWidth="1" outlineLevel="1"/>
    <col min="11" max="11" width="17.42578125" style="5" hidden="1" customWidth="1" outlineLevel="1"/>
    <col min="12" max="12" width="16.7109375" style="26" hidden="1" customWidth="1"/>
    <col min="13" max="13" width="12.28515625" style="26" hidden="1" customWidth="1"/>
    <col min="14" max="15" width="9.140625" style="26" customWidth="1"/>
    <col min="16" max="16" width="12.28515625" style="26" bestFit="1" customWidth="1"/>
    <col min="17" max="17" width="11.42578125" style="26" customWidth="1"/>
    <col min="18" max="18" width="9.140625" style="26" customWidth="1"/>
    <col min="19" max="19" width="13.5703125" style="26" customWidth="1"/>
    <col min="20" max="20" width="14.85546875" style="26" customWidth="1"/>
    <col min="21" max="21" width="33.7109375" style="98" customWidth="1"/>
    <col min="22" max="22" width="34.42578125" style="98" customWidth="1"/>
    <col min="23" max="23" width="39.28515625" style="98" customWidth="1"/>
    <col min="24" max="24" width="20" style="26" hidden="1" customWidth="1" outlineLevel="1" collapsed="1"/>
    <col min="25" max="25" width="17.7109375" style="26" hidden="1" customWidth="1" outlineLevel="1"/>
    <col min="26" max="26" width="13.28515625" style="26" hidden="1" customWidth="1" outlineLevel="1"/>
    <col min="27" max="27" width="11.140625" style="26" hidden="1" customWidth="1" outlineLevel="1"/>
    <col min="28" max="28" width="11.7109375" style="26" hidden="1" customWidth="1" outlineLevel="1"/>
    <col min="29" max="29" width="12.28515625" style="26" hidden="1" customWidth="1" outlineLevel="1"/>
    <col min="30" max="30" width="18" style="26" hidden="1" customWidth="1" outlineLevel="1"/>
    <col min="31" max="31" width="9.42578125" style="13" customWidth="1" collapsed="1"/>
    <col min="32" max="32" width="28.5703125" style="13" hidden="1" customWidth="1" outlineLevel="1"/>
    <col min="33" max="33" width="21.42578125" style="13" hidden="1" customWidth="1" outlineLevel="1"/>
    <col min="34" max="34" width="26.85546875" style="13" hidden="1" customWidth="1" outlineLevel="1"/>
    <col min="35" max="36" width="30" style="26" hidden="1" customWidth="1" outlineLevel="1"/>
    <col min="37" max="37" width="33.5703125" style="13" hidden="1" customWidth="1" outlineLevel="1"/>
    <col min="38" max="38" width="2" style="13" customWidth="1" collapsed="1"/>
    <col min="39" max="39" width="44.28515625" style="26" customWidth="1"/>
    <col min="40" max="40" width="10.85546875" style="74" customWidth="1" outlineLevel="1"/>
    <col min="41" max="41" width="13.85546875" style="13" customWidth="1" outlineLevel="1"/>
    <col min="42" max="42" width="9.85546875" style="13" customWidth="1" outlineLevel="1"/>
    <col min="43" max="43" width="8.7109375" style="13" customWidth="1" outlineLevel="1"/>
    <col min="44" max="44" width="23.28515625" style="13" customWidth="1" outlineLevel="1"/>
    <col min="45" max="45" width="9.5703125" style="13" customWidth="1" outlineLevel="1"/>
    <col min="46" max="46" width="9.28515625" style="13" customWidth="1" outlineLevel="1"/>
    <col min="47" max="49" width="9.140625" style="13" customWidth="1" outlineLevel="1"/>
    <col min="50" max="50" width="9.140625" style="13" customWidth="1"/>
    <col min="51" max="16384" width="9.140625" style="13"/>
  </cols>
  <sheetData>
    <row r="1" spans="1:49" s="78" customFormat="1" ht="94.5">
      <c r="B1" s="88" t="s">
        <v>869</v>
      </c>
      <c r="C1" s="99"/>
      <c r="D1" s="88" t="s">
        <v>718</v>
      </c>
      <c r="E1" s="210" t="s">
        <v>720</v>
      </c>
      <c r="F1" s="211"/>
      <c r="G1" s="211"/>
      <c r="H1" s="211"/>
      <c r="I1" s="211"/>
      <c r="J1" s="211"/>
      <c r="K1" s="211"/>
      <c r="L1" s="211"/>
      <c r="M1" s="211"/>
      <c r="N1" s="82" t="s">
        <v>870</v>
      </c>
      <c r="O1" s="82" t="s">
        <v>870</v>
      </c>
      <c r="P1" s="112" t="s">
        <v>871</v>
      </c>
      <c r="Q1" s="112" t="s">
        <v>872</v>
      </c>
      <c r="R1" s="82"/>
      <c r="S1" s="204" t="s">
        <v>719</v>
      </c>
      <c r="T1" s="204"/>
      <c r="U1" s="204"/>
      <c r="V1" s="204"/>
      <c r="W1" s="205"/>
      <c r="X1" s="79" t="s">
        <v>721</v>
      </c>
      <c r="Y1" s="80"/>
      <c r="Z1" s="80"/>
      <c r="AA1" s="80"/>
      <c r="AB1" s="80"/>
      <c r="AC1" s="80"/>
      <c r="AD1" s="80"/>
      <c r="AE1" s="80"/>
      <c r="AF1" s="77" t="s">
        <v>721</v>
      </c>
      <c r="AG1" s="81"/>
      <c r="AH1" s="81"/>
      <c r="AI1" s="81"/>
      <c r="AJ1" s="81"/>
      <c r="AK1" s="81"/>
      <c r="AM1" s="207" t="s">
        <v>722</v>
      </c>
      <c r="AN1" s="207"/>
      <c r="AO1" s="207"/>
      <c r="AP1" s="207"/>
      <c r="AQ1" s="207"/>
      <c r="AR1" s="208"/>
      <c r="AS1" s="206" t="s">
        <v>723</v>
      </c>
      <c r="AT1" s="206"/>
      <c r="AU1" s="206"/>
      <c r="AV1" s="206"/>
      <c r="AW1" s="206"/>
    </row>
    <row r="2" spans="1:49" s="78" customFormat="1" ht="18">
      <c r="A2" s="82"/>
      <c r="B2" s="82"/>
      <c r="C2" s="82"/>
      <c r="D2" s="87">
        <f>SUBTOTAL(3,D4:D151)</f>
        <v>44</v>
      </c>
      <c r="E2" s="212"/>
      <c r="F2" s="213"/>
      <c r="G2" s="213"/>
      <c r="H2" s="213"/>
      <c r="I2" s="213"/>
      <c r="J2" s="213"/>
      <c r="K2" s="213"/>
      <c r="L2" s="213"/>
      <c r="M2" s="213"/>
      <c r="N2" s="109">
        <f>SUBTOTAL(1,N4:N140)</f>
        <v>3.0151515151515151</v>
      </c>
      <c r="O2" s="109">
        <f>SUBTOTAL(1,O4:O140)</f>
        <v>3.3484848484848486</v>
      </c>
      <c r="P2" s="111" cm="1">
        <f t="array" aca="1" ref="P2" ca="1">((SUMPRODUCT((P4:P151="BON")*(SUBTOTAL(3,OFFSET(P4,ROW(P4:P151)-MIN(ROW(P4:P151)),0))))/SUBTOTAL(3,P4:P151)*100) +
(SUMPRODUCT((P4:P151="EXCELLENT")*(SUBTOTAL(3,OFFSET(P4,ROW(P4:P151)-MIN(ROW(P4:P151)),0))))/SUBTOTAL(3,P4:P151)*100)) -
((SUMPRODUCT((P4:P151="WARNING !")*(SUBTOTAL(3,OFFSET(P4,ROW(P4:P151)-MIN(ROW(P4:P151)),0))))/SUBTOTAL(3,P4:P151)*100) +
(SUMPRODUCT((P4:P151="A AMÉLIORER")*(SUBTOTAL(3,OFFSET(P4,ROW(P4:P151)-MIN(ROW(P4:P151)),0))))/SUBTOTAL(3,P4:P151)*100))</f>
        <v>2.777777777777775</v>
      </c>
      <c r="Q2" s="111" cm="1">
        <f t="array" aca="1" ref="Q2" ca="1">((SUMPRODUCT((Q4:Q151="BON")*(SUBTOTAL(3,OFFSET(Q4,ROW(Q4:Q151)-MIN(ROW(Q4:Q151)),0))))/SUBTOTAL(3,Q4:Q151)*100) +
(SUMPRODUCT((Q4:Q151="EXCELLENT")*(SUBTOTAL(3,OFFSET(Q4,ROW(Q4:Q151)-MIN(ROW(Q4:Q151)),0))))/SUBTOTAL(3,Q4:Q151)*100)) -
((SUMPRODUCT((Q4:Q151="WARNING !")*(SUBTOTAL(3,OFFSET(Q4,ROW(Q4:Q151)-MIN(ROW(Q4:Q151)),0))))/SUBTOTAL(3,Q4:Q151)*100) +
(SUMPRODUCT((Q4:Q151="A AMÉLIORER")*(SUBTOTAL(3,OFFSET(Q4,ROW(Q4:Q151)-MIN(ROW(Q4:Q151)),0))))/SUBTOTAL(3,Q4:Q151)*100))</f>
        <v>-13.888888888888889</v>
      </c>
      <c r="R2" s="104"/>
      <c r="S2" s="204"/>
      <c r="T2" s="204"/>
      <c r="U2" s="204"/>
      <c r="V2" s="204"/>
      <c r="W2" s="205"/>
      <c r="X2" s="156" t="s">
        <v>68</v>
      </c>
      <c r="Y2" s="156" t="s">
        <v>69</v>
      </c>
      <c r="Z2" s="209" t="s">
        <v>71</v>
      </c>
      <c r="AA2" s="209"/>
      <c r="AB2" s="209" t="s">
        <v>76</v>
      </c>
      <c r="AC2" s="209"/>
      <c r="AD2" s="209"/>
      <c r="AE2" s="84">
        <f>SUBTOTAL(1,AE4:AE32)</f>
        <v>0</v>
      </c>
      <c r="AF2" s="81"/>
      <c r="AG2" s="81"/>
      <c r="AH2" s="81"/>
      <c r="AI2" s="81"/>
      <c r="AJ2" s="81"/>
      <c r="AK2" s="81"/>
      <c r="AM2" s="85"/>
      <c r="AN2" s="76">
        <f t="shared" ref="AN2" si="0">SUBTOTAL(9,AN4:AN493)</f>
        <v>245</v>
      </c>
      <c r="AO2" s="75"/>
      <c r="AP2" s="76">
        <f>SUBTOTAL(9,AP4:AP493)</f>
        <v>570</v>
      </c>
      <c r="AQ2" s="76">
        <f>SUBTOTAL(9,AQ4:AQ493)</f>
        <v>1670</v>
      </c>
      <c r="AR2" s="75"/>
      <c r="AS2" s="89">
        <f>SUBTOTAL(3,AS4:AS493)</f>
        <v>30</v>
      </c>
      <c r="AT2" s="89">
        <f t="shared" ref="AT2:AW2" si="1">SUBTOTAL(3,AT4:AT493)</f>
        <v>37</v>
      </c>
      <c r="AU2" s="89">
        <f t="shared" si="1"/>
        <v>12</v>
      </c>
      <c r="AV2" s="89">
        <f t="shared" si="1"/>
        <v>8</v>
      </c>
      <c r="AW2" s="89">
        <f t="shared" si="1"/>
        <v>20</v>
      </c>
    </row>
    <row r="3" spans="1:49" ht="63.75">
      <c r="A3" s="72">
        <v>0</v>
      </c>
      <c r="B3" s="72" t="s">
        <v>873</v>
      </c>
      <c r="C3" s="72" t="s">
        <v>598</v>
      </c>
      <c r="D3" s="72" t="s">
        <v>85</v>
      </c>
      <c r="E3" s="73" t="s">
        <v>730</v>
      </c>
      <c r="F3" s="73" t="s">
        <v>229</v>
      </c>
      <c r="G3" s="73" t="s">
        <v>86</v>
      </c>
      <c r="H3" s="73" t="s">
        <v>731</v>
      </c>
      <c r="I3" s="73" t="s">
        <v>874</v>
      </c>
      <c r="J3" s="73" t="s">
        <v>732</v>
      </c>
      <c r="K3" s="73" t="s">
        <v>88</v>
      </c>
      <c r="L3" s="73" t="s">
        <v>729</v>
      </c>
      <c r="M3" s="108" t="s">
        <v>734</v>
      </c>
      <c r="N3" s="107" t="s">
        <v>726</v>
      </c>
      <c r="O3" s="107" t="s">
        <v>727</v>
      </c>
      <c r="P3" s="107" t="s">
        <v>600</v>
      </c>
      <c r="Q3" s="107" t="s">
        <v>875</v>
      </c>
      <c r="R3" s="107" t="s">
        <v>876</v>
      </c>
      <c r="S3" s="72" t="s">
        <v>728</v>
      </c>
      <c r="T3" s="72" t="s">
        <v>601</v>
      </c>
      <c r="U3" s="97" t="s">
        <v>602</v>
      </c>
      <c r="V3" s="97" t="s">
        <v>603</v>
      </c>
      <c r="W3" s="97" t="s">
        <v>604</v>
      </c>
      <c r="X3" s="73" t="s">
        <v>90</v>
      </c>
      <c r="Y3" s="73" t="s">
        <v>91</v>
      </c>
      <c r="Z3" s="73" t="s">
        <v>92</v>
      </c>
      <c r="AA3" s="73" t="s">
        <v>93</v>
      </c>
      <c r="AB3" s="73" t="s">
        <v>94</v>
      </c>
      <c r="AC3" s="73" t="s">
        <v>95</v>
      </c>
      <c r="AD3" s="73" t="s">
        <v>96</v>
      </c>
      <c r="AE3" s="73" t="s">
        <v>80</v>
      </c>
      <c r="AF3" s="72" t="s">
        <v>735</v>
      </c>
      <c r="AG3" s="72" t="s">
        <v>736</v>
      </c>
      <c r="AH3" s="72" t="s">
        <v>737</v>
      </c>
      <c r="AI3" s="72" t="s">
        <v>738</v>
      </c>
      <c r="AJ3" s="72" t="s">
        <v>739</v>
      </c>
      <c r="AK3" s="72" t="s">
        <v>740</v>
      </c>
      <c r="AL3" s="72"/>
      <c r="AM3" s="72" t="s">
        <v>741</v>
      </c>
      <c r="AN3" s="102" t="s">
        <v>742</v>
      </c>
      <c r="AO3" s="72" t="s">
        <v>743</v>
      </c>
      <c r="AP3" s="103" t="s">
        <v>744</v>
      </c>
      <c r="AQ3" s="103" t="s">
        <v>745</v>
      </c>
      <c r="AR3" s="72" t="s">
        <v>746</v>
      </c>
      <c r="AS3" s="102" t="s">
        <v>85</v>
      </c>
      <c r="AT3" s="102" t="s">
        <v>747</v>
      </c>
      <c r="AU3" s="102" t="s">
        <v>748</v>
      </c>
      <c r="AV3" s="102" t="s">
        <v>749</v>
      </c>
      <c r="AW3" s="102" t="s">
        <v>750</v>
      </c>
    </row>
    <row r="4" spans="1:49" ht="45" customHeight="1">
      <c r="A4" s="153">
        <f>A3+1</f>
        <v>1</v>
      </c>
      <c r="B4" s="153" t="s">
        <v>57</v>
      </c>
      <c r="C4" s="153" t="s">
        <v>61</v>
      </c>
      <c r="D4" s="153" t="s">
        <v>653</v>
      </c>
      <c r="E4" s="69" t="s">
        <v>752</v>
      </c>
      <c r="F4" s="39">
        <v>2</v>
      </c>
      <c r="G4" s="141" t="s">
        <v>753</v>
      </c>
      <c r="H4" s="141" t="s">
        <v>754</v>
      </c>
      <c r="I4" s="141"/>
      <c r="J4" s="141" t="s">
        <v>26</v>
      </c>
      <c r="K4" s="141" t="s">
        <v>48</v>
      </c>
      <c r="L4" s="69"/>
      <c r="M4" s="141"/>
      <c r="N4" s="59">
        <v>4.5</v>
      </c>
      <c r="O4" s="59">
        <v>4.5</v>
      </c>
      <c r="P4" s="105" t="s">
        <v>34</v>
      </c>
      <c r="Q4" s="105" t="s">
        <v>34</v>
      </c>
      <c r="R4" s="105"/>
      <c r="S4" s="90">
        <v>45952</v>
      </c>
      <c r="T4" s="90">
        <v>45959</v>
      </c>
      <c r="U4" s="93" t="s">
        <v>654</v>
      </c>
      <c r="V4" s="94"/>
      <c r="W4" s="94"/>
      <c r="X4" s="29">
        <v>0</v>
      </c>
      <c r="Y4" s="145">
        <v>0</v>
      </c>
      <c r="Z4" s="145">
        <v>0</v>
      </c>
      <c r="AA4" s="145">
        <v>0</v>
      </c>
      <c r="AB4" s="145">
        <v>0</v>
      </c>
      <c r="AC4" s="145">
        <v>0</v>
      </c>
      <c r="AD4" s="145">
        <v>0</v>
      </c>
      <c r="AE4" s="142">
        <f t="shared" ref="AE4:AE15" si="2">AVERAGE(X4:AD4)</f>
        <v>0</v>
      </c>
      <c r="AF4" s="141"/>
      <c r="AG4" s="67"/>
      <c r="AH4" s="67"/>
      <c r="AI4" s="24"/>
      <c r="AJ4" s="24"/>
      <c r="AK4" s="24"/>
      <c r="AL4" s="71"/>
      <c r="AM4" s="69" t="s">
        <v>755</v>
      </c>
      <c r="AN4" s="141">
        <v>5</v>
      </c>
      <c r="AO4" s="141" t="s">
        <v>756</v>
      </c>
      <c r="AP4" s="141"/>
      <c r="AQ4" s="141"/>
      <c r="AR4" s="141"/>
      <c r="AS4" s="141"/>
      <c r="AT4" s="141" t="s">
        <v>757</v>
      </c>
      <c r="AU4" s="141"/>
      <c r="AV4" s="141"/>
      <c r="AW4" s="141"/>
    </row>
    <row r="5" spans="1:49" ht="45" customHeight="1">
      <c r="A5" s="153">
        <f t="shared" ref="A5:A68" si="3">A4+1</f>
        <v>2</v>
      </c>
      <c r="B5" s="153" t="s">
        <v>57</v>
      </c>
      <c r="C5" s="153" t="s">
        <v>61</v>
      </c>
      <c r="D5" s="28" t="s">
        <v>708</v>
      </c>
      <c r="E5" s="69" t="s">
        <v>758</v>
      </c>
      <c r="F5" s="39">
        <v>2</v>
      </c>
      <c r="G5" s="141" t="s">
        <v>753</v>
      </c>
      <c r="H5" s="141" t="s">
        <v>759</v>
      </c>
      <c r="I5" s="141"/>
      <c r="J5" s="141" t="s">
        <v>26</v>
      </c>
      <c r="K5" s="21"/>
      <c r="L5" s="69"/>
      <c r="M5" s="141"/>
      <c r="N5" s="60">
        <v>2.5</v>
      </c>
      <c r="O5" s="60">
        <v>5</v>
      </c>
      <c r="P5" s="105" t="s">
        <v>33</v>
      </c>
      <c r="Q5" s="105" t="s">
        <v>33</v>
      </c>
      <c r="R5" s="106"/>
      <c r="S5" s="90">
        <v>45950</v>
      </c>
      <c r="T5" s="90">
        <v>45953</v>
      </c>
      <c r="U5" s="93" t="s">
        <v>709</v>
      </c>
      <c r="V5" s="95" t="s">
        <v>710</v>
      </c>
      <c r="W5" s="95"/>
      <c r="X5" s="29">
        <v>0</v>
      </c>
      <c r="Y5" s="145">
        <v>0</v>
      </c>
      <c r="Z5" s="145">
        <v>0</v>
      </c>
      <c r="AA5" s="145">
        <v>0</v>
      </c>
      <c r="AB5" s="145">
        <v>0</v>
      </c>
      <c r="AC5" s="145">
        <v>0</v>
      </c>
      <c r="AD5" s="145">
        <v>0</v>
      </c>
      <c r="AE5" s="142">
        <f t="shared" si="2"/>
        <v>0</v>
      </c>
      <c r="AF5" s="141"/>
      <c r="AG5" s="67"/>
      <c r="AH5" s="67"/>
      <c r="AI5" s="24"/>
      <c r="AJ5" s="24"/>
      <c r="AK5" s="24"/>
      <c r="AL5" s="71"/>
      <c r="AM5" s="69" t="s">
        <v>760</v>
      </c>
      <c r="AN5" s="141">
        <v>5</v>
      </c>
      <c r="AO5" s="141" t="s">
        <v>761</v>
      </c>
      <c r="AP5" s="141"/>
      <c r="AQ5" s="141"/>
      <c r="AR5" s="141"/>
      <c r="AS5" s="141" t="s">
        <v>757</v>
      </c>
      <c r="AT5" s="141" t="s">
        <v>757</v>
      </c>
      <c r="AU5" s="141" t="s">
        <v>757</v>
      </c>
      <c r="AV5" s="141"/>
      <c r="AW5" s="141"/>
    </row>
    <row r="6" spans="1:49" ht="45" customHeight="1">
      <c r="A6" s="153">
        <f t="shared" si="3"/>
        <v>3</v>
      </c>
      <c r="B6" s="153" t="s">
        <v>57</v>
      </c>
      <c r="C6" s="153" t="s">
        <v>61</v>
      </c>
      <c r="D6" s="28" t="s">
        <v>670</v>
      </c>
      <c r="E6" s="69" t="s">
        <v>763</v>
      </c>
      <c r="F6" s="39">
        <v>2</v>
      </c>
      <c r="G6" s="141" t="s">
        <v>764</v>
      </c>
      <c r="H6" s="141" t="s">
        <v>765</v>
      </c>
      <c r="I6" s="141"/>
      <c r="J6" s="141" t="s">
        <v>22</v>
      </c>
      <c r="K6" s="141"/>
      <c r="L6" s="69"/>
      <c r="M6" s="141"/>
      <c r="N6" s="59">
        <v>1</v>
      </c>
      <c r="O6" s="59">
        <v>4</v>
      </c>
      <c r="P6" s="105" t="s">
        <v>34</v>
      </c>
      <c r="Q6" s="105" t="s">
        <v>34</v>
      </c>
      <c r="R6" s="105"/>
      <c r="S6" s="90"/>
      <c r="T6" s="90"/>
      <c r="U6" s="93"/>
      <c r="V6" s="96"/>
      <c r="W6" s="96"/>
      <c r="X6" s="29">
        <v>0</v>
      </c>
      <c r="Y6" s="145">
        <v>0</v>
      </c>
      <c r="Z6" s="145">
        <v>0</v>
      </c>
      <c r="AA6" s="145">
        <v>0</v>
      </c>
      <c r="AB6" s="145">
        <v>0</v>
      </c>
      <c r="AC6" s="145">
        <v>0</v>
      </c>
      <c r="AD6" s="145">
        <v>0</v>
      </c>
      <c r="AE6" s="142">
        <f t="shared" si="2"/>
        <v>0</v>
      </c>
      <c r="AF6" s="141"/>
      <c r="AG6" s="67"/>
      <c r="AH6" s="67"/>
      <c r="AI6" s="24"/>
      <c r="AJ6" s="24"/>
      <c r="AK6" s="24"/>
      <c r="AL6" s="71"/>
      <c r="AM6" s="69" t="s">
        <v>766</v>
      </c>
      <c r="AN6" s="141">
        <v>5</v>
      </c>
      <c r="AO6" s="141" t="s">
        <v>756</v>
      </c>
      <c r="AP6" s="141"/>
      <c r="AQ6" s="141"/>
      <c r="AR6" s="141"/>
      <c r="AS6" s="141" t="s">
        <v>757</v>
      </c>
      <c r="AT6" s="141" t="s">
        <v>757</v>
      </c>
      <c r="AU6" s="141"/>
      <c r="AV6" s="141"/>
      <c r="AW6" s="141"/>
    </row>
    <row r="7" spans="1:49" ht="45" customHeight="1">
      <c r="A7" s="153">
        <f t="shared" ref="A7:A40" si="4">A6+1</f>
        <v>4</v>
      </c>
      <c r="B7" s="153" t="s">
        <v>57</v>
      </c>
      <c r="C7" s="153" t="s">
        <v>65</v>
      </c>
      <c r="D7" s="28" t="s">
        <v>665</v>
      </c>
      <c r="E7" s="69"/>
      <c r="F7" s="39">
        <v>1</v>
      </c>
      <c r="G7" s="141" t="s">
        <v>123</v>
      </c>
      <c r="H7" s="141" t="s">
        <v>797</v>
      </c>
      <c r="I7" s="141"/>
      <c r="J7" s="141" t="s">
        <v>14</v>
      </c>
      <c r="K7" s="141" t="s">
        <v>48</v>
      </c>
      <c r="L7" s="69"/>
      <c r="M7" s="141"/>
      <c r="N7" s="59">
        <v>0</v>
      </c>
      <c r="O7" s="59">
        <v>0</v>
      </c>
      <c r="P7" s="105" t="s">
        <v>31</v>
      </c>
      <c r="Q7" s="105" t="s">
        <v>31</v>
      </c>
      <c r="R7" s="105" t="s">
        <v>877</v>
      </c>
      <c r="S7" s="90">
        <v>45944</v>
      </c>
      <c r="T7" s="90">
        <v>45947</v>
      </c>
      <c r="U7" s="93" t="s">
        <v>666</v>
      </c>
      <c r="V7" s="96" t="s">
        <v>878</v>
      </c>
      <c r="W7" s="96"/>
      <c r="X7" s="29">
        <v>0</v>
      </c>
      <c r="Y7" s="145">
        <v>0</v>
      </c>
      <c r="Z7" s="145">
        <v>0</v>
      </c>
      <c r="AA7" s="145">
        <v>0</v>
      </c>
      <c r="AB7" s="145">
        <v>0</v>
      </c>
      <c r="AC7" s="145">
        <v>0</v>
      </c>
      <c r="AD7" s="145">
        <v>0</v>
      </c>
      <c r="AE7" s="142">
        <f t="shared" si="2"/>
        <v>0</v>
      </c>
      <c r="AF7" s="141"/>
      <c r="AG7" s="67"/>
      <c r="AH7" s="67"/>
      <c r="AI7" s="24"/>
      <c r="AJ7" s="24"/>
      <c r="AK7" s="24"/>
      <c r="AL7" s="71"/>
      <c r="AM7" s="69" t="s">
        <v>814</v>
      </c>
      <c r="AN7" s="141">
        <v>70</v>
      </c>
      <c r="AO7" s="141" t="s">
        <v>812</v>
      </c>
      <c r="AP7" s="141"/>
      <c r="AQ7" s="141"/>
      <c r="AR7" s="141"/>
      <c r="AS7" s="141" t="s">
        <v>757</v>
      </c>
      <c r="AT7" s="141" t="s">
        <v>757</v>
      </c>
      <c r="AU7" s="141"/>
      <c r="AV7" s="141" t="s">
        <v>757</v>
      </c>
      <c r="AW7" s="141" t="s">
        <v>757</v>
      </c>
    </row>
    <row r="8" spans="1:49" ht="45" customHeight="1">
      <c r="A8" s="153">
        <f t="shared" si="4"/>
        <v>5</v>
      </c>
      <c r="B8" s="153" t="s">
        <v>57</v>
      </c>
      <c r="C8" s="153" t="s">
        <v>61</v>
      </c>
      <c r="D8" s="28" t="s">
        <v>611</v>
      </c>
      <c r="E8" s="69" t="s">
        <v>772</v>
      </c>
      <c r="F8" s="39">
        <v>2</v>
      </c>
      <c r="G8" s="141" t="s">
        <v>753</v>
      </c>
      <c r="H8" s="141" t="s">
        <v>770</v>
      </c>
      <c r="I8" s="141"/>
      <c r="J8" s="141" t="s">
        <v>26</v>
      </c>
      <c r="K8" s="141"/>
      <c r="L8" s="69"/>
      <c r="M8" s="141"/>
      <c r="N8" s="59">
        <v>4.5</v>
      </c>
      <c r="O8" s="59">
        <v>4.5</v>
      </c>
      <c r="P8" s="105" t="s">
        <v>34</v>
      </c>
      <c r="Q8" s="105" t="s">
        <v>34</v>
      </c>
      <c r="R8" s="105"/>
      <c r="S8" s="90">
        <v>45909</v>
      </c>
      <c r="T8" s="90">
        <v>45965</v>
      </c>
      <c r="U8" s="93" t="s">
        <v>612</v>
      </c>
      <c r="V8" s="96" t="s">
        <v>613</v>
      </c>
      <c r="W8" s="96" t="s">
        <v>614</v>
      </c>
      <c r="X8" s="29">
        <v>0</v>
      </c>
      <c r="Y8" s="145">
        <v>0</v>
      </c>
      <c r="Z8" s="145">
        <v>0</v>
      </c>
      <c r="AA8" s="145">
        <v>0</v>
      </c>
      <c r="AB8" s="145">
        <v>0</v>
      </c>
      <c r="AC8" s="145">
        <v>0</v>
      </c>
      <c r="AD8" s="145">
        <v>0</v>
      </c>
      <c r="AE8" s="142">
        <f t="shared" si="2"/>
        <v>0</v>
      </c>
      <c r="AF8" s="141"/>
      <c r="AG8" s="67"/>
      <c r="AH8" s="67"/>
      <c r="AI8" s="24"/>
      <c r="AJ8" s="24"/>
      <c r="AK8" s="24"/>
      <c r="AL8" s="71"/>
      <c r="AM8" s="69" t="s">
        <v>773</v>
      </c>
      <c r="AN8" s="141">
        <v>2</v>
      </c>
      <c r="AO8" s="141" t="s">
        <v>756</v>
      </c>
      <c r="AP8" s="141"/>
      <c r="AQ8" s="141"/>
      <c r="AR8" s="141"/>
      <c r="AS8" s="141" t="s">
        <v>757</v>
      </c>
      <c r="AT8" s="141" t="s">
        <v>757</v>
      </c>
      <c r="AU8" s="141"/>
      <c r="AV8" s="141"/>
      <c r="AW8" s="141" t="s">
        <v>757</v>
      </c>
    </row>
    <row r="9" spans="1:49" ht="45" customHeight="1">
      <c r="A9" s="153">
        <f t="shared" si="4"/>
        <v>6</v>
      </c>
      <c r="B9" s="153" t="s">
        <v>57</v>
      </c>
      <c r="C9" s="153" t="s">
        <v>61</v>
      </c>
      <c r="D9" s="28" t="s">
        <v>693</v>
      </c>
      <c r="E9" s="69" t="s">
        <v>775</v>
      </c>
      <c r="F9" s="39">
        <v>2</v>
      </c>
      <c r="G9" s="141" t="s">
        <v>764</v>
      </c>
      <c r="H9" s="141" t="s">
        <v>770</v>
      </c>
      <c r="I9" s="141"/>
      <c r="J9" s="141" t="s">
        <v>26</v>
      </c>
      <c r="K9" s="141"/>
      <c r="L9" s="69"/>
      <c r="M9" s="141"/>
      <c r="N9" s="59">
        <v>3</v>
      </c>
      <c r="O9" s="59">
        <v>4</v>
      </c>
      <c r="P9" s="105" t="s">
        <v>33</v>
      </c>
      <c r="Q9" s="105" t="s">
        <v>33</v>
      </c>
      <c r="R9" s="105"/>
      <c r="S9" s="90">
        <v>45939</v>
      </c>
      <c r="T9" s="90">
        <v>45954</v>
      </c>
      <c r="U9" s="93" t="s">
        <v>694</v>
      </c>
      <c r="V9" s="96" t="s">
        <v>695</v>
      </c>
      <c r="W9" s="96"/>
      <c r="X9" s="29">
        <v>0</v>
      </c>
      <c r="Y9" s="145">
        <v>0</v>
      </c>
      <c r="Z9" s="145">
        <v>0</v>
      </c>
      <c r="AA9" s="145">
        <v>0</v>
      </c>
      <c r="AB9" s="145">
        <v>0</v>
      </c>
      <c r="AC9" s="145">
        <v>0</v>
      </c>
      <c r="AD9" s="145">
        <v>0</v>
      </c>
      <c r="AE9" s="142">
        <f t="shared" si="2"/>
        <v>0</v>
      </c>
      <c r="AF9" s="141"/>
      <c r="AG9" s="67"/>
      <c r="AH9" s="67"/>
      <c r="AI9" s="24"/>
      <c r="AJ9" s="24"/>
      <c r="AK9" s="24"/>
      <c r="AL9" s="71"/>
      <c r="AM9" s="69" t="s">
        <v>776</v>
      </c>
      <c r="AN9" s="141">
        <v>5</v>
      </c>
      <c r="AO9" s="141" t="s">
        <v>761</v>
      </c>
      <c r="AP9" s="141"/>
      <c r="AQ9" s="141"/>
      <c r="AR9" s="141"/>
      <c r="AS9" s="141" t="s">
        <v>757</v>
      </c>
      <c r="AT9" s="141" t="s">
        <v>757</v>
      </c>
      <c r="AU9" s="141"/>
      <c r="AV9" s="141"/>
      <c r="AW9" s="141" t="s">
        <v>757</v>
      </c>
    </row>
    <row r="10" spans="1:49" ht="45" customHeight="1">
      <c r="A10" s="153">
        <f t="shared" si="4"/>
        <v>7</v>
      </c>
      <c r="B10" s="153" t="s">
        <v>57</v>
      </c>
      <c r="C10" s="153" t="s">
        <v>61</v>
      </c>
      <c r="D10" s="28" t="s">
        <v>617</v>
      </c>
      <c r="E10" s="69" t="s">
        <v>775</v>
      </c>
      <c r="F10" s="39">
        <v>2</v>
      </c>
      <c r="G10" s="141" t="s">
        <v>150</v>
      </c>
      <c r="H10" s="141" t="s">
        <v>764</v>
      </c>
      <c r="I10" s="141"/>
      <c r="J10" s="141" t="s">
        <v>26</v>
      </c>
      <c r="K10" s="141"/>
      <c r="L10" s="69"/>
      <c r="M10" s="141"/>
      <c r="N10" s="59">
        <v>4</v>
      </c>
      <c r="O10" s="59">
        <v>3.5</v>
      </c>
      <c r="P10" s="105" t="s">
        <v>32</v>
      </c>
      <c r="Q10" s="105" t="s">
        <v>32</v>
      </c>
      <c r="R10" s="105" t="s">
        <v>879</v>
      </c>
      <c r="S10" s="90">
        <v>45947</v>
      </c>
      <c r="T10" s="90">
        <v>45951</v>
      </c>
      <c r="U10" s="93" t="s">
        <v>618</v>
      </c>
      <c r="V10" s="96" t="s">
        <v>619</v>
      </c>
      <c r="W10" s="96"/>
      <c r="X10" s="29">
        <v>0</v>
      </c>
      <c r="Y10" s="145">
        <v>0</v>
      </c>
      <c r="Z10" s="145">
        <v>0</v>
      </c>
      <c r="AA10" s="145">
        <v>0</v>
      </c>
      <c r="AB10" s="145">
        <v>0</v>
      </c>
      <c r="AC10" s="145">
        <v>0</v>
      </c>
      <c r="AD10" s="145">
        <v>0</v>
      </c>
      <c r="AE10" s="142">
        <f t="shared" si="2"/>
        <v>0</v>
      </c>
      <c r="AF10" s="141"/>
      <c r="AG10" s="67"/>
      <c r="AH10" s="67"/>
      <c r="AI10" s="24"/>
      <c r="AJ10" s="24"/>
      <c r="AK10" s="24"/>
      <c r="AL10" s="71"/>
      <c r="AM10" s="69" t="s">
        <v>778</v>
      </c>
      <c r="AN10" s="141">
        <v>5</v>
      </c>
      <c r="AO10" s="141" t="s">
        <v>761</v>
      </c>
      <c r="AP10" s="141"/>
      <c r="AQ10" s="141"/>
      <c r="AR10" s="141"/>
      <c r="AS10" s="141"/>
      <c r="AT10" s="141" t="s">
        <v>757</v>
      </c>
      <c r="AU10" s="141"/>
      <c r="AV10" s="141"/>
      <c r="AW10" s="141" t="s">
        <v>757</v>
      </c>
    </row>
    <row r="11" spans="1:49" ht="45" customHeight="1">
      <c r="A11" s="153">
        <f t="shared" si="4"/>
        <v>8</v>
      </c>
      <c r="B11" s="153" t="s">
        <v>57</v>
      </c>
      <c r="C11" s="153" t="s">
        <v>61</v>
      </c>
      <c r="D11" s="28" t="s">
        <v>615</v>
      </c>
      <c r="E11" s="69" t="s">
        <v>780</v>
      </c>
      <c r="F11" s="39">
        <v>3</v>
      </c>
      <c r="G11" s="141" t="s">
        <v>764</v>
      </c>
      <c r="H11" s="141" t="s">
        <v>770</v>
      </c>
      <c r="I11" s="141"/>
      <c r="J11" s="141" t="s">
        <v>14</v>
      </c>
      <c r="K11" s="141"/>
      <c r="L11" s="69"/>
      <c r="M11" s="141"/>
      <c r="N11" s="59">
        <v>5</v>
      </c>
      <c r="O11" s="59">
        <v>5</v>
      </c>
      <c r="P11" s="105" t="s">
        <v>34</v>
      </c>
      <c r="Q11" s="105" t="s">
        <v>34</v>
      </c>
      <c r="R11" s="105"/>
      <c r="S11" s="90">
        <v>45933</v>
      </c>
      <c r="T11" s="90">
        <v>45954</v>
      </c>
      <c r="U11" s="93" t="s">
        <v>616</v>
      </c>
      <c r="V11" s="96"/>
      <c r="W11" s="96"/>
      <c r="X11" s="29">
        <v>0</v>
      </c>
      <c r="Y11" s="145">
        <v>0</v>
      </c>
      <c r="Z11" s="145">
        <v>0</v>
      </c>
      <c r="AA11" s="145">
        <v>0</v>
      </c>
      <c r="AB11" s="145">
        <v>0</v>
      </c>
      <c r="AC11" s="145">
        <v>0</v>
      </c>
      <c r="AD11" s="145">
        <v>0</v>
      </c>
      <c r="AE11" s="142">
        <f t="shared" si="2"/>
        <v>0</v>
      </c>
      <c r="AF11" s="141"/>
      <c r="AG11" s="67"/>
      <c r="AH11" s="67"/>
      <c r="AI11" s="24"/>
      <c r="AJ11" s="24"/>
      <c r="AK11" s="24"/>
      <c r="AL11" s="71"/>
      <c r="AM11" s="69" t="s">
        <v>781</v>
      </c>
      <c r="AN11" s="141"/>
      <c r="AO11" s="141"/>
      <c r="AP11" s="141">
        <v>150</v>
      </c>
      <c r="AQ11" s="141"/>
      <c r="AR11" s="141"/>
      <c r="AS11" s="141"/>
      <c r="AT11" s="141" t="s">
        <v>757</v>
      </c>
      <c r="AU11" s="141" t="s">
        <v>757</v>
      </c>
      <c r="AV11" s="141" t="s">
        <v>757</v>
      </c>
      <c r="AW11" s="141"/>
    </row>
    <row r="12" spans="1:49" ht="45" customHeight="1">
      <c r="A12" s="153">
        <f t="shared" si="4"/>
        <v>9</v>
      </c>
      <c r="B12" s="153" t="s">
        <v>57</v>
      </c>
      <c r="C12" s="153" t="s">
        <v>65</v>
      </c>
      <c r="D12" s="28" t="s">
        <v>125</v>
      </c>
      <c r="E12" s="69"/>
      <c r="F12" s="39">
        <v>3</v>
      </c>
      <c r="G12" s="141" t="s">
        <v>123</v>
      </c>
      <c r="H12" s="141" t="s">
        <v>797</v>
      </c>
      <c r="I12" s="141"/>
      <c r="J12" s="141" t="s">
        <v>26</v>
      </c>
      <c r="K12" s="141"/>
      <c r="L12" s="69"/>
      <c r="M12" s="141"/>
      <c r="N12" s="59">
        <v>0</v>
      </c>
      <c r="O12" s="59">
        <v>0</v>
      </c>
      <c r="P12" s="105" t="s">
        <v>31</v>
      </c>
      <c r="Q12" s="105" t="s">
        <v>31</v>
      </c>
      <c r="R12" s="105"/>
      <c r="S12" s="90">
        <v>45944</v>
      </c>
      <c r="T12" s="90">
        <v>45951</v>
      </c>
      <c r="U12" s="93" t="s">
        <v>636</v>
      </c>
      <c r="V12" s="96" t="s">
        <v>637</v>
      </c>
      <c r="W12" s="96"/>
      <c r="X12" s="29">
        <v>0</v>
      </c>
      <c r="Y12" s="145">
        <v>0</v>
      </c>
      <c r="Z12" s="145">
        <v>0</v>
      </c>
      <c r="AA12" s="145">
        <v>0</v>
      </c>
      <c r="AB12" s="145">
        <v>0</v>
      </c>
      <c r="AC12" s="145">
        <v>0</v>
      </c>
      <c r="AD12" s="145">
        <v>0</v>
      </c>
      <c r="AE12" s="142">
        <f t="shared" si="2"/>
        <v>0</v>
      </c>
      <c r="AF12" s="141"/>
      <c r="AG12" s="67"/>
      <c r="AH12" s="67"/>
      <c r="AI12" s="24"/>
      <c r="AJ12" s="24"/>
      <c r="AK12" s="24"/>
      <c r="AL12" s="71"/>
      <c r="AM12" s="69" t="s">
        <v>819</v>
      </c>
      <c r="AN12" s="141">
        <v>2</v>
      </c>
      <c r="AO12" s="141" t="s">
        <v>761</v>
      </c>
      <c r="AP12" s="141"/>
      <c r="AQ12" s="141"/>
      <c r="AR12" s="141"/>
      <c r="AS12" s="141"/>
      <c r="AT12" s="141" t="s">
        <v>757</v>
      </c>
      <c r="AU12" s="141"/>
      <c r="AV12" s="141"/>
      <c r="AW12" s="141" t="s">
        <v>757</v>
      </c>
    </row>
    <row r="13" spans="1:49" ht="45" customHeight="1">
      <c r="A13" s="153">
        <f t="shared" si="4"/>
        <v>10</v>
      </c>
      <c r="B13" s="153" t="s">
        <v>57</v>
      </c>
      <c r="C13" s="153" t="s">
        <v>61</v>
      </c>
      <c r="D13" s="28" t="s">
        <v>633</v>
      </c>
      <c r="E13" s="69" t="s">
        <v>787</v>
      </c>
      <c r="F13" s="39">
        <v>3</v>
      </c>
      <c r="G13" s="141" t="s">
        <v>764</v>
      </c>
      <c r="H13" s="141" t="s">
        <v>770</v>
      </c>
      <c r="I13" s="141"/>
      <c r="J13" s="141" t="s">
        <v>14</v>
      </c>
      <c r="K13" s="141"/>
      <c r="L13" s="69"/>
      <c r="M13" s="141"/>
      <c r="N13" s="59">
        <v>4</v>
      </c>
      <c r="O13" s="59">
        <v>2</v>
      </c>
      <c r="P13" s="105" t="s">
        <v>34</v>
      </c>
      <c r="Q13" s="105" t="s">
        <v>31</v>
      </c>
      <c r="R13" s="105"/>
      <c r="S13" s="90">
        <v>45936</v>
      </c>
      <c r="T13" s="90">
        <v>45946</v>
      </c>
      <c r="U13" s="93" t="s">
        <v>634</v>
      </c>
      <c r="V13" s="96" t="s">
        <v>635</v>
      </c>
      <c r="W13" s="96"/>
      <c r="X13" s="29">
        <v>0</v>
      </c>
      <c r="Y13" s="145">
        <v>0</v>
      </c>
      <c r="Z13" s="145">
        <v>0</v>
      </c>
      <c r="AA13" s="145">
        <v>0</v>
      </c>
      <c r="AB13" s="145">
        <v>0</v>
      </c>
      <c r="AC13" s="145">
        <v>0</v>
      </c>
      <c r="AD13" s="145">
        <v>0</v>
      </c>
      <c r="AE13" s="142">
        <f t="shared" si="2"/>
        <v>0</v>
      </c>
      <c r="AF13" s="141"/>
      <c r="AG13" s="67"/>
      <c r="AH13" s="67"/>
      <c r="AI13" s="24"/>
      <c r="AJ13" s="24"/>
      <c r="AK13" s="24"/>
      <c r="AL13" s="71"/>
      <c r="AM13" s="69" t="s">
        <v>788</v>
      </c>
      <c r="AN13" s="141"/>
      <c r="AO13" s="141"/>
      <c r="AP13" s="141">
        <v>35</v>
      </c>
      <c r="AQ13" s="141"/>
      <c r="AR13" s="141"/>
      <c r="AS13" s="141"/>
      <c r="AT13" s="141" t="s">
        <v>757</v>
      </c>
      <c r="AU13" s="141" t="s">
        <v>757</v>
      </c>
      <c r="AV13" s="141" t="s">
        <v>757</v>
      </c>
      <c r="AW13" s="141"/>
    </row>
    <row r="14" spans="1:49" ht="45" customHeight="1">
      <c r="A14" s="153">
        <f t="shared" si="4"/>
        <v>11</v>
      </c>
      <c r="B14" s="153" t="s">
        <v>57</v>
      </c>
      <c r="C14" s="153" t="s">
        <v>61</v>
      </c>
      <c r="D14" s="28" t="s">
        <v>643</v>
      </c>
      <c r="E14" s="69" t="s">
        <v>789</v>
      </c>
      <c r="F14" s="39">
        <v>2</v>
      </c>
      <c r="G14" s="141" t="s">
        <v>764</v>
      </c>
      <c r="H14" s="141" t="s">
        <v>770</v>
      </c>
      <c r="I14" s="141"/>
      <c r="J14" s="141" t="s">
        <v>6</v>
      </c>
      <c r="K14" s="141"/>
      <c r="L14" s="69"/>
      <c r="M14" s="141" t="s">
        <v>880</v>
      </c>
      <c r="N14" s="59">
        <v>3</v>
      </c>
      <c r="O14" s="59">
        <v>3</v>
      </c>
      <c r="P14" s="105" t="s">
        <v>33</v>
      </c>
      <c r="Q14" s="105" t="s">
        <v>33</v>
      </c>
      <c r="R14" s="105"/>
      <c r="S14" s="90">
        <v>45938</v>
      </c>
      <c r="T14" s="90">
        <v>45947</v>
      </c>
      <c r="U14" s="93" t="s">
        <v>644</v>
      </c>
      <c r="V14" s="96" t="s">
        <v>645</v>
      </c>
      <c r="W14" s="96"/>
      <c r="X14" s="29">
        <v>0</v>
      </c>
      <c r="Y14" s="145">
        <v>0</v>
      </c>
      <c r="Z14" s="145">
        <v>0</v>
      </c>
      <c r="AA14" s="145">
        <v>0</v>
      </c>
      <c r="AB14" s="145">
        <v>0</v>
      </c>
      <c r="AC14" s="145">
        <v>0</v>
      </c>
      <c r="AD14" s="145">
        <v>0</v>
      </c>
      <c r="AE14" s="142">
        <f t="shared" si="2"/>
        <v>0</v>
      </c>
      <c r="AF14" s="141"/>
      <c r="AG14" s="67"/>
      <c r="AH14" s="67"/>
      <c r="AI14" s="24"/>
      <c r="AJ14" s="24"/>
      <c r="AK14" s="24"/>
      <c r="AL14" s="71"/>
      <c r="AM14" s="69" t="s">
        <v>790</v>
      </c>
      <c r="AN14" s="141"/>
      <c r="AO14" s="141"/>
      <c r="AP14" s="141"/>
      <c r="AQ14" s="141">
        <v>35</v>
      </c>
      <c r="AR14" s="86">
        <v>45931</v>
      </c>
      <c r="AS14" s="141" t="s">
        <v>757</v>
      </c>
      <c r="AT14" s="141" t="s">
        <v>757</v>
      </c>
      <c r="AU14" s="141" t="s">
        <v>757</v>
      </c>
      <c r="AV14" s="141" t="s">
        <v>757</v>
      </c>
      <c r="AW14" s="141"/>
    </row>
    <row r="15" spans="1:49" ht="45" customHeight="1">
      <c r="A15" s="153">
        <f t="shared" si="4"/>
        <v>12</v>
      </c>
      <c r="B15" s="153" t="s">
        <v>57</v>
      </c>
      <c r="C15" s="153" t="s">
        <v>61</v>
      </c>
      <c r="D15" s="28" t="s">
        <v>703</v>
      </c>
      <c r="E15" s="69" t="s">
        <v>791</v>
      </c>
      <c r="F15" s="39">
        <v>2</v>
      </c>
      <c r="G15" s="141" t="s">
        <v>764</v>
      </c>
      <c r="H15" s="141" t="s">
        <v>770</v>
      </c>
      <c r="I15" s="141"/>
      <c r="J15" s="141" t="s">
        <v>6</v>
      </c>
      <c r="K15" s="141"/>
      <c r="L15" s="69"/>
      <c r="M15" s="141"/>
      <c r="N15" s="59">
        <v>2</v>
      </c>
      <c r="O15" s="59">
        <v>2</v>
      </c>
      <c r="P15" s="105"/>
      <c r="Q15" s="105"/>
      <c r="R15" s="105"/>
      <c r="S15" s="90">
        <v>45915</v>
      </c>
      <c r="T15" s="90">
        <v>45952</v>
      </c>
      <c r="U15" s="93"/>
      <c r="V15" s="96" t="s">
        <v>704</v>
      </c>
      <c r="W15" s="96"/>
      <c r="X15" s="29">
        <v>0</v>
      </c>
      <c r="Y15" s="145">
        <v>0</v>
      </c>
      <c r="Z15" s="145">
        <v>0</v>
      </c>
      <c r="AA15" s="145">
        <v>0</v>
      </c>
      <c r="AB15" s="145">
        <v>0</v>
      </c>
      <c r="AC15" s="145">
        <v>0</v>
      </c>
      <c r="AD15" s="145">
        <v>0</v>
      </c>
      <c r="AE15" s="142">
        <f t="shared" si="2"/>
        <v>0</v>
      </c>
      <c r="AF15" s="141"/>
      <c r="AG15" s="67"/>
      <c r="AH15" s="67"/>
      <c r="AI15" s="24"/>
      <c r="AJ15" s="24"/>
      <c r="AK15" s="24"/>
      <c r="AL15" s="71"/>
      <c r="AM15" s="69" t="s">
        <v>792</v>
      </c>
      <c r="AN15" s="141"/>
      <c r="AO15" s="141"/>
      <c r="AP15" s="141"/>
      <c r="AQ15" s="141">
        <v>35</v>
      </c>
      <c r="AR15" s="86">
        <v>46023</v>
      </c>
      <c r="AS15" s="141" t="s">
        <v>757</v>
      </c>
      <c r="AT15" s="141" t="s">
        <v>757</v>
      </c>
      <c r="AU15" s="141" t="s">
        <v>757</v>
      </c>
      <c r="AV15" s="141"/>
      <c r="AW15" s="141"/>
    </row>
    <row r="16" spans="1:49" ht="45" customHeight="1">
      <c r="A16" s="153">
        <f t="shared" si="4"/>
        <v>13</v>
      </c>
      <c r="B16" s="153" t="s">
        <v>57</v>
      </c>
      <c r="C16" s="153" t="s">
        <v>61</v>
      </c>
      <c r="D16" s="28" t="s">
        <v>711</v>
      </c>
      <c r="E16" s="69" t="s">
        <v>711</v>
      </c>
      <c r="F16" s="39">
        <v>3</v>
      </c>
      <c r="G16" s="141" t="s">
        <v>764</v>
      </c>
      <c r="H16" s="141" t="s">
        <v>765</v>
      </c>
      <c r="I16" s="141"/>
      <c r="J16" s="141" t="s">
        <v>26</v>
      </c>
      <c r="K16" s="141"/>
      <c r="L16" s="69"/>
      <c r="M16" s="141"/>
      <c r="N16" s="59"/>
      <c r="O16" s="59"/>
      <c r="P16" s="105"/>
      <c r="Q16" s="105"/>
      <c r="R16" s="105"/>
      <c r="S16" s="90">
        <v>45937</v>
      </c>
      <c r="T16" s="90"/>
      <c r="U16" s="93"/>
      <c r="V16" s="110" t="s">
        <v>712</v>
      </c>
      <c r="W16" s="96"/>
      <c r="X16" s="29"/>
      <c r="Y16" s="145"/>
      <c r="Z16" s="145"/>
      <c r="AA16" s="145"/>
      <c r="AB16" s="145"/>
      <c r="AC16" s="145"/>
      <c r="AD16" s="145"/>
      <c r="AE16" s="142"/>
      <c r="AF16" s="141"/>
      <c r="AG16" s="67"/>
      <c r="AH16" s="67"/>
      <c r="AI16" s="24"/>
      <c r="AJ16" s="24"/>
      <c r="AK16" s="24"/>
      <c r="AL16" s="71"/>
      <c r="AM16" s="69"/>
      <c r="AN16" s="141">
        <v>5</v>
      </c>
      <c r="AO16" s="141"/>
      <c r="AP16" s="141"/>
      <c r="AQ16" s="141"/>
      <c r="AR16" s="86"/>
      <c r="AS16" s="141" t="s">
        <v>757</v>
      </c>
      <c r="AT16" s="141" t="s">
        <v>757</v>
      </c>
      <c r="AU16" s="141"/>
      <c r="AV16" s="141"/>
      <c r="AW16" s="141" t="s">
        <v>757</v>
      </c>
    </row>
    <row r="17" spans="1:49" ht="45" customHeight="1">
      <c r="A17" s="153">
        <f t="shared" si="4"/>
        <v>14</v>
      </c>
      <c r="B17" s="153" t="s">
        <v>57</v>
      </c>
      <c r="C17" s="153" t="s">
        <v>61</v>
      </c>
      <c r="D17" s="28" t="s">
        <v>630</v>
      </c>
      <c r="E17" s="69" t="s">
        <v>793</v>
      </c>
      <c r="F17" s="39">
        <v>1</v>
      </c>
      <c r="G17" s="141" t="s">
        <v>794</v>
      </c>
      <c r="H17" s="141" t="s">
        <v>765</v>
      </c>
      <c r="I17" s="141"/>
      <c r="J17" s="141" t="s">
        <v>6</v>
      </c>
      <c r="K17" s="21"/>
      <c r="L17" s="69"/>
      <c r="M17" s="141"/>
      <c r="N17" s="59">
        <v>2</v>
      </c>
      <c r="O17" s="59">
        <v>4</v>
      </c>
      <c r="P17" s="105" t="s">
        <v>32</v>
      </c>
      <c r="Q17" s="105" t="s">
        <v>32</v>
      </c>
      <c r="R17" s="105"/>
      <c r="S17" s="90">
        <v>45952</v>
      </c>
      <c r="T17" s="90">
        <v>45952</v>
      </c>
      <c r="U17" s="93" t="s">
        <v>631</v>
      </c>
      <c r="V17" s="96" t="s">
        <v>632</v>
      </c>
      <c r="W17" s="96"/>
      <c r="X17" s="29">
        <v>0</v>
      </c>
      <c r="Y17" s="145">
        <v>0</v>
      </c>
      <c r="Z17" s="145">
        <v>0</v>
      </c>
      <c r="AA17" s="145">
        <v>0</v>
      </c>
      <c r="AB17" s="145">
        <v>0</v>
      </c>
      <c r="AC17" s="145">
        <v>0</v>
      </c>
      <c r="AD17" s="145">
        <v>0</v>
      </c>
      <c r="AE17" s="142">
        <f t="shared" ref="AE17:AE48" si="5">AVERAGE(X17:AD17)</f>
        <v>0</v>
      </c>
      <c r="AF17" s="141"/>
      <c r="AG17" s="67"/>
      <c r="AH17" s="67"/>
      <c r="AI17" s="24"/>
      <c r="AJ17" s="24"/>
      <c r="AK17" s="24"/>
      <c r="AL17" s="71"/>
      <c r="AM17" s="69" t="s">
        <v>795</v>
      </c>
      <c r="AN17" s="141"/>
      <c r="AO17" s="141"/>
      <c r="AP17" s="141"/>
      <c r="AQ17" s="141">
        <v>40</v>
      </c>
      <c r="AR17" s="86">
        <v>45931</v>
      </c>
      <c r="AS17" s="141" t="s">
        <v>757</v>
      </c>
      <c r="AT17" s="141"/>
      <c r="AU17" s="141"/>
      <c r="AV17" s="141"/>
      <c r="AW17" s="141" t="s">
        <v>757</v>
      </c>
    </row>
    <row r="18" spans="1:49" ht="45" customHeight="1">
      <c r="A18" s="153">
        <f t="shared" si="4"/>
        <v>15</v>
      </c>
      <c r="B18" s="153" t="s">
        <v>57</v>
      </c>
      <c r="C18" s="153" t="s">
        <v>61</v>
      </c>
      <c r="D18" s="28" t="s">
        <v>639</v>
      </c>
      <c r="E18" s="69" t="s">
        <v>796</v>
      </c>
      <c r="F18" s="39">
        <v>3</v>
      </c>
      <c r="G18" s="141" t="s">
        <v>794</v>
      </c>
      <c r="H18" s="141" t="s">
        <v>797</v>
      </c>
      <c r="I18" s="141"/>
      <c r="J18" s="141" t="s">
        <v>6</v>
      </c>
      <c r="K18" s="21"/>
      <c r="L18" s="69"/>
      <c r="M18" s="141"/>
      <c r="N18" s="59"/>
      <c r="O18" s="59"/>
      <c r="P18" s="105"/>
      <c r="Q18" s="105"/>
      <c r="R18" s="105"/>
      <c r="S18" s="90"/>
      <c r="T18" s="90"/>
      <c r="U18" s="93"/>
      <c r="V18" s="96"/>
      <c r="W18" s="96"/>
      <c r="X18" s="29">
        <v>0</v>
      </c>
      <c r="Y18" s="145">
        <v>0</v>
      </c>
      <c r="Z18" s="145">
        <v>0</v>
      </c>
      <c r="AA18" s="145">
        <v>0</v>
      </c>
      <c r="AB18" s="145">
        <v>0</v>
      </c>
      <c r="AC18" s="145">
        <v>0</v>
      </c>
      <c r="AD18" s="145">
        <v>0</v>
      </c>
      <c r="AE18" s="142">
        <f t="shared" si="5"/>
        <v>0</v>
      </c>
      <c r="AF18" s="141"/>
      <c r="AG18" s="67"/>
      <c r="AH18" s="67"/>
      <c r="AI18" s="24"/>
      <c r="AJ18" s="24"/>
      <c r="AK18" s="24"/>
      <c r="AL18" s="71"/>
      <c r="AM18" s="69" t="s">
        <v>798</v>
      </c>
      <c r="AN18" s="141"/>
      <c r="AO18" s="141"/>
      <c r="AP18" s="141"/>
      <c r="AQ18" s="141">
        <v>40</v>
      </c>
      <c r="AR18" s="86">
        <v>45962</v>
      </c>
      <c r="AS18" s="141" t="s">
        <v>757</v>
      </c>
      <c r="AT18" s="141"/>
      <c r="AU18" s="141"/>
      <c r="AV18" s="141"/>
      <c r="AW18" s="141" t="s">
        <v>757</v>
      </c>
    </row>
    <row r="19" spans="1:49" ht="45" customHeight="1">
      <c r="A19" s="153">
        <f t="shared" si="4"/>
        <v>16</v>
      </c>
      <c r="B19" s="153" t="s">
        <v>57</v>
      </c>
      <c r="C19" s="153" t="s">
        <v>61</v>
      </c>
      <c r="D19" s="28" t="s">
        <v>697</v>
      </c>
      <c r="E19" s="69" t="s">
        <v>800</v>
      </c>
      <c r="F19" s="39">
        <v>2</v>
      </c>
      <c r="G19" s="141" t="s">
        <v>764</v>
      </c>
      <c r="H19" s="141" t="s">
        <v>770</v>
      </c>
      <c r="I19" s="141"/>
      <c r="J19" s="141" t="s">
        <v>6</v>
      </c>
      <c r="K19" s="21"/>
      <c r="L19" s="69"/>
      <c r="M19" s="141"/>
      <c r="N19" s="59">
        <v>1</v>
      </c>
      <c r="O19" s="59">
        <v>4</v>
      </c>
      <c r="P19" s="105"/>
      <c r="Q19" s="105"/>
      <c r="R19" s="105"/>
      <c r="S19" s="90">
        <v>45778</v>
      </c>
      <c r="T19" s="90">
        <v>45953</v>
      </c>
      <c r="U19" s="93" t="s">
        <v>698</v>
      </c>
      <c r="V19" s="96" t="s">
        <v>699</v>
      </c>
      <c r="W19" s="96"/>
      <c r="X19" s="29">
        <v>0</v>
      </c>
      <c r="Y19" s="145">
        <v>0</v>
      </c>
      <c r="Z19" s="145">
        <v>0</v>
      </c>
      <c r="AA19" s="145">
        <v>0</v>
      </c>
      <c r="AB19" s="145">
        <v>0</v>
      </c>
      <c r="AC19" s="145">
        <v>0</v>
      </c>
      <c r="AD19" s="145">
        <v>0</v>
      </c>
      <c r="AE19" s="142">
        <f t="shared" si="5"/>
        <v>0</v>
      </c>
      <c r="AF19" s="141"/>
      <c r="AG19" s="67"/>
      <c r="AH19" s="67"/>
      <c r="AI19" s="24"/>
      <c r="AJ19" s="24"/>
      <c r="AK19" s="24"/>
      <c r="AL19" s="71"/>
      <c r="AM19" s="69" t="s">
        <v>801</v>
      </c>
      <c r="AN19" s="141"/>
      <c r="AO19" s="141"/>
      <c r="AP19" s="141"/>
      <c r="AQ19" s="141">
        <v>100</v>
      </c>
      <c r="AR19" s="86">
        <v>46023</v>
      </c>
      <c r="AS19" s="141" t="s">
        <v>757</v>
      </c>
      <c r="AT19" s="141" t="s">
        <v>757</v>
      </c>
      <c r="AU19" s="141"/>
      <c r="AV19" s="141"/>
      <c r="AW19" s="141"/>
    </row>
    <row r="20" spans="1:49" ht="45" customHeight="1">
      <c r="A20" s="153">
        <f t="shared" si="4"/>
        <v>17</v>
      </c>
      <c r="B20" s="153" t="s">
        <v>57</v>
      </c>
      <c r="C20" s="153" t="s">
        <v>65</v>
      </c>
      <c r="D20" s="28" t="s">
        <v>658</v>
      </c>
      <c r="E20" s="69" t="s">
        <v>804</v>
      </c>
      <c r="F20" s="39">
        <v>2</v>
      </c>
      <c r="G20" s="141" t="s">
        <v>150</v>
      </c>
      <c r="H20" s="141" t="s">
        <v>805</v>
      </c>
      <c r="I20" s="141"/>
      <c r="J20" s="141" t="s">
        <v>6</v>
      </c>
      <c r="K20" s="141"/>
      <c r="L20" s="69"/>
      <c r="M20" s="141"/>
      <c r="N20" s="59">
        <v>4</v>
      </c>
      <c r="O20" s="59">
        <v>4</v>
      </c>
      <c r="P20" s="105" t="s">
        <v>34</v>
      </c>
      <c r="Q20" s="105" t="s">
        <v>34</v>
      </c>
      <c r="R20" s="105"/>
      <c r="S20" s="90">
        <v>45933</v>
      </c>
      <c r="T20" s="90">
        <v>45958</v>
      </c>
      <c r="U20" s="93" t="s">
        <v>659</v>
      </c>
      <c r="V20" s="96" t="s">
        <v>660</v>
      </c>
      <c r="W20" s="96" t="s">
        <v>661</v>
      </c>
      <c r="X20" s="29">
        <v>0</v>
      </c>
      <c r="Y20" s="145">
        <v>0</v>
      </c>
      <c r="Z20" s="145">
        <v>0</v>
      </c>
      <c r="AA20" s="145">
        <v>0</v>
      </c>
      <c r="AB20" s="145">
        <v>0</v>
      </c>
      <c r="AC20" s="145">
        <v>0</v>
      </c>
      <c r="AD20" s="145">
        <v>0</v>
      </c>
      <c r="AE20" s="142">
        <f t="shared" si="5"/>
        <v>0</v>
      </c>
      <c r="AF20" s="141"/>
      <c r="AG20" s="67"/>
      <c r="AH20" s="67"/>
      <c r="AI20" s="24"/>
      <c r="AJ20" s="24"/>
      <c r="AK20" s="24"/>
      <c r="AL20" s="71"/>
      <c r="AM20" s="69" t="s">
        <v>806</v>
      </c>
      <c r="AN20" s="141">
        <v>4</v>
      </c>
      <c r="AO20" s="141" t="s">
        <v>761</v>
      </c>
      <c r="AP20" s="141"/>
      <c r="AQ20" s="141"/>
      <c r="AR20" s="141"/>
      <c r="AS20" s="141"/>
      <c r="AT20" s="141" t="s">
        <v>757</v>
      </c>
      <c r="AU20" s="141"/>
      <c r="AV20" s="141" t="s">
        <v>757</v>
      </c>
      <c r="AW20" s="141"/>
    </row>
    <row r="21" spans="1:49" ht="45" customHeight="1">
      <c r="A21" s="153">
        <f t="shared" si="4"/>
        <v>18</v>
      </c>
      <c r="B21" s="153" t="s">
        <v>57</v>
      </c>
      <c r="C21" s="153" t="s">
        <v>65</v>
      </c>
      <c r="D21" s="28" t="s">
        <v>624</v>
      </c>
      <c r="E21" s="69"/>
      <c r="F21" s="39">
        <v>2</v>
      </c>
      <c r="G21" s="141" t="s">
        <v>123</v>
      </c>
      <c r="H21" s="141" t="s">
        <v>797</v>
      </c>
      <c r="I21" s="141"/>
      <c r="J21" s="141" t="s">
        <v>26</v>
      </c>
      <c r="K21" s="141"/>
      <c r="L21" s="69"/>
      <c r="M21" s="141"/>
      <c r="N21" s="59">
        <v>4</v>
      </c>
      <c r="O21" s="59">
        <v>4</v>
      </c>
      <c r="P21" s="105" t="s">
        <v>33</v>
      </c>
      <c r="Q21" s="105" t="s">
        <v>33</v>
      </c>
      <c r="R21" s="105"/>
      <c r="S21" s="90">
        <v>45945</v>
      </c>
      <c r="T21" s="90">
        <v>45950</v>
      </c>
      <c r="U21" s="93" t="s">
        <v>625</v>
      </c>
      <c r="V21" s="96" t="s">
        <v>626</v>
      </c>
      <c r="W21" s="96" t="s">
        <v>627</v>
      </c>
      <c r="X21" s="29">
        <v>0</v>
      </c>
      <c r="Y21" s="145">
        <v>0</v>
      </c>
      <c r="Z21" s="145">
        <v>0</v>
      </c>
      <c r="AA21" s="145">
        <v>0</v>
      </c>
      <c r="AB21" s="145">
        <v>0</v>
      </c>
      <c r="AC21" s="145">
        <v>0</v>
      </c>
      <c r="AD21" s="145">
        <v>0</v>
      </c>
      <c r="AE21" s="142">
        <f t="shared" si="5"/>
        <v>0</v>
      </c>
      <c r="AF21" s="141"/>
      <c r="AG21" s="67"/>
      <c r="AH21" s="67"/>
      <c r="AI21" s="24"/>
      <c r="AJ21" s="24"/>
      <c r="AK21" s="24"/>
      <c r="AL21" s="71"/>
      <c r="AM21" s="69" t="s">
        <v>809</v>
      </c>
      <c r="AN21" s="141">
        <v>16</v>
      </c>
      <c r="AO21" s="141" t="s">
        <v>761</v>
      </c>
      <c r="AP21" s="141"/>
      <c r="AQ21" s="141"/>
      <c r="AR21" s="141"/>
      <c r="AS21" s="141"/>
      <c r="AT21" s="141" t="s">
        <v>757</v>
      </c>
      <c r="AU21" s="141"/>
      <c r="AV21" s="141"/>
      <c r="AW21" s="141"/>
    </row>
    <row r="22" spans="1:49" ht="45" customHeight="1">
      <c r="A22" s="153">
        <f t="shared" si="4"/>
        <v>19</v>
      </c>
      <c r="B22" s="153" t="s">
        <v>57</v>
      </c>
      <c r="C22" s="153" t="s">
        <v>65</v>
      </c>
      <c r="D22" s="28" t="s">
        <v>620</v>
      </c>
      <c r="E22" s="69"/>
      <c r="F22" s="39">
        <v>1</v>
      </c>
      <c r="G22" s="141" t="s">
        <v>123</v>
      </c>
      <c r="H22" s="141" t="s">
        <v>811</v>
      </c>
      <c r="I22" s="141"/>
      <c r="J22" s="141" t="s">
        <v>26</v>
      </c>
      <c r="K22" s="141"/>
      <c r="L22" s="69"/>
      <c r="M22" s="141"/>
      <c r="N22" s="59">
        <v>4</v>
      </c>
      <c r="O22" s="59">
        <v>4</v>
      </c>
      <c r="P22" s="105" t="s">
        <v>33</v>
      </c>
      <c r="Q22" s="105" t="s">
        <v>33</v>
      </c>
      <c r="R22" s="105"/>
      <c r="S22" s="90">
        <v>45945</v>
      </c>
      <c r="T22" s="90">
        <v>45953</v>
      </c>
      <c r="U22" s="93" t="s">
        <v>621</v>
      </c>
      <c r="V22" s="96" t="s">
        <v>622</v>
      </c>
      <c r="W22" s="96" t="s">
        <v>623</v>
      </c>
      <c r="X22" s="29">
        <v>0</v>
      </c>
      <c r="Y22" s="145">
        <v>0</v>
      </c>
      <c r="Z22" s="145">
        <v>0</v>
      </c>
      <c r="AA22" s="145">
        <v>0</v>
      </c>
      <c r="AB22" s="145">
        <v>0</v>
      </c>
      <c r="AC22" s="145">
        <v>0</v>
      </c>
      <c r="AD22" s="145">
        <v>0</v>
      </c>
      <c r="AE22" s="142">
        <f t="shared" si="5"/>
        <v>0</v>
      </c>
      <c r="AF22" s="141"/>
      <c r="AG22" s="67"/>
      <c r="AH22" s="67"/>
      <c r="AI22" s="24"/>
      <c r="AJ22" s="24"/>
      <c r="AK22" s="24"/>
      <c r="AL22" s="71"/>
      <c r="AM22" s="69"/>
      <c r="AN22" s="141">
        <v>12</v>
      </c>
      <c r="AO22" s="141" t="s">
        <v>812</v>
      </c>
      <c r="AP22" s="141"/>
      <c r="AQ22" s="141">
        <v>100</v>
      </c>
      <c r="AR22" s="86">
        <v>45901</v>
      </c>
      <c r="AS22" s="141" t="s">
        <v>757</v>
      </c>
      <c r="AT22" s="141" t="s">
        <v>757</v>
      </c>
      <c r="AU22" s="141"/>
      <c r="AV22" s="141" t="s">
        <v>757</v>
      </c>
      <c r="AW22" s="141"/>
    </row>
    <row r="23" spans="1:49" ht="45" customHeight="1">
      <c r="A23" s="153">
        <f t="shared" si="4"/>
        <v>20</v>
      </c>
      <c r="B23" s="153" t="s">
        <v>57</v>
      </c>
      <c r="C23" s="153" t="s">
        <v>65</v>
      </c>
      <c r="D23" s="28" t="s">
        <v>605</v>
      </c>
      <c r="E23" s="69" t="s">
        <v>842</v>
      </c>
      <c r="F23" s="39">
        <v>2</v>
      </c>
      <c r="G23" s="141" t="s">
        <v>123</v>
      </c>
      <c r="H23" s="141" t="s">
        <v>811</v>
      </c>
      <c r="I23" s="141"/>
      <c r="J23" s="141"/>
      <c r="K23" s="21"/>
      <c r="L23" s="69"/>
      <c r="M23" s="141"/>
      <c r="N23" s="59"/>
      <c r="O23" s="59"/>
      <c r="P23" s="105" t="s">
        <v>31</v>
      </c>
      <c r="Q23" s="105" t="s">
        <v>31</v>
      </c>
      <c r="R23" s="105"/>
      <c r="S23" s="90"/>
      <c r="T23" s="90">
        <v>45992</v>
      </c>
      <c r="U23" s="93" t="s">
        <v>606</v>
      </c>
      <c r="V23" s="96"/>
      <c r="W23" s="96"/>
      <c r="X23" s="29">
        <v>0</v>
      </c>
      <c r="Y23" s="145">
        <v>0</v>
      </c>
      <c r="Z23" s="145">
        <v>0</v>
      </c>
      <c r="AA23" s="145">
        <v>0</v>
      </c>
      <c r="AB23" s="145">
        <v>0</v>
      </c>
      <c r="AC23" s="145">
        <v>0</v>
      </c>
      <c r="AD23" s="145">
        <v>0</v>
      </c>
      <c r="AE23" s="142">
        <f t="shared" si="5"/>
        <v>0</v>
      </c>
      <c r="AF23" s="141"/>
      <c r="AG23" s="67"/>
      <c r="AH23" s="67"/>
      <c r="AI23" s="24"/>
      <c r="AJ23" s="24"/>
      <c r="AK23" s="24"/>
      <c r="AL23" s="71"/>
      <c r="AM23" s="69" t="s">
        <v>843</v>
      </c>
      <c r="AN23" s="141"/>
      <c r="AO23" s="141"/>
      <c r="AP23" s="141"/>
      <c r="AQ23" s="141">
        <v>15</v>
      </c>
      <c r="AR23" s="86">
        <v>45901</v>
      </c>
      <c r="AS23" s="141" t="s">
        <v>757</v>
      </c>
      <c r="AT23" s="141"/>
      <c r="AU23" s="141"/>
      <c r="AV23" s="141"/>
      <c r="AW23" s="141"/>
    </row>
    <row r="24" spans="1:49" ht="45" customHeight="1">
      <c r="A24" s="153">
        <f t="shared" si="4"/>
        <v>21</v>
      </c>
      <c r="B24" s="153" t="s">
        <v>57</v>
      </c>
      <c r="C24" s="153" t="s">
        <v>65</v>
      </c>
      <c r="D24" s="28" t="s">
        <v>690</v>
      </c>
      <c r="E24" s="69"/>
      <c r="F24" s="39">
        <v>3</v>
      </c>
      <c r="G24" s="141" t="s">
        <v>123</v>
      </c>
      <c r="H24" s="141" t="s">
        <v>816</v>
      </c>
      <c r="I24" s="141"/>
      <c r="J24" s="141"/>
      <c r="K24" s="141" t="s">
        <v>48</v>
      </c>
      <c r="L24" s="69"/>
      <c r="M24" s="141"/>
      <c r="N24" s="59">
        <v>4</v>
      </c>
      <c r="O24" s="59">
        <v>4</v>
      </c>
      <c r="P24" s="105" t="s">
        <v>34</v>
      </c>
      <c r="Q24" s="105" t="s">
        <v>34</v>
      </c>
      <c r="R24" s="105"/>
      <c r="S24" s="90">
        <v>45943</v>
      </c>
      <c r="T24" s="90">
        <v>45950</v>
      </c>
      <c r="U24" s="93" t="s">
        <v>691</v>
      </c>
      <c r="V24" s="96" t="s">
        <v>692</v>
      </c>
      <c r="W24" s="96"/>
      <c r="X24" s="29">
        <v>0</v>
      </c>
      <c r="Y24" s="145">
        <v>0</v>
      </c>
      <c r="Z24" s="145">
        <v>0</v>
      </c>
      <c r="AA24" s="145">
        <v>0</v>
      </c>
      <c r="AB24" s="145">
        <v>0</v>
      </c>
      <c r="AC24" s="145">
        <v>0</v>
      </c>
      <c r="AD24" s="145">
        <v>0</v>
      </c>
      <c r="AE24" s="142">
        <f t="shared" si="5"/>
        <v>0</v>
      </c>
      <c r="AF24" s="141"/>
      <c r="AG24" s="67"/>
      <c r="AH24" s="67"/>
      <c r="AI24" s="24"/>
      <c r="AJ24" s="24"/>
      <c r="AK24" s="24"/>
      <c r="AL24" s="71"/>
      <c r="AM24" s="69" t="s">
        <v>817</v>
      </c>
      <c r="AN24" s="141">
        <v>35</v>
      </c>
      <c r="AO24" s="141" t="s">
        <v>756</v>
      </c>
      <c r="AP24" s="141"/>
      <c r="AQ24" s="141"/>
      <c r="AR24" s="141"/>
      <c r="AS24" s="141"/>
      <c r="AT24" s="141" t="s">
        <v>757</v>
      </c>
      <c r="AU24" s="141"/>
      <c r="AV24" s="141"/>
      <c r="AW24" s="141" t="s">
        <v>757</v>
      </c>
    </row>
    <row r="25" spans="1:49" ht="45" customHeight="1">
      <c r="A25" s="153">
        <f t="shared" si="4"/>
        <v>22</v>
      </c>
      <c r="B25" s="153" t="s">
        <v>57</v>
      </c>
      <c r="C25" s="153" t="s">
        <v>65</v>
      </c>
      <c r="D25" s="28" t="s">
        <v>646</v>
      </c>
      <c r="E25" s="69"/>
      <c r="F25" s="39">
        <v>3</v>
      </c>
      <c r="G25" s="141" t="s">
        <v>409</v>
      </c>
      <c r="H25" s="141" t="s">
        <v>805</v>
      </c>
      <c r="I25" s="141"/>
      <c r="J25" s="141" t="s">
        <v>26</v>
      </c>
      <c r="K25" s="141" t="s">
        <v>45</v>
      </c>
      <c r="L25" s="69"/>
      <c r="M25" s="141"/>
      <c r="N25" s="59"/>
      <c r="O25" s="59"/>
      <c r="P25" s="105" t="s">
        <v>32</v>
      </c>
      <c r="Q25" s="105" t="s">
        <v>32</v>
      </c>
      <c r="R25" s="105"/>
      <c r="S25" s="90"/>
      <c r="T25" s="90"/>
      <c r="U25" s="93"/>
      <c r="V25" s="96"/>
      <c r="W25" s="96" t="s">
        <v>647</v>
      </c>
      <c r="X25" s="29">
        <v>0</v>
      </c>
      <c r="Y25" s="145">
        <v>0</v>
      </c>
      <c r="Z25" s="145">
        <v>0</v>
      </c>
      <c r="AA25" s="145">
        <v>0</v>
      </c>
      <c r="AB25" s="145">
        <v>0</v>
      </c>
      <c r="AC25" s="145">
        <v>0</v>
      </c>
      <c r="AD25" s="145">
        <v>0</v>
      </c>
      <c r="AE25" s="142">
        <f t="shared" si="5"/>
        <v>0</v>
      </c>
      <c r="AF25" s="141"/>
      <c r="AG25" s="67"/>
      <c r="AH25" s="67"/>
      <c r="AI25" s="24"/>
      <c r="AJ25" s="24"/>
      <c r="AK25" s="24"/>
      <c r="AL25" s="71"/>
      <c r="AM25" s="69" t="s">
        <v>818</v>
      </c>
      <c r="AN25" s="141">
        <v>2</v>
      </c>
      <c r="AO25" s="141" t="s">
        <v>761</v>
      </c>
      <c r="AP25" s="141"/>
      <c r="AQ25" s="141"/>
      <c r="AR25" s="141"/>
      <c r="AS25" s="141" t="s">
        <v>757</v>
      </c>
      <c r="AT25" s="141" t="s">
        <v>757</v>
      </c>
      <c r="AU25" s="141" t="s">
        <v>757</v>
      </c>
      <c r="AV25" s="141"/>
      <c r="AW25" s="141"/>
    </row>
    <row r="26" spans="1:49" ht="45" customHeight="1">
      <c r="A26" s="153">
        <f t="shared" si="4"/>
        <v>23</v>
      </c>
      <c r="B26" s="153" t="s">
        <v>57</v>
      </c>
      <c r="C26" s="153" t="s">
        <v>61</v>
      </c>
      <c r="D26" s="28" t="s">
        <v>677</v>
      </c>
      <c r="E26" s="69" t="s">
        <v>769</v>
      </c>
      <c r="F26" s="39">
        <v>2</v>
      </c>
      <c r="G26" s="141" t="s">
        <v>764</v>
      </c>
      <c r="H26" s="141" t="s">
        <v>770</v>
      </c>
      <c r="I26" s="141"/>
      <c r="J26" s="141" t="s">
        <v>26</v>
      </c>
      <c r="K26" s="141"/>
      <c r="L26" s="69"/>
      <c r="M26" s="141"/>
      <c r="N26" s="59">
        <v>2</v>
      </c>
      <c r="O26" s="59">
        <v>2</v>
      </c>
      <c r="P26" s="105" t="s">
        <v>31</v>
      </c>
      <c r="Q26" s="105" t="s">
        <v>31</v>
      </c>
      <c r="R26" s="105" t="s">
        <v>881</v>
      </c>
      <c r="S26" s="90">
        <v>45922</v>
      </c>
      <c r="T26" s="90">
        <v>45936</v>
      </c>
      <c r="U26" s="93" t="s">
        <v>678</v>
      </c>
      <c r="V26" s="96" t="s">
        <v>679</v>
      </c>
      <c r="W26" s="96"/>
      <c r="X26" s="29">
        <v>0</v>
      </c>
      <c r="Y26" s="145">
        <v>0</v>
      </c>
      <c r="Z26" s="145">
        <v>0</v>
      </c>
      <c r="AA26" s="145">
        <v>0</v>
      </c>
      <c r="AB26" s="145">
        <v>0</v>
      </c>
      <c r="AC26" s="145">
        <v>0</v>
      </c>
      <c r="AD26" s="145">
        <v>0</v>
      </c>
      <c r="AE26" s="142">
        <f t="shared" si="5"/>
        <v>0</v>
      </c>
      <c r="AF26" s="141"/>
      <c r="AG26" s="67"/>
      <c r="AH26" s="67"/>
      <c r="AI26" s="24"/>
      <c r="AJ26" s="24"/>
      <c r="AK26" s="24"/>
      <c r="AL26" s="71"/>
      <c r="AM26" s="69" t="s">
        <v>771</v>
      </c>
      <c r="AN26" s="141">
        <v>5</v>
      </c>
      <c r="AO26" s="141" t="s">
        <v>761</v>
      </c>
      <c r="AP26" s="141"/>
      <c r="AQ26" s="141"/>
      <c r="AR26" s="141"/>
      <c r="AS26" s="141" t="s">
        <v>757</v>
      </c>
      <c r="AT26" s="141" t="s">
        <v>757</v>
      </c>
      <c r="AU26" s="141"/>
      <c r="AV26" s="141"/>
      <c r="AW26" s="141"/>
    </row>
    <row r="27" spans="1:49" ht="45" customHeight="1">
      <c r="A27" s="153">
        <f t="shared" si="4"/>
        <v>24</v>
      </c>
      <c r="B27" s="153" t="s">
        <v>57</v>
      </c>
      <c r="C27" s="153" t="s">
        <v>65</v>
      </c>
      <c r="D27" s="28" t="s">
        <v>143</v>
      </c>
      <c r="E27" s="69" t="s">
        <v>820</v>
      </c>
      <c r="F27" s="39">
        <v>1</v>
      </c>
      <c r="G27" s="141" t="s">
        <v>794</v>
      </c>
      <c r="H27" s="141" t="s">
        <v>765</v>
      </c>
      <c r="I27" s="141"/>
      <c r="J27" s="141"/>
      <c r="K27" s="21"/>
      <c r="L27" s="69"/>
      <c r="M27" s="141"/>
      <c r="N27" s="59">
        <v>3</v>
      </c>
      <c r="O27" s="59">
        <v>3</v>
      </c>
      <c r="P27" s="105"/>
      <c r="Q27" s="105"/>
      <c r="R27" s="105"/>
      <c r="S27" s="90"/>
      <c r="T27" s="90"/>
      <c r="U27" s="93"/>
      <c r="V27" s="96"/>
      <c r="W27" s="96"/>
      <c r="X27" s="29">
        <v>0</v>
      </c>
      <c r="Y27" s="145">
        <v>0</v>
      </c>
      <c r="Z27" s="145">
        <v>0</v>
      </c>
      <c r="AA27" s="145">
        <v>0</v>
      </c>
      <c r="AB27" s="145">
        <v>0</v>
      </c>
      <c r="AC27" s="145">
        <v>0</v>
      </c>
      <c r="AD27" s="145">
        <v>0</v>
      </c>
      <c r="AE27" s="142">
        <f t="shared" si="5"/>
        <v>0</v>
      </c>
      <c r="AF27" s="141"/>
      <c r="AG27" s="67"/>
      <c r="AH27" s="67"/>
      <c r="AI27" s="24"/>
      <c r="AJ27" s="24"/>
      <c r="AK27" s="24"/>
      <c r="AL27" s="71"/>
      <c r="AM27" s="69" t="s">
        <v>821</v>
      </c>
      <c r="AN27" s="141">
        <v>2</v>
      </c>
      <c r="AO27" s="141" t="s">
        <v>761</v>
      </c>
      <c r="AP27" s="141"/>
      <c r="AQ27" s="141">
        <v>100</v>
      </c>
      <c r="AR27" s="86">
        <v>45931</v>
      </c>
      <c r="AS27" s="141" t="s">
        <v>757</v>
      </c>
      <c r="AT27" s="141" t="s">
        <v>757</v>
      </c>
      <c r="AU27" s="141"/>
      <c r="AV27" s="141"/>
      <c r="AW27" s="141" t="s">
        <v>757</v>
      </c>
    </row>
    <row r="28" spans="1:49" ht="45" customHeight="1">
      <c r="A28" s="153">
        <f t="shared" si="4"/>
        <v>25</v>
      </c>
      <c r="B28" s="153" t="s">
        <v>57</v>
      </c>
      <c r="C28" s="153" t="s">
        <v>65</v>
      </c>
      <c r="D28" s="28" t="s">
        <v>655</v>
      </c>
      <c r="E28" s="69" t="s">
        <v>824</v>
      </c>
      <c r="F28" s="39">
        <v>2</v>
      </c>
      <c r="G28" s="141" t="s">
        <v>123</v>
      </c>
      <c r="H28" s="141" t="s">
        <v>811</v>
      </c>
      <c r="I28" s="141"/>
      <c r="J28" s="141"/>
      <c r="K28" s="141"/>
      <c r="L28" s="69"/>
      <c r="M28" s="141"/>
      <c r="N28" s="59">
        <v>5</v>
      </c>
      <c r="O28" s="59">
        <v>5</v>
      </c>
      <c r="P28" s="105" t="s">
        <v>33</v>
      </c>
      <c r="Q28" s="105" t="s">
        <v>33</v>
      </c>
      <c r="R28" s="105"/>
      <c r="S28" s="90">
        <v>45933</v>
      </c>
      <c r="T28" s="90">
        <v>45947</v>
      </c>
      <c r="U28" s="93" t="s">
        <v>656</v>
      </c>
      <c r="V28" s="96" t="s">
        <v>657</v>
      </c>
      <c r="W28" s="96"/>
      <c r="X28" s="29">
        <v>0</v>
      </c>
      <c r="Y28" s="145">
        <v>0</v>
      </c>
      <c r="Z28" s="145">
        <v>0</v>
      </c>
      <c r="AA28" s="145">
        <v>0</v>
      </c>
      <c r="AB28" s="145">
        <v>0</v>
      </c>
      <c r="AC28" s="145">
        <v>0</v>
      </c>
      <c r="AD28" s="145">
        <v>0</v>
      </c>
      <c r="AE28" s="142">
        <f t="shared" si="5"/>
        <v>0</v>
      </c>
      <c r="AF28" s="141"/>
      <c r="AG28" s="67"/>
      <c r="AH28" s="67"/>
      <c r="AI28" s="24"/>
      <c r="AJ28" s="24"/>
      <c r="AK28" s="24"/>
      <c r="AL28" s="71"/>
      <c r="AM28" s="69" t="s">
        <v>825</v>
      </c>
      <c r="AN28" s="141">
        <v>4</v>
      </c>
      <c r="AO28" s="141" t="s">
        <v>756</v>
      </c>
      <c r="AP28" s="141"/>
      <c r="AQ28" s="141"/>
      <c r="AR28" s="141"/>
      <c r="AS28" s="141" t="s">
        <v>757</v>
      </c>
      <c r="AT28" s="141" t="s">
        <v>757</v>
      </c>
      <c r="AU28" s="141"/>
      <c r="AV28" s="141"/>
      <c r="AW28" s="141" t="s">
        <v>757</v>
      </c>
    </row>
    <row r="29" spans="1:49" ht="45" customHeight="1">
      <c r="A29" s="153">
        <f t="shared" si="4"/>
        <v>26</v>
      </c>
      <c r="B29" s="153" t="s">
        <v>57</v>
      </c>
      <c r="C29" s="153" t="s">
        <v>65</v>
      </c>
      <c r="D29" s="28" t="s">
        <v>650</v>
      </c>
      <c r="E29" s="69" t="s">
        <v>827</v>
      </c>
      <c r="F29" s="39">
        <v>3</v>
      </c>
      <c r="G29" s="141" t="s">
        <v>150</v>
      </c>
      <c r="H29" s="141" t="s">
        <v>797</v>
      </c>
      <c r="I29" s="141"/>
      <c r="J29" s="141"/>
      <c r="K29" s="21"/>
      <c r="L29" s="69"/>
      <c r="M29" s="141"/>
      <c r="N29" s="59">
        <v>4</v>
      </c>
      <c r="O29" s="59">
        <v>4</v>
      </c>
      <c r="P29" s="105" t="s">
        <v>34</v>
      </c>
      <c r="Q29" s="105" t="s">
        <v>32</v>
      </c>
      <c r="R29" s="105"/>
      <c r="S29" s="90">
        <v>45937</v>
      </c>
      <c r="T29" s="90">
        <v>45943</v>
      </c>
      <c r="U29" s="93" t="s">
        <v>651</v>
      </c>
      <c r="V29" s="96" t="s">
        <v>652</v>
      </c>
      <c r="W29" s="96"/>
      <c r="X29" s="29">
        <v>0</v>
      </c>
      <c r="Y29" s="145">
        <v>0</v>
      </c>
      <c r="Z29" s="145">
        <v>0</v>
      </c>
      <c r="AA29" s="145">
        <v>0</v>
      </c>
      <c r="AB29" s="145">
        <v>0</v>
      </c>
      <c r="AC29" s="145">
        <v>0</v>
      </c>
      <c r="AD29" s="145">
        <v>0</v>
      </c>
      <c r="AE29" s="142">
        <f t="shared" si="5"/>
        <v>0</v>
      </c>
      <c r="AF29" s="141"/>
      <c r="AG29" s="67"/>
      <c r="AH29" s="67"/>
      <c r="AI29" s="24"/>
      <c r="AJ29" s="24"/>
      <c r="AK29" s="24"/>
      <c r="AL29" s="71"/>
      <c r="AM29" s="69" t="s">
        <v>828</v>
      </c>
      <c r="AN29" s="141"/>
      <c r="AO29" s="141"/>
      <c r="AP29" s="141">
        <v>80</v>
      </c>
      <c r="AQ29" s="141"/>
      <c r="AR29" s="141"/>
      <c r="AS29" s="141"/>
      <c r="AT29" s="141" t="s">
        <v>757</v>
      </c>
      <c r="AU29" s="141" t="s">
        <v>757</v>
      </c>
      <c r="AV29" s="141"/>
      <c r="AW29" s="141"/>
    </row>
    <row r="30" spans="1:49" ht="45" customHeight="1">
      <c r="A30" s="153">
        <f t="shared" si="4"/>
        <v>27</v>
      </c>
      <c r="B30" s="153" t="s">
        <v>57</v>
      </c>
      <c r="C30" s="153" t="s">
        <v>65</v>
      </c>
      <c r="D30" s="28" t="s">
        <v>707</v>
      </c>
      <c r="E30" s="69" t="s">
        <v>829</v>
      </c>
      <c r="F30" s="39">
        <v>1</v>
      </c>
      <c r="G30" s="141" t="s">
        <v>794</v>
      </c>
      <c r="H30" s="141" t="s">
        <v>797</v>
      </c>
      <c r="I30" s="141"/>
      <c r="J30" s="141"/>
      <c r="K30" s="141"/>
      <c r="L30" s="69"/>
      <c r="M30" s="141">
        <v>300</v>
      </c>
      <c r="N30" s="59"/>
      <c r="O30" s="59"/>
      <c r="P30" s="105"/>
      <c r="Q30" s="105"/>
      <c r="R30" s="105"/>
      <c r="S30" s="90"/>
      <c r="T30" s="90"/>
      <c r="U30" s="93"/>
      <c r="V30" s="96"/>
      <c r="W30" s="96"/>
      <c r="X30" s="29">
        <v>0</v>
      </c>
      <c r="Y30" s="145">
        <v>0</v>
      </c>
      <c r="Z30" s="145">
        <v>0</v>
      </c>
      <c r="AA30" s="145">
        <v>0</v>
      </c>
      <c r="AB30" s="145">
        <v>0</v>
      </c>
      <c r="AC30" s="145">
        <v>0</v>
      </c>
      <c r="AD30" s="145">
        <v>0</v>
      </c>
      <c r="AE30" s="142">
        <f t="shared" si="5"/>
        <v>0</v>
      </c>
      <c r="AF30" s="141"/>
      <c r="AG30" s="67"/>
      <c r="AH30" s="67"/>
      <c r="AI30" s="24"/>
      <c r="AJ30" s="24"/>
      <c r="AK30" s="24"/>
      <c r="AL30" s="71"/>
      <c r="AM30" s="69" t="s">
        <v>830</v>
      </c>
      <c r="AN30" s="141">
        <v>10</v>
      </c>
      <c r="AO30" s="141" t="s">
        <v>756</v>
      </c>
      <c r="AP30" s="141">
        <v>300</v>
      </c>
      <c r="AQ30" s="141"/>
      <c r="AR30" s="86">
        <v>45901</v>
      </c>
      <c r="AS30" s="141" t="s">
        <v>757</v>
      </c>
      <c r="AT30" s="141"/>
      <c r="AU30" s="141"/>
      <c r="AV30" s="141"/>
      <c r="AW30" s="141"/>
    </row>
    <row r="31" spans="1:49" ht="45" customHeight="1">
      <c r="A31" s="153">
        <f t="shared" si="4"/>
        <v>28</v>
      </c>
      <c r="B31" s="153" t="s">
        <v>57</v>
      </c>
      <c r="C31" s="153" t="s">
        <v>65</v>
      </c>
      <c r="D31" s="28" t="s">
        <v>688</v>
      </c>
      <c r="E31" s="69" t="s">
        <v>832</v>
      </c>
      <c r="F31" s="39">
        <v>1</v>
      </c>
      <c r="G31" s="141" t="s">
        <v>123</v>
      </c>
      <c r="H31" s="141" t="s">
        <v>805</v>
      </c>
      <c r="I31" s="141"/>
      <c r="J31" s="141"/>
      <c r="K31" s="141"/>
      <c r="L31" s="69"/>
      <c r="M31" s="141"/>
      <c r="N31" s="59"/>
      <c r="O31" s="59"/>
      <c r="P31" s="105"/>
      <c r="Q31" s="105"/>
      <c r="R31" s="105"/>
      <c r="S31" s="90">
        <v>45936</v>
      </c>
      <c r="T31" s="90"/>
      <c r="U31" s="93" t="s">
        <v>689</v>
      </c>
      <c r="V31" s="96"/>
      <c r="W31" s="96"/>
      <c r="X31" s="29">
        <v>0</v>
      </c>
      <c r="Y31" s="145">
        <v>0</v>
      </c>
      <c r="Z31" s="145">
        <v>0</v>
      </c>
      <c r="AA31" s="145">
        <v>0</v>
      </c>
      <c r="AB31" s="145">
        <v>0</v>
      </c>
      <c r="AC31" s="145">
        <v>0</v>
      </c>
      <c r="AD31" s="145">
        <v>0</v>
      </c>
      <c r="AE31" s="142">
        <f t="shared" si="5"/>
        <v>0</v>
      </c>
      <c r="AF31" s="141"/>
      <c r="AG31" s="67"/>
      <c r="AH31" s="67"/>
      <c r="AI31" s="24"/>
      <c r="AJ31" s="24"/>
      <c r="AK31" s="24"/>
      <c r="AL31" s="71"/>
      <c r="AM31" s="69" t="s">
        <v>833</v>
      </c>
      <c r="AN31" s="141"/>
      <c r="AO31" s="141"/>
      <c r="AP31" s="141"/>
      <c r="AQ31" s="141">
        <v>400</v>
      </c>
      <c r="AR31" s="86">
        <v>45931</v>
      </c>
      <c r="AS31" s="141" t="s">
        <v>757</v>
      </c>
      <c r="AT31" s="141" t="s">
        <v>757</v>
      </c>
      <c r="AU31" s="141"/>
      <c r="AV31" s="141"/>
      <c r="AW31" s="141" t="s">
        <v>757</v>
      </c>
    </row>
    <row r="32" spans="1:49" ht="45" customHeight="1">
      <c r="A32" s="153">
        <f t="shared" si="4"/>
        <v>29</v>
      </c>
      <c r="B32" s="153" t="s">
        <v>57</v>
      </c>
      <c r="C32" s="153" t="s">
        <v>65</v>
      </c>
      <c r="D32" s="28" t="s">
        <v>696</v>
      </c>
      <c r="E32" s="69" t="s">
        <v>834</v>
      </c>
      <c r="F32" s="39">
        <v>2</v>
      </c>
      <c r="G32" s="141" t="s">
        <v>835</v>
      </c>
      <c r="H32" s="141" t="s">
        <v>811</v>
      </c>
      <c r="I32" s="141"/>
      <c r="J32" s="141"/>
      <c r="K32" s="141"/>
      <c r="L32" s="69"/>
      <c r="M32" s="141"/>
      <c r="N32" s="59"/>
      <c r="O32" s="59"/>
      <c r="P32" s="105"/>
      <c r="Q32" s="105"/>
      <c r="R32" s="105"/>
      <c r="S32" s="90"/>
      <c r="T32" s="90"/>
      <c r="U32" s="93"/>
      <c r="V32" s="96"/>
      <c r="W32" s="96"/>
      <c r="X32" s="29">
        <v>0</v>
      </c>
      <c r="Y32" s="145">
        <v>0</v>
      </c>
      <c r="Z32" s="145">
        <v>0</v>
      </c>
      <c r="AA32" s="145">
        <v>0</v>
      </c>
      <c r="AB32" s="145">
        <v>0</v>
      </c>
      <c r="AC32" s="145">
        <v>0</v>
      </c>
      <c r="AD32" s="145">
        <v>0</v>
      </c>
      <c r="AE32" s="142">
        <f t="shared" si="5"/>
        <v>0</v>
      </c>
      <c r="AF32" s="141"/>
      <c r="AG32" s="67"/>
      <c r="AH32" s="67"/>
      <c r="AI32" s="24"/>
      <c r="AJ32" s="24"/>
      <c r="AK32" s="24"/>
      <c r="AL32" s="71"/>
      <c r="AM32" s="69" t="s">
        <v>836</v>
      </c>
      <c r="AN32" s="141"/>
      <c r="AO32" s="141"/>
      <c r="AP32" s="141"/>
      <c r="AQ32" s="141">
        <v>100</v>
      </c>
      <c r="AR32" s="86">
        <v>45931</v>
      </c>
      <c r="AS32" s="141"/>
      <c r="AT32" s="141" t="s">
        <v>757</v>
      </c>
      <c r="AU32" s="141"/>
      <c r="AV32" s="141"/>
      <c r="AW32" s="141" t="s">
        <v>757</v>
      </c>
    </row>
    <row r="33" spans="1:49" ht="45" customHeight="1">
      <c r="A33" s="153">
        <f t="shared" si="4"/>
        <v>30</v>
      </c>
      <c r="B33" s="153" t="s">
        <v>57</v>
      </c>
      <c r="C33" s="153" t="s">
        <v>65</v>
      </c>
      <c r="D33" s="28" t="s">
        <v>671</v>
      </c>
      <c r="E33" s="69" t="s">
        <v>837</v>
      </c>
      <c r="F33" s="39">
        <v>2</v>
      </c>
      <c r="G33" s="141" t="s">
        <v>753</v>
      </c>
      <c r="H33" s="141" t="s">
        <v>805</v>
      </c>
      <c r="I33" s="141"/>
      <c r="J33" s="141"/>
      <c r="K33" s="141"/>
      <c r="L33" s="69"/>
      <c r="M33" s="141"/>
      <c r="N33" s="59">
        <v>3</v>
      </c>
      <c r="O33" s="59">
        <v>3</v>
      </c>
      <c r="P33" s="105" t="s">
        <v>35</v>
      </c>
      <c r="Q33" s="105" t="s">
        <v>35</v>
      </c>
      <c r="R33" s="105"/>
      <c r="S33" s="90"/>
      <c r="T33" s="90"/>
      <c r="U33" s="93" t="s">
        <v>672</v>
      </c>
      <c r="V33" s="96" t="s">
        <v>673</v>
      </c>
      <c r="W33" s="96"/>
      <c r="X33" s="29">
        <v>0</v>
      </c>
      <c r="Y33" s="145">
        <v>0</v>
      </c>
      <c r="Z33" s="145">
        <v>0</v>
      </c>
      <c r="AA33" s="145">
        <v>0</v>
      </c>
      <c r="AB33" s="145">
        <v>0</v>
      </c>
      <c r="AC33" s="145">
        <v>0</v>
      </c>
      <c r="AD33" s="145">
        <v>0</v>
      </c>
      <c r="AE33" s="142">
        <f t="shared" si="5"/>
        <v>0</v>
      </c>
      <c r="AF33" s="141"/>
      <c r="AG33" s="67"/>
      <c r="AH33" s="67"/>
      <c r="AI33" s="24"/>
      <c r="AJ33" s="24"/>
      <c r="AK33" s="24"/>
      <c r="AL33" s="71"/>
      <c r="AM33" s="69" t="s">
        <v>838</v>
      </c>
      <c r="AN33" s="141"/>
      <c r="AO33" s="141"/>
      <c r="AP33" s="141"/>
      <c r="AQ33" s="141">
        <v>60</v>
      </c>
      <c r="AR33" s="86">
        <v>45962</v>
      </c>
      <c r="AS33" s="141" t="s">
        <v>757</v>
      </c>
      <c r="AT33" s="141" t="s">
        <v>757</v>
      </c>
      <c r="AU33" s="141"/>
      <c r="AV33" s="141"/>
      <c r="AW33" s="141"/>
    </row>
    <row r="34" spans="1:49" ht="45" customHeight="1">
      <c r="A34" s="153">
        <f t="shared" si="4"/>
        <v>31</v>
      </c>
      <c r="B34" s="153" t="s">
        <v>57</v>
      </c>
      <c r="C34" s="153" t="s">
        <v>65</v>
      </c>
      <c r="D34" s="28" t="s">
        <v>667</v>
      </c>
      <c r="E34" s="69" t="s">
        <v>839</v>
      </c>
      <c r="F34" s="39">
        <v>2</v>
      </c>
      <c r="G34" s="141" t="s">
        <v>123</v>
      </c>
      <c r="H34" s="141" t="s">
        <v>797</v>
      </c>
      <c r="I34" s="141"/>
      <c r="J34" s="141"/>
      <c r="K34" s="141"/>
      <c r="L34" s="69"/>
      <c r="M34" s="141"/>
      <c r="N34" s="59">
        <v>4</v>
      </c>
      <c r="O34" s="59">
        <v>4</v>
      </c>
      <c r="P34" s="105" t="s">
        <v>33</v>
      </c>
      <c r="Q34" s="105" t="s">
        <v>33</v>
      </c>
      <c r="R34" s="105"/>
      <c r="S34" s="90">
        <v>45936</v>
      </c>
      <c r="T34" s="90">
        <v>45962</v>
      </c>
      <c r="U34" s="93" t="s">
        <v>668</v>
      </c>
      <c r="V34" s="93" t="s">
        <v>669</v>
      </c>
      <c r="W34" s="96"/>
      <c r="X34" s="29">
        <v>0</v>
      </c>
      <c r="Y34" s="145">
        <v>0</v>
      </c>
      <c r="Z34" s="145">
        <v>0</v>
      </c>
      <c r="AA34" s="145">
        <v>0</v>
      </c>
      <c r="AB34" s="145">
        <v>0</v>
      </c>
      <c r="AC34" s="145">
        <v>0</v>
      </c>
      <c r="AD34" s="145">
        <v>0</v>
      </c>
      <c r="AE34" s="142">
        <f t="shared" si="5"/>
        <v>0</v>
      </c>
      <c r="AF34" s="141"/>
      <c r="AG34" s="67"/>
      <c r="AH34" s="67"/>
      <c r="AI34" s="24"/>
      <c r="AJ34" s="24"/>
      <c r="AK34" s="24"/>
      <c r="AL34" s="71"/>
      <c r="AM34" s="69" t="s">
        <v>840</v>
      </c>
      <c r="AN34" s="141"/>
      <c r="AO34" s="141"/>
      <c r="AP34" s="141"/>
      <c r="AQ34" s="141">
        <v>15</v>
      </c>
      <c r="AR34" s="86">
        <v>45992</v>
      </c>
      <c r="AS34" s="141" t="s">
        <v>757</v>
      </c>
      <c r="AT34" s="141"/>
      <c r="AU34" s="141"/>
      <c r="AV34" s="141"/>
      <c r="AW34" s="141"/>
    </row>
    <row r="35" spans="1:49" ht="45" customHeight="1">
      <c r="A35" s="153">
        <f t="shared" si="4"/>
        <v>32</v>
      </c>
      <c r="B35" s="153" t="s">
        <v>57</v>
      </c>
      <c r="C35" s="153" t="s">
        <v>61</v>
      </c>
      <c r="D35" s="28" t="s">
        <v>246</v>
      </c>
      <c r="E35" s="69" t="s">
        <v>784</v>
      </c>
      <c r="F35" s="39">
        <v>2</v>
      </c>
      <c r="G35" s="141" t="s">
        <v>150</v>
      </c>
      <c r="H35" s="141" t="s">
        <v>753</v>
      </c>
      <c r="I35" s="141"/>
      <c r="J35" s="141" t="s">
        <v>14</v>
      </c>
      <c r="K35" s="141"/>
      <c r="L35" s="69"/>
      <c r="M35" s="141"/>
      <c r="N35" s="59">
        <v>1</v>
      </c>
      <c r="O35" s="59">
        <v>1</v>
      </c>
      <c r="P35" s="105" t="s">
        <v>31</v>
      </c>
      <c r="Q35" s="105" t="s">
        <v>31</v>
      </c>
      <c r="R35" s="105" t="s">
        <v>882</v>
      </c>
      <c r="S35" s="90">
        <v>45952</v>
      </c>
      <c r="T35" s="90">
        <v>45954</v>
      </c>
      <c r="U35" s="93" t="s">
        <v>700</v>
      </c>
      <c r="V35" s="96" t="s">
        <v>701</v>
      </c>
      <c r="W35" s="96" t="s">
        <v>702</v>
      </c>
      <c r="X35" s="29">
        <v>0</v>
      </c>
      <c r="Y35" s="145">
        <v>0</v>
      </c>
      <c r="Z35" s="145">
        <v>0</v>
      </c>
      <c r="AA35" s="145">
        <v>0</v>
      </c>
      <c r="AB35" s="145">
        <v>0</v>
      </c>
      <c r="AC35" s="145">
        <v>0</v>
      </c>
      <c r="AD35" s="145">
        <v>0</v>
      </c>
      <c r="AE35" s="142">
        <f t="shared" si="5"/>
        <v>0</v>
      </c>
      <c r="AF35" s="141"/>
      <c r="AG35" s="67"/>
      <c r="AH35" s="67"/>
      <c r="AI35" s="24"/>
      <c r="AJ35" s="24"/>
      <c r="AK35" s="24"/>
      <c r="AL35" s="71"/>
      <c r="AM35" s="69" t="s">
        <v>785</v>
      </c>
      <c r="AN35" s="141"/>
      <c r="AO35" s="141"/>
      <c r="AP35" s="141">
        <v>5</v>
      </c>
      <c r="AQ35" s="141">
        <v>10</v>
      </c>
      <c r="AR35" s="141"/>
      <c r="AS35" s="141"/>
      <c r="AT35" s="141" t="s">
        <v>757</v>
      </c>
      <c r="AU35" s="141"/>
      <c r="AV35" s="141" t="s">
        <v>757</v>
      </c>
      <c r="AW35" s="141" t="s">
        <v>757</v>
      </c>
    </row>
    <row r="36" spans="1:49" ht="45" customHeight="1">
      <c r="A36" s="153">
        <f t="shared" si="4"/>
        <v>33</v>
      </c>
      <c r="B36" s="153" t="s">
        <v>57</v>
      </c>
      <c r="C36" s="153" t="s">
        <v>63</v>
      </c>
      <c r="D36" s="28" t="s">
        <v>152</v>
      </c>
      <c r="E36" s="69" t="s">
        <v>845</v>
      </c>
      <c r="F36" s="39">
        <v>3</v>
      </c>
      <c r="G36" s="141" t="s">
        <v>753</v>
      </c>
      <c r="H36" s="141" t="s">
        <v>210</v>
      </c>
      <c r="I36" s="141"/>
      <c r="J36" s="141"/>
      <c r="K36" s="141"/>
      <c r="L36" s="69"/>
      <c r="M36" s="141"/>
      <c r="N36" s="59">
        <v>2</v>
      </c>
      <c r="O36" s="59">
        <v>4</v>
      </c>
      <c r="P36" s="105" t="s">
        <v>35</v>
      </c>
      <c r="Q36" s="105" t="s">
        <v>35</v>
      </c>
      <c r="R36" s="105"/>
      <c r="S36" s="90">
        <v>45951</v>
      </c>
      <c r="T36" s="90">
        <v>45960</v>
      </c>
      <c r="U36" s="93" t="s">
        <v>686</v>
      </c>
      <c r="V36" s="96" t="s">
        <v>687</v>
      </c>
      <c r="W36" s="96"/>
      <c r="X36" s="29">
        <v>0</v>
      </c>
      <c r="Y36" s="145">
        <v>0</v>
      </c>
      <c r="Z36" s="145">
        <v>0</v>
      </c>
      <c r="AA36" s="145">
        <v>0</v>
      </c>
      <c r="AB36" s="145">
        <v>0</v>
      </c>
      <c r="AC36" s="145">
        <v>0</v>
      </c>
      <c r="AD36" s="145">
        <v>0</v>
      </c>
      <c r="AE36" s="142">
        <f t="shared" si="5"/>
        <v>0</v>
      </c>
      <c r="AF36" s="141"/>
      <c r="AG36" s="67"/>
      <c r="AH36" s="67"/>
      <c r="AI36" s="24"/>
      <c r="AJ36" s="24"/>
      <c r="AK36" s="24"/>
      <c r="AL36" s="71"/>
      <c r="AM36" s="69" t="s">
        <v>846</v>
      </c>
      <c r="AN36" s="141">
        <v>15</v>
      </c>
      <c r="AO36" s="141" t="s">
        <v>761</v>
      </c>
      <c r="AP36" s="141"/>
      <c r="AQ36" s="141"/>
      <c r="AR36" s="141"/>
      <c r="AS36" s="141"/>
      <c r="AT36" s="141" t="s">
        <v>757</v>
      </c>
      <c r="AU36" s="141"/>
      <c r="AV36" s="141"/>
      <c r="AW36" s="141"/>
    </row>
    <row r="37" spans="1:49" ht="45" customHeight="1">
      <c r="A37" s="153">
        <f t="shared" si="4"/>
        <v>34</v>
      </c>
      <c r="B37" s="153" t="s">
        <v>57</v>
      </c>
      <c r="C37" s="153" t="s">
        <v>63</v>
      </c>
      <c r="D37" s="28" t="s">
        <v>674</v>
      </c>
      <c r="E37" s="69"/>
      <c r="F37" s="39">
        <v>3</v>
      </c>
      <c r="G37" s="141" t="s">
        <v>150</v>
      </c>
      <c r="H37" s="141" t="s">
        <v>805</v>
      </c>
      <c r="I37" s="141"/>
      <c r="J37" s="141"/>
      <c r="K37" s="21"/>
      <c r="L37" s="69"/>
      <c r="M37" s="141"/>
      <c r="N37" s="59">
        <v>4</v>
      </c>
      <c r="O37" s="59">
        <v>4</v>
      </c>
      <c r="P37" s="105" t="s">
        <v>33</v>
      </c>
      <c r="Q37" s="105" t="s">
        <v>33</v>
      </c>
      <c r="R37" s="105"/>
      <c r="S37" s="90">
        <v>45946</v>
      </c>
      <c r="T37" s="90">
        <v>45947</v>
      </c>
      <c r="U37" s="93" t="s">
        <v>675</v>
      </c>
      <c r="V37" s="93" t="s">
        <v>676</v>
      </c>
      <c r="W37" s="96"/>
      <c r="X37" s="29">
        <v>0</v>
      </c>
      <c r="Y37" s="145">
        <v>0</v>
      </c>
      <c r="Z37" s="145">
        <v>0</v>
      </c>
      <c r="AA37" s="145">
        <v>0</v>
      </c>
      <c r="AB37" s="145">
        <v>0</v>
      </c>
      <c r="AC37" s="145">
        <v>0</v>
      </c>
      <c r="AD37" s="145">
        <v>0</v>
      </c>
      <c r="AE37" s="142">
        <f t="shared" si="5"/>
        <v>0</v>
      </c>
      <c r="AF37" s="141"/>
      <c r="AG37" s="67"/>
      <c r="AH37" s="67"/>
      <c r="AI37" s="24"/>
      <c r="AJ37" s="24"/>
      <c r="AK37" s="24"/>
      <c r="AL37" s="71"/>
      <c r="AM37" s="69" t="s">
        <v>849</v>
      </c>
      <c r="AN37" s="141">
        <v>4</v>
      </c>
      <c r="AO37" s="141" t="s">
        <v>756</v>
      </c>
      <c r="AP37" s="141"/>
      <c r="AQ37" s="141">
        <v>100</v>
      </c>
      <c r="AR37" s="86">
        <v>45901</v>
      </c>
      <c r="AS37" s="141" t="s">
        <v>757</v>
      </c>
      <c r="AT37" s="141" t="s">
        <v>757</v>
      </c>
      <c r="AU37" s="141" t="s">
        <v>757</v>
      </c>
      <c r="AV37" s="141" t="s">
        <v>757</v>
      </c>
      <c r="AW37" s="141" t="s">
        <v>757</v>
      </c>
    </row>
    <row r="38" spans="1:49" ht="45" customHeight="1">
      <c r="A38" s="153">
        <f t="shared" si="4"/>
        <v>35</v>
      </c>
      <c r="B38" s="153" t="s">
        <v>57</v>
      </c>
      <c r="C38" s="153" t="s">
        <v>63</v>
      </c>
      <c r="D38" s="28" t="s">
        <v>154</v>
      </c>
      <c r="E38" s="69" t="s">
        <v>851</v>
      </c>
      <c r="F38" s="39">
        <v>1</v>
      </c>
      <c r="G38" s="141" t="s">
        <v>150</v>
      </c>
      <c r="H38" s="141" t="s">
        <v>765</v>
      </c>
      <c r="I38" s="141"/>
      <c r="J38" s="141"/>
      <c r="K38" s="141"/>
      <c r="L38" s="69"/>
      <c r="M38" s="141"/>
      <c r="N38" s="59">
        <v>5</v>
      </c>
      <c r="O38" s="59">
        <v>5</v>
      </c>
      <c r="P38" s="105" t="s">
        <v>31</v>
      </c>
      <c r="Q38" s="105" t="s">
        <v>31</v>
      </c>
      <c r="R38" s="105"/>
      <c r="S38" s="90">
        <v>45936</v>
      </c>
      <c r="T38" s="90">
        <v>45940</v>
      </c>
      <c r="U38" s="93" t="s">
        <v>640</v>
      </c>
      <c r="V38" s="96" t="s">
        <v>641</v>
      </c>
      <c r="W38" s="96" t="s">
        <v>642</v>
      </c>
      <c r="X38" s="29">
        <v>0</v>
      </c>
      <c r="Y38" s="145">
        <v>0</v>
      </c>
      <c r="Z38" s="145">
        <v>0</v>
      </c>
      <c r="AA38" s="145">
        <v>0</v>
      </c>
      <c r="AB38" s="145">
        <v>0</v>
      </c>
      <c r="AC38" s="145">
        <v>0</v>
      </c>
      <c r="AD38" s="145">
        <v>0</v>
      </c>
      <c r="AE38" s="142">
        <f t="shared" si="5"/>
        <v>0</v>
      </c>
      <c r="AF38" s="141"/>
      <c r="AG38" s="67"/>
      <c r="AH38" s="67"/>
      <c r="AI38" s="24"/>
      <c r="AJ38" s="24"/>
      <c r="AK38" s="24"/>
      <c r="AL38" s="71"/>
      <c r="AM38" s="69" t="s">
        <v>852</v>
      </c>
      <c r="AN38" s="141">
        <v>5</v>
      </c>
      <c r="AO38" s="141" t="s">
        <v>756</v>
      </c>
      <c r="AP38" s="141"/>
      <c r="AQ38" s="141"/>
      <c r="AR38" s="141"/>
      <c r="AS38" s="141" t="s">
        <v>757</v>
      </c>
      <c r="AT38" s="141" t="s">
        <v>757</v>
      </c>
      <c r="AU38" s="141" t="s">
        <v>757</v>
      </c>
      <c r="AV38" s="141"/>
      <c r="AW38" s="141" t="s">
        <v>757</v>
      </c>
    </row>
    <row r="39" spans="1:49" ht="45" customHeight="1">
      <c r="A39" s="153">
        <f t="shared" si="4"/>
        <v>36</v>
      </c>
      <c r="B39" s="153" t="s">
        <v>57</v>
      </c>
      <c r="C39" s="153" t="s">
        <v>63</v>
      </c>
      <c r="D39" s="28" t="s">
        <v>141</v>
      </c>
      <c r="E39" s="69"/>
      <c r="F39" s="39">
        <v>1</v>
      </c>
      <c r="G39" s="141" t="s">
        <v>150</v>
      </c>
      <c r="H39" s="141" t="s">
        <v>210</v>
      </c>
      <c r="I39" s="141"/>
      <c r="J39" s="141"/>
      <c r="K39" s="141"/>
      <c r="L39" s="69"/>
      <c r="M39" s="141"/>
      <c r="N39" s="59">
        <v>0</v>
      </c>
      <c r="O39" s="59">
        <v>0</v>
      </c>
      <c r="P39" s="105" t="s">
        <v>31</v>
      </c>
      <c r="Q39" s="105" t="s">
        <v>31</v>
      </c>
      <c r="R39" s="105"/>
      <c r="S39" s="90">
        <v>45945</v>
      </c>
      <c r="T39" s="90">
        <v>45961</v>
      </c>
      <c r="U39" s="93"/>
      <c r="V39" s="96" t="s">
        <v>638</v>
      </c>
      <c r="W39" s="96"/>
      <c r="X39" s="29">
        <v>0</v>
      </c>
      <c r="Y39" s="145">
        <v>0</v>
      </c>
      <c r="Z39" s="145">
        <v>0</v>
      </c>
      <c r="AA39" s="145">
        <v>0</v>
      </c>
      <c r="AB39" s="145">
        <v>0</v>
      </c>
      <c r="AC39" s="145">
        <v>0</v>
      </c>
      <c r="AD39" s="145">
        <v>0</v>
      </c>
      <c r="AE39" s="142">
        <f t="shared" si="5"/>
        <v>0</v>
      </c>
      <c r="AF39" s="141"/>
      <c r="AG39" s="67"/>
      <c r="AH39" s="67"/>
      <c r="AI39" s="24"/>
      <c r="AJ39" s="24"/>
      <c r="AK39" s="24"/>
      <c r="AL39" s="71"/>
      <c r="AM39" s="69" t="s">
        <v>854</v>
      </c>
      <c r="AN39" s="141">
        <v>2</v>
      </c>
      <c r="AO39" s="141" t="s">
        <v>855</v>
      </c>
      <c r="AP39" s="141"/>
      <c r="AQ39" s="141">
        <v>50</v>
      </c>
      <c r="AR39" s="86">
        <v>45962</v>
      </c>
      <c r="AS39" s="141" t="s">
        <v>757</v>
      </c>
      <c r="AT39" s="141" t="s">
        <v>757</v>
      </c>
      <c r="AU39" s="141" t="s">
        <v>757</v>
      </c>
      <c r="AV39" s="141"/>
      <c r="AW39" s="141"/>
    </row>
    <row r="40" spans="1:49" ht="45" customHeight="1">
      <c r="A40" s="153">
        <f t="shared" si="4"/>
        <v>37</v>
      </c>
      <c r="B40" s="153" t="s">
        <v>57</v>
      </c>
      <c r="C40" s="153" t="s">
        <v>63</v>
      </c>
      <c r="D40" s="28" t="s">
        <v>608</v>
      </c>
      <c r="E40" s="69"/>
      <c r="F40" s="39">
        <v>1</v>
      </c>
      <c r="G40" s="141" t="s">
        <v>150</v>
      </c>
      <c r="H40" s="141" t="s">
        <v>765</v>
      </c>
      <c r="I40" s="141"/>
      <c r="J40" s="141"/>
      <c r="K40" s="141"/>
      <c r="L40" s="69"/>
      <c r="M40" s="141"/>
      <c r="N40" s="59">
        <v>0</v>
      </c>
      <c r="O40" s="59">
        <v>0</v>
      </c>
      <c r="P40" s="105" t="s">
        <v>31</v>
      </c>
      <c r="Q40" s="105" t="s">
        <v>31</v>
      </c>
      <c r="R40" s="105" t="s">
        <v>883</v>
      </c>
      <c r="S40" s="90">
        <v>45938</v>
      </c>
      <c r="T40" s="90">
        <v>45954</v>
      </c>
      <c r="U40" s="93" t="s">
        <v>609</v>
      </c>
      <c r="V40" s="96" t="s">
        <v>610</v>
      </c>
      <c r="W40" s="96"/>
      <c r="X40" s="29">
        <v>0</v>
      </c>
      <c r="Y40" s="145">
        <v>0</v>
      </c>
      <c r="Z40" s="145">
        <v>0</v>
      </c>
      <c r="AA40" s="145">
        <v>0</v>
      </c>
      <c r="AB40" s="145">
        <v>0</v>
      </c>
      <c r="AC40" s="145">
        <v>0</v>
      </c>
      <c r="AD40" s="145">
        <v>0</v>
      </c>
      <c r="AE40" s="142">
        <f t="shared" si="5"/>
        <v>0</v>
      </c>
      <c r="AF40" s="141"/>
      <c r="AG40" s="67"/>
      <c r="AH40" s="67"/>
      <c r="AI40" s="24"/>
      <c r="AJ40" s="24"/>
      <c r="AK40" s="24"/>
      <c r="AL40" s="71"/>
      <c r="AM40" s="69" t="s">
        <v>857</v>
      </c>
      <c r="AN40" s="141">
        <v>5</v>
      </c>
      <c r="AO40" s="141" t="s">
        <v>761</v>
      </c>
      <c r="AP40" s="141"/>
      <c r="AQ40" s="141">
        <v>80</v>
      </c>
      <c r="AR40" s="86">
        <v>45931</v>
      </c>
      <c r="AS40" s="141" t="s">
        <v>757</v>
      </c>
      <c r="AT40" s="141" t="s">
        <v>757</v>
      </c>
      <c r="AU40" s="141"/>
      <c r="AV40" s="141"/>
      <c r="AW40" s="141" t="s">
        <v>757</v>
      </c>
    </row>
    <row r="41" spans="1:49" ht="45" customHeight="1">
      <c r="A41" s="153">
        <f t="shared" si="3"/>
        <v>38</v>
      </c>
      <c r="B41" s="153" t="s">
        <v>57</v>
      </c>
      <c r="C41" s="153" t="s">
        <v>63</v>
      </c>
      <c r="D41" s="28" t="s">
        <v>683</v>
      </c>
      <c r="E41" s="69"/>
      <c r="F41" s="39">
        <v>1</v>
      </c>
      <c r="G41" s="141" t="s">
        <v>150</v>
      </c>
      <c r="H41" s="141" t="s">
        <v>765</v>
      </c>
      <c r="I41" s="141"/>
      <c r="J41" s="141"/>
      <c r="K41" s="141"/>
      <c r="L41" s="69"/>
      <c r="M41" s="141"/>
      <c r="N41" s="59">
        <v>5</v>
      </c>
      <c r="O41" s="59">
        <v>5</v>
      </c>
      <c r="P41" s="105" t="s">
        <v>33</v>
      </c>
      <c r="Q41" s="105" t="s">
        <v>33</v>
      </c>
      <c r="R41" s="105"/>
      <c r="S41" s="90">
        <v>45959</v>
      </c>
      <c r="T41" s="90"/>
      <c r="U41" s="93"/>
      <c r="V41" s="96" t="s">
        <v>684</v>
      </c>
      <c r="W41" s="96" t="s">
        <v>685</v>
      </c>
      <c r="X41" s="29">
        <v>0</v>
      </c>
      <c r="Y41" s="145">
        <v>0</v>
      </c>
      <c r="Z41" s="145">
        <v>0</v>
      </c>
      <c r="AA41" s="145">
        <v>0</v>
      </c>
      <c r="AB41" s="145">
        <v>0</v>
      </c>
      <c r="AC41" s="145">
        <v>0</v>
      </c>
      <c r="AD41" s="145">
        <v>0</v>
      </c>
      <c r="AE41" s="142">
        <f t="shared" si="5"/>
        <v>0</v>
      </c>
      <c r="AF41" s="141"/>
      <c r="AG41" s="67"/>
      <c r="AH41" s="67"/>
      <c r="AI41" s="24"/>
      <c r="AJ41" s="24"/>
      <c r="AK41" s="24"/>
      <c r="AL41" s="71"/>
      <c r="AM41" s="69" t="s">
        <v>858</v>
      </c>
      <c r="AN41" s="141">
        <v>5</v>
      </c>
      <c r="AO41" s="141" t="s">
        <v>756</v>
      </c>
      <c r="AP41" s="141"/>
      <c r="AQ41" s="141">
        <v>250</v>
      </c>
      <c r="AR41" s="86">
        <v>45931</v>
      </c>
      <c r="AS41" s="141" t="s">
        <v>757</v>
      </c>
      <c r="AT41" s="141" t="s">
        <v>757</v>
      </c>
      <c r="AU41" s="141"/>
      <c r="AV41" s="141"/>
      <c r="AW41" s="141"/>
    </row>
    <row r="42" spans="1:49" ht="45" customHeight="1">
      <c r="A42" s="153">
        <f t="shared" si="3"/>
        <v>39</v>
      </c>
      <c r="B42" s="153" t="s">
        <v>57</v>
      </c>
      <c r="C42" s="153" t="s">
        <v>63</v>
      </c>
      <c r="D42" s="28" t="s">
        <v>680</v>
      </c>
      <c r="E42" s="69"/>
      <c r="F42" s="39">
        <v>1</v>
      </c>
      <c r="G42" s="141" t="s">
        <v>150</v>
      </c>
      <c r="H42" s="141" t="s">
        <v>765</v>
      </c>
      <c r="I42" s="141"/>
      <c r="J42" s="141"/>
      <c r="K42" s="141"/>
      <c r="L42" s="69"/>
      <c r="M42" s="141"/>
      <c r="N42" s="59">
        <v>5</v>
      </c>
      <c r="O42" s="59">
        <v>5</v>
      </c>
      <c r="P42" s="105" t="s">
        <v>33</v>
      </c>
      <c r="Q42" s="105" t="s">
        <v>33</v>
      </c>
      <c r="R42" s="105"/>
      <c r="S42" s="90">
        <v>45943</v>
      </c>
      <c r="T42" s="90">
        <v>45957</v>
      </c>
      <c r="U42" s="93" t="s">
        <v>681</v>
      </c>
      <c r="V42" s="95" t="s">
        <v>682</v>
      </c>
      <c r="W42" s="95"/>
      <c r="X42" s="29">
        <v>0</v>
      </c>
      <c r="Y42" s="145">
        <v>0</v>
      </c>
      <c r="Z42" s="145">
        <v>0</v>
      </c>
      <c r="AA42" s="145">
        <v>0</v>
      </c>
      <c r="AB42" s="145">
        <v>0</v>
      </c>
      <c r="AC42" s="145">
        <v>0</v>
      </c>
      <c r="AD42" s="145">
        <v>0</v>
      </c>
      <c r="AE42" s="142">
        <f t="shared" si="5"/>
        <v>0</v>
      </c>
      <c r="AF42" s="141"/>
      <c r="AG42" s="67"/>
      <c r="AH42" s="67"/>
      <c r="AI42" s="24"/>
      <c r="AJ42" s="24"/>
      <c r="AK42" s="24"/>
      <c r="AL42" s="71"/>
      <c r="AM42" s="69" t="s">
        <v>860</v>
      </c>
      <c r="AN42" s="141">
        <v>5</v>
      </c>
      <c r="AO42" s="141" t="s">
        <v>756</v>
      </c>
      <c r="AP42" s="141"/>
      <c r="AQ42" s="141"/>
      <c r="AR42" s="141"/>
      <c r="AS42" s="141"/>
      <c r="AT42" s="141"/>
      <c r="AU42" s="141"/>
      <c r="AV42" s="141"/>
      <c r="AW42" s="141" t="s">
        <v>757</v>
      </c>
    </row>
    <row r="43" spans="1:49" ht="45" customHeight="1">
      <c r="A43" s="153">
        <f t="shared" si="3"/>
        <v>40</v>
      </c>
      <c r="B43" s="153" t="s">
        <v>57</v>
      </c>
      <c r="C43" s="153" t="s">
        <v>63</v>
      </c>
      <c r="D43" s="28" t="s">
        <v>705</v>
      </c>
      <c r="E43" s="69"/>
      <c r="F43" s="39">
        <v>2</v>
      </c>
      <c r="G43" s="141" t="s">
        <v>409</v>
      </c>
      <c r="H43" s="141" t="s">
        <v>861</v>
      </c>
      <c r="I43" s="141"/>
      <c r="J43" s="141"/>
      <c r="K43" s="141"/>
      <c r="L43" s="69"/>
      <c r="M43" s="141"/>
      <c r="N43" s="59"/>
      <c r="O43" s="59"/>
      <c r="P43" s="105" t="s">
        <v>33</v>
      </c>
      <c r="Q43" s="105" t="s">
        <v>33</v>
      </c>
      <c r="R43" s="105"/>
      <c r="S43" s="90"/>
      <c r="T43" s="90"/>
      <c r="U43" s="93"/>
      <c r="V43" s="96" t="s">
        <v>706</v>
      </c>
      <c r="W43" s="96"/>
      <c r="X43" s="29">
        <v>0</v>
      </c>
      <c r="Y43" s="145">
        <v>0</v>
      </c>
      <c r="Z43" s="145">
        <v>0</v>
      </c>
      <c r="AA43" s="145">
        <v>0</v>
      </c>
      <c r="AB43" s="145">
        <v>0</v>
      </c>
      <c r="AC43" s="145">
        <v>0</v>
      </c>
      <c r="AD43" s="145">
        <v>0</v>
      </c>
      <c r="AE43" s="142">
        <f t="shared" si="5"/>
        <v>0</v>
      </c>
      <c r="AF43" s="141"/>
      <c r="AG43" s="67"/>
      <c r="AH43" s="67"/>
      <c r="AI43" s="24"/>
      <c r="AJ43" s="24"/>
      <c r="AK43" s="24"/>
      <c r="AL43" s="71"/>
      <c r="AM43" s="69" t="s">
        <v>862</v>
      </c>
      <c r="AN43" s="141">
        <v>10</v>
      </c>
      <c r="AO43" s="141" t="s">
        <v>761</v>
      </c>
      <c r="AP43" s="141"/>
      <c r="AQ43" s="141"/>
      <c r="AR43" s="141"/>
      <c r="AS43" s="141" t="s">
        <v>757</v>
      </c>
      <c r="AT43" s="141" t="s">
        <v>757</v>
      </c>
      <c r="AU43" s="141" t="s">
        <v>757</v>
      </c>
      <c r="AV43" s="141"/>
      <c r="AW43" s="141"/>
    </row>
    <row r="44" spans="1:49" ht="45" customHeight="1">
      <c r="A44" s="153">
        <f t="shared" si="3"/>
        <v>41</v>
      </c>
      <c r="B44" s="153" t="s">
        <v>57</v>
      </c>
      <c r="C44" s="153" t="s">
        <v>63</v>
      </c>
      <c r="D44" s="28" t="s">
        <v>713</v>
      </c>
      <c r="E44" s="69"/>
      <c r="F44" s="39">
        <v>1</v>
      </c>
      <c r="G44" s="141" t="s">
        <v>150</v>
      </c>
      <c r="H44" s="141" t="s">
        <v>764</v>
      </c>
      <c r="I44" s="141"/>
      <c r="J44" s="141"/>
      <c r="K44" s="141"/>
      <c r="L44" s="69"/>
      <c r="M44" s="141"/>
      <c r="N44" s="59">
        <v>4</v>
      </c>
      <c r="O44" s="59">
        <v>4</v>
      </c>
      <c r="P44" s="105" t="s">
        <v>34</v>
      </c>
      <c r="Q44" s="105" t="s">
        <v>32</v>
      </c>
      <c r="R44" s="105"/>
      <c r="S44" s="90"/>
      <c r="T44" s="90">
        <v>45925</v>
      </c>
      <c r="U44" s="93" t="s">
        <v>714</v>
      </c>
      <c r="V44" s="96" t="s">
        <v>715</v>
      </c>
      <c r="W44" s="96"/>
      <c r="X44" s="29">
        <v>0</v>
      </c>
      <c r="Y44" s="145">
        <v>0</v>
      </c>
      <c r="Z44" s="145">
        <v>0</v>
      </c>
      <c r="AA44" s="145">
        <v>0</v>
      </c>
      <c r="AB44" s="145">
        <v>0</v>
      </c>
      <c r="AC44" s="145">
        <v>0</v>
      </c>
      <c r="AD44" s="145">
        <v>0</v>
      </c>
      <c r="AE44" s="142">
        <f t="shared" si="5"/>
        <v>0</v>
      </c>
      <c r="AF44" s="141"/>
      <c r="AG44" s="67"/>
      <c r="AH44" s="67"/>
      <c r="AI44" s="24"/>
      <c r="AJ44" s="24"/>
      <c r="AK44" s="24"/>
      <c r="AL44" s="71"/>
      <c r="AM44" s="69" t="s">
        <v>864</v>
      </c>
      <c r="AN44" s="141"/>
      <c r="AO44" s="141"/>
      <c r="AP44" s="141"/>
      <c r="AQ44" s="141">
        <v>50</v>
      </c>
      <c r="AR44" s="86">
        <v>45901</v>
      </c>
      <c r="AS44" s="141" t="s">
        <v>757</v>
      </c>
      <c r="AT44" s="141" t="s">
        <v>757</v>
      </c>
      <c r="AU44" s="141"/>
      <c r="AV44" s="141"/>
      <c r="AW44" s="141" t="s">
        <v>757</v>
      </c>
    </row>
    <row r="45" spans="1:49" ht="45" customHeight="1">
      <c r="A45" s="153">
        <f t="shared" si="3"/>
        <v>42</v>
      </c>
      <c r="B45" s="153" t="s">
        <v>57</v>
      </c>
      <c r="C45" s="153" t="s">
        <v>63</v>
      </c>
      <c r="D45" s="28" t="s">
        <v>648</v>
      </c>
      <c r="E45" s="69"/>
      <c r="F45" s="39">
        <v>2</v>
      </c>
      <c r="G45" s="141" t="s">
        <v>150</v>
      </c>
      <c r="H45" s="141" t="s">
        <v>805</v>
      </c>
      <c r="I45" s="141"/>
      <c r="J45" s="141"/>
      <c r="K45" s="141"/>
      <c r="L45" s="69"/>
      <c r="M45" s="141"/>
      <c r="N45" s="59"/>
      <c r="O45" s="59"/>
      <c r="P45" s="105" t="s">
        <v>33</v>
      </c>
      <c r="Q45" s="105" t="s">
        <v>33</v>
      </c>
      <c r="R45" s="105"/>
      <c r="S45" s="90">
        <v>45925</v>
      </c>
      <c r="T45" s="90">
        <v>45925</v>
      </c>
      <c r="U45" s="93"/>
      <c r="V45" s="96" t="s">
        <v>649</v>
      </c>
      <c r="W45" s="96"/>
      <c r="X45" s="29">
        <v>0</v>
      </c>
      <c r="Y45" s="145">
        <v>0</v>
      </c>
      <c r="Z45" s="145">
        <v>0</v>
      </c>
      <c r="AA45" s="145">
        <v>0</v>
      </c>
      <c r="AB45" s="145">
        <v>0</v>
      </c>
      <c r="AC45" s="145">
        <v>0</v>
      </c>
      <c r="AD45" s="145">
        <v>0</v>
      </c>
      <c r="AE45" s="142">
        <f t="shared" si="5"/>
        <v>0</v>
      </c>
      <c r="AF45" s="141"/>
      <c r="AG45" s="67"/>
      <c r="AH45" s="67"/>
      <c r="AI45" s="24"/>
      <c r="AJ45" s="24"/>
      <c r="AK45" s="24"/>
      <c r="AL45" s="71"/>
      <c r="AM45" s="69" t="s">
        <v>866</v>
      </c>
      <c r="AN45" s="141"/>
      <c r="AO45" s="141"/>
      <c r="AP45" s="141"/>
      <c r="AQ45" s="141">
        <v>30</v>
      </c>
      <c r="AR45" s="86">
        <v>45901</v>
      </c>
      <c r="AS45" s="141" t="s">
        <v>757</v>
      </c>
      <c r="AT45" s="141" t="s">
        <v>757</v>
      </c>
      <c r="AU45" s="141" t="s">
        <v>757</v>
      </c>
      <c r="AV45" s="141"/>
      <c r="AW45" s="141"/>
    </row>
    <row r="46" spans="1:49" ht="45" customHeight="1">
      <c r="A46" s="153">
        <f t="shared" si="3"/>
        <v>43</v>
      </c>
      <c r="B46" s="153" t="s">
        <v>57</v>
      </c>
      <c r="C46" s="153" t="s">
        <v>63</v>
      </c>
      <c r="D46" s="28" t="s">
        <v>628</v>
      </c>
      <c r="E46" s="69"/>
      <c r="F46" s="39">
        <v>2</v>
      </c>
      <c r="G46" s="141" t="s">
        <v>150</v>
      </c>
      <c r="H46" s="141" t="s">
        <v>797</v>
      </c>
      <c r="I46" s="141"/>
      <c r="J46" s="141"/>
      <c r="K46" s="141"/>
      <c r="L46" s="69"/>
      <c r="M46" s="141"/>
      <c r="N46" s="59"/>
      <c r="O46" s="59"/>
      <c r="P46" s="105" t="s">
        <v>33</v>
      </c>
      <c r="Q46" s="105" t="s">
        <v>33</v>
      </c>
      <c r="R46" s="105"/>
      <c r="S46" s="90"/>
      <c r="T46" s="90"/>
      <c r="U46" s="93" t="s">
        <v>629</v>
      </c>
      <c r="V46" s="96"/>
      <c r="W46" s="96"/>
      <c r="X46" s="29">
        <v>0</v>
      </c>
      <c r="Y46" s="145">
        <v>0</v>
      </c>
      <c r="Z46" s="145">
        <v>0</v>
      </c>
      <c r="AA46" s="145">
        <v>0</v>
      </c>
      <c r="AB46" s="145">
        <v>0</v>
      </c>
      <c r="AC46" s="145">
        <v>0</v>
      </c>
      <c r="AD46" s="145">
        <v>0</v>
      </c>
      <c r="AE46" s="142">
        <f t="shared" si="5"/>
        <v>0</v>
      </c>
      <c r="AF46" s="141"/>
      <c r="AG46" s="67"/>
      <c r="AH46" s="67"/>
      <c r="AI46" s="24"/>
      <c r="AJ46" s="24"/>
      <c r="AK46" s="24"/>
      <c r="AL46" s="71"/>
      <c r="AM46" s="69" t="s">
        <v>868</v>
      </c>
      <c r="AN46" s="141"/>
      <c r="AO46" s="141"/>
      <c r="AP46" s="141"/>
      <c r="AQ46" s="141">
        <v>60</v>
      </c>
      <c r="AR46" s="86">
        <v>45962</v>
      </c>
      <c r="AS46" s="141" t="s">
        <v>757</v>
      </c>
      <c r="AT46" s="141" t="s">
        <v>757</v>
      </c>
      <c r="AU46" s="141"/>
      <c r="AV46" s="141"/>
      <c r="AW46" s="141" t="s">
        <v>757</v>
      </c>
    </row>
    <row r="47" spans="1:49" ht="45" customHeight="1">
      <c r="A47" s="153">
        <f t="shared" si="3"/>
        <v>44</v>
      </c>
      <c r="B47" s="153" t="s">
        <v>57</v>
      </c>
      <c r="C47" s="153" t="s">
        <v>65</v>
      </c>
      <c r="D47" s="28" t="s">
        <v>662</v>
      </c>
      <c r="E47" s="69"/>
      <c r="F47" s="39">
        <v>0</v>
      </c>
      <c r="G47" s="141" t="s">
        <v>150</v>
      </c>
      <c r="H47" s="141" t="s">
        <v>805</v>
      </c>
      <c r="I47" s="141"/>
      <c r="J47" s="141"/>
      <c r="K47" s="21" t="s">
        <v>44</v>
      </c>
      <c r="L47" s="69"/>
      <c r="M47" s="141"/>
      <c r="N47" s="59"/>
      <c r="O47" s="59"/>
      <c r="P47" s="105" t="s">
        <v>35</v>
      </c>
      <c r="Q47" s="105" t="s">
        <v>35</v>
      </c>
      <c r="R47" s="105"/>
      <c r="S47" s="90">
        <v>45940</v>
      </c>
      <c r="T47" s="90">
        <v>45947</v>
      </c>
      <c r="U47" s="93" t="s">
        <v>663</v>
      </c>
      <c r="V47" s="96" t="s">
        <v>664</v>
      </c>
      <c r="W47" s="96"/>
      <c r="X47" s="29">
        <v>0</v>
      </c>
      <c r="Y47" s="145">
        <v>0</v>
      </c>
      <c r="Z47" s="145">
        <v>0</v>
      </c>
      <c r="AA47" s="145">
        <v>0</v>
      </c>
      <c r="AB47" s="145">
        <v>0</v>
      </c>
      <c r="AC47" s="145">
        <v>0</v>
      </c>
      <c r="AD47" s="145">
        <v>0</v>
      </c>
      <c r="AE47" s="142">
        <f t="shared" si="5"/>
        <v>0</v>
      </c>
      <c r="AF47" s="141"/>
      <c r="AG47" s="67"/>
      <c r="AH47" s="67"/>
      <c r="AI47" s="24"/>
      <c r="AJ47" s="24"/>
      <c r="AK47" s="24"/>
      <c r="AL47" s="71"/>
      <c r="AM47" s="69"/>
      <c r="AN47" s="141"/>
      <c r="AO47" s="141"/>
      <c r="AP47" s="141"/>
      <c r="AQ47" s="141"/>
      <c r="AR47" s="141"/>
      <c r="AS47" s="141"/>
      <c r="AT47" s="141"/>
      <c r="AU47" s="141"/>
      <c r="AV47" s="141"/>
      <c r="AW47" s="141"/>
    </row>
    <row r="48" spans="1:49" ht="45" customHeight="1">
      <c r="A48" s="153">
        <f t="shared" si="3"/>
        <v>45</v>
      </c>
      <c r="B48" s="153" t="s">
        <v>57</v>
      </c>
      <c r="C48" s="153"/>
      <c r="D48" s="28"/>
      <c r="E48" s="69"/>
      <c r="F48" s="39">
        <v>0</v>
      </c>
      <c r="G48" s="141"/>
      <c r="H48" s="141"/>
      <c r="I48" s="141"/>
      <c r="J48" s="141"/>
      <c r="K48" s="141"/>
      <c r="L48" s="69"/>
      <c r="M48" s="141"/>
      <c r="N48" s="59"/>
      <c r="O48" s="59"/>
      <c r="P48" s="105"/>
      <c r="Q48" s="105"/>
      <c r="R48" s="105"/>
      <c r="S48" s="90"/>
      <c r="T48" s="90"/>
      <c r="U48" s="93"/>
      <c r="V48" s="96"/>
      <c r="W48" s="96"/>
      <c r="X48" s="29">
        <v>0</v>
      </c>
      <c r="Y48" s="145">
        <v>0</v>
      </c>
      <c r="Z48" s="145">
        <v>0</v>
      </c>
      <c r="AA48" s="145">
        <v>0</v>
      </c>
      <c r="AB48" s="145">
        <v>0</v>
      </c>
      <c r="AC48" s="145">
        <v>0</v>
      </c>
      <c r="AD48" s="145">
        <v>0</v>
      </c>
      <c r="AE48" s="142">
        <f t="shared" si="5"/>
        <v>0</v>
      </c>
      <c r="AF48" s="141"/>
      <c r="AG48" s="67"/>
      <c r="AH48" s="67"/>
      <c r="AI48" s="24"/>
      <c r="AJ48" s="24"/>
      <c r="AK48" s="24"/>
      <c r="AL48" s="71"/>
      <c r="AM48" s="69"/>
      <c r="AN48" s="141"/>
      <c r="AO48" s="141"/>
      <c r="AP48" s="141"/>
      <c r="AQ48" s="141"/>
      <c r="AR48" s="141"/>
      <c r="AS48" s="141"/>
      <c r="AT48" s="141"/>
      <c r="AU48" s="141"/>
      <c r="AV48" s="141"/>
      <c r="AW48" s="141"/>
    </row>
    <row r="49" spans="1:49" ht="45" customHeight="1">
      <c r="A49" s="153">
        <f t="shared" si="3"/>
        <v>46</v>
      </c>
      <c r="B49" s="153" t="s">
        <v>57</v>
      </c>
      <c r="C49" s="153"/>
      <c r="D49" s="28"/>
      <c r="E49" s="69"/>
      <c r="F49" s="39">
        <v>0</v>
      </c>
      <c r="G49" s="141"/>
      <c r="H49" s="141"/>
      <c r="I49" s="141"/>
      <c r="J49" s="141"/>
      <c r="K49" s="141"/>
      <c r="L49" s="69"/>
      <c r="M49" s="141"/>
      <c r="N49" s="59"/>
      <c r="O49" s="59"/>
      <c r="P49" s="105"/>
      <c r="Q49" s="105"/>
      <c r="R49" s="105"/>
      <c r="S49" s="90"/>
      <c r="T49" s="90"/>
      <c r="U49" s="93"/>
      <c r="V49" s="96"/>
      <c r="W49" s="96"/>
      <c r="X49" s="29">
        <v>0</v>
      </c>
      <c r="Y49" s="145">
        <v>0</v>
      </c>
      <c r="Z49" s="145">
        <v>0</v>
      </c>
      <c r="AA49" s="145">
        <v>0</v>
      </c>
      <c r="AB49" s="145">
        <v>0</v>
      </c>
      <c r="AC49" s="145">
        <v>0</v>
      </c>
      <c r="AD49" s="145">
        <v>0</v>
      </c>
      <c r="AE49" s="142">
        <f t="shared" ref="AE49:AE80" si="6">AVERAGE(X49:AD49)</f>
        <v>0</v>
      </c>
      <c r="AF49" s="141"/>
      <c r="AG49" s="67"/>
      <c r="AH49" s="67"/>
      <c r="AI49" s="24"/>
      <c r="AJ49" s="24"/>
      <c r="AK49" s="24"/>
      <c r="AL49" s="71"/>
      <c r="AM49" s="69"/>
      <c r="AN49" s="141"/>
      <c r="AO49" s="141"/>
      <c r="AP49" s="141"/>
      <c r="AQ49" s="141"/>
      <c r="AR49" s="141"/>
      <c r="AS49" s="141"/>
      <c r="AT49" s="141"/>
      <c r="AU49" s="141"/>
      <c r="AV49" s="141"/>
      <c r="AW49" s="141"/>
    </row>
    <row r="50" spans="1:49" ht="45" customHeight="1">
      <c r="A50" s="153">
        <f t="shared" si="3"/>
        <v>47</v>
      </c>
      <c r="B50" s="153" t="s">
        <v>57</v>
      </c>
      <c r="C50" s="153"/>
      <c r="D50" s="28"/>
      <c r="E50" s="69"/>
      <c r="F50" s="39">
        <v>0</v>
      </c>
      <c r="G50" s="141"/>
      <c r="H50" s="141"/>
      <c r="I50" s="141"/>
      <c r="J50" s="141"/>
      <c r="K50" s="141"/>
      <c r="L50" s="69"/>
      <c r="M50" s="141"/>
      <c r="N50" s="59"/>
      <c r="O50" s="59"/>
      <c r="P50" s="105"/>
      <c r="Q50" s="105"/>
      <c r="R50" s="105"/>
      <c r="S50" s="90"/>
      <c r="T50" s="90"/>
      <c r="U50" s="93"/>
      <c r="V50" s="96"/>
      <c r="W50" s="96"/>
      <c r="X50" s="29">
        <v>0</v>
      </c>
      <c r="Y50" s="145">
        <v>0</v>
      </c>
      <c r="Z50" s="145">
        <v>0</v>
      </c>
      <c r="AA50" s="145">
        <v>0</v>
      </c>
      <c r="AB50" s="145">
        <v>0</v>
      </c>
      <c r="AC50" s="145">
        <v>0</v>
      </c>
      <c r="AD50" s="145">
        <v>0</v>
      </c>
      <c r="AE50" s="142">
        <f t="shared" si="6"/>
        <v>0</v>
      </c>
      <c r="AF50" s="141"/>
      <c r="AG50" s="67"/>
      <c r="AH50" s="67"/>
      <c r="AI50" s="24"/>
      <c r="AJ50" s="24"/>
      <c r="AK50" s="24"/>
      <c r="AL50" s="71"/>
      <c r="AM50" s="69"/>
      <c r="AN50" s="141"/>
      <c r="AO50" s="141"/>
      <c r="AP50" s="141"/>
      <c r="AQ50" s="141"/>
      <c r="AR50" s="141"/>
      <c r="AS50" s="141"/>
      <c r="AT50" s="141"/>
      <c r="AU50" s="141"/>
      <c r="AV50" s="141"/>
      <c r="AW50" s="141"/>
    </row>
    <row r="51" spans="1:49" ht="45" customHeight="1">
      <c r="A51" s="153">
        <f t="shared" si="3"/>
        <v>48</v>
      </c>
      <c r="B51" s="153" t="s">
        <v>57</v>
      </c>
      <c r="C51" s="153"/>
      <c r="D51" s="28"/>
      <c r="E51" s="69"/>
      <c r="F51" s="39">
        <v>0</v>
      </c>
      <c r="G51" s="141"/>
      <c r="H51" s="141"/>
      <c r="I51" s="141"/>
      <c r="J51" s="141"/>
      <c r="K51" s="141"/>
      <c r="L51" s="69"/>
      <c r="M51" s="141"/>
      <c r="N51" s="59"/>
      <c r="O51" s="59"/>
      <c r="P51" s="105"/>
      <c r="Q51" s="105"/>
      <c r="R51" s="105"/>
      <c r="S51" s="90"/>
      <c r="T51" s="90"/>
      <c r="U51" s="93"/>
      <c r="V51" s="96"/>
      <c r="W51" s="96"/>
      <c r="X51" s="29">
        <v>0</v>
      </c>
      <c r="Y51" s="145">
        <v>0</v>
      </c>
      <c r="Z51" s="145">
        <v>0</v>
      </c>
      <c r="AA51" s="145">
        <v>0</v>
      </c>
      <c r="AB51" s="145">
        <v>0</v>
      </c>
      <c r="AC51" s="145">
        <v>0</v>
      </c>
      <c r="AD51" s="145">
        <v>0</v>
      </c>
      <c r="AE51" s="142">
        <f t="shared" si="6"/>
        <v>0</v>
      </c>
      <c r="AF51" s="141"/>
      <c r="AG51" s="67"/>
      <c r="AH51" s="67"/>
      <c r="AI51" s="24"/>
      <c r="AJ51" s="24"/>
      <c r="AK51" s="24"/>
      <c r="AL51" s="71"/>
      <c r="AM51" s="69"/>
      <c r="AN51" s="141"/>
      <c r="AO51" s="141"/>
      <c r="AP51" s="141"/>
      <c r="AQ51" s="141"/>
      <c r="AR51" s="141"/>
      <c r="AS51" s="141"/>
      <c r="AT51" s="141"/>
      <c r="AU51" s="141"/>
      <c r="AV51" s="141"/>
      <c r="AW51" s="141"/>
    </row>
    <row r="52" spans="1:49" ht="45" customHeight="1">
      <c r="A52" s="153">
        <f t="shared" si="3"/>
        <v>49</v>
      </c>
      <c r="B52" s="153" t="s">
        <v>57</v>
      </c>
      <c r="C52" s="153"/>
      <c r="D52" s="28"/>
      <c r="E52" s="69"/>
      <c r="F52" s="39">
        <v>0</v>
      </c>
      <c r="G52" s="141"/>
      <c r="H52" s="141"/>
      <c r="I52" s="141"/>
      <c r="J52" s="141"/>
      <c r="K52" s="141"/>
      <c r="L52" s="69"/>
      <c r="M52" s="141"/>
      <c r="N52" s="59"/>
      <c r="O52" s="59"/>
      <c r="P52" s="105"/>
      <c r="Q52" s="105"/>
      <c r="R52" s="105"/>
      <c r="S52" s="90"/>
      <c r="T52" s="90"/>
      <c r="U52" s="93"/>
      <c r="V52" s="96"/>
      <c r="W52" s="96"/>
      <c r="X52" s="29">
        <v>0</v>
      </c>
      <c r="Y52" s="145">
        <v>0</v>
      </c>
      <c r="Z52" s="145">
        <v>0</v>
      </c>
      <c r="AA52" s="145">
        <v>0</v>
      </c>
      <c r="AB52" s="145">
        <v>0</v>
      </c>
      <c r="AC52" s="145">
        <v>0</v>
      </c>
      <c r="AD52" s="145">
        <v>0</v>
      </c>
      <c r="AE52" s="142">
        <f t="shared" si="6"/>
        <v>0</v>
      </c>
      <c r="AF52" s="141"/>
      <c r="AG52" s="67"/>
      <c r="AH52" s="67"/>
      <c r="AI52" s="24"/>
      <c r="AJ52" s="24"/>
      <c r="AK52" s="24"/>
      <c r="AL52" s="71"/>
      <c r="AM52" s="69"/>
      <c r="AN52" s="141"/>
      <c r="AO52" s="141"/>
      <c r="AP52" s="141"/>
      <c r="AQ52" s="141"/>
      <c r="AR52" s="141"/>
      <c r="AS52" s="141"/>
      <c r="AT52" s="141"/>
      <c r="AU52" s="141"/>
      <c r="AV52" s="141"/>
      <c r="AW52" s="141"/>
    </row>
    <row r="53" spans="1:49" ht="45" customHeight="1">
      <c r="A53" s="153">
        <f t="shared" si="3"/>
        <v>50</v>
      </c>
      <c r="B53" s="153" t="s">
        <v>57</v>
      </c>
      <c r="C53" s="153"/>
      <c r="D53" s="28"/>
      <c r="E53" s="69"/>
      <c r="F53" s="39">
        <v>0</v>
      </c>
      <c r="G53" s="141"/>
      <c r="H53" s="141"/>
      <c r="I53" s="141"/>
      <c r="J53" s="141"/>
      <c r="K53" s="141"/>
      <c r="L53" s="69"/>
      <c r="M53" s="141"/>
      <c r="N53" s="59"/>
      <c r="O53" s="59"/>
      <c r="P53" s="105"/>
      <c r="Q53" s="105"/>
      <c r="R53" s="105"/>
      <c r="S53" s="90"/>
      <c r="T53" s="90"/>
      <c r="U53" s="93"/>
      <c r="V53" s="96"/>
      <c r="W53" s="96"/>
      <c r="X53" s="29">
        <v>0</v>
      </c>
      <c r="Y53" s="145">
        <v>0</v>
      </c>
      <c r="Z53" s="145">
        <v>0</v>
      </c>
      <c r="AA53" s="145">
        <v>0</v>
      </c>
      <c r="AB53" s="145">
        <v>0</v>
      </c>
      <c r="AC53" s="145">
        <v>0</v>
      </c>
      <c r="AD53" s="145">
        <v>0</v>
      </c>
      <c r="AE53" s="142">
        <f t="shared" si="6"/>
        <v>0</v>
      </c>
      <c r="AF53" s="141"/>
      <c r="AG53" s="67"/>
      <c r="AH53" s="67"/>
      <c r="AI53" s="24"/>
      <c r="AJ53" s="24"/>
      <c r="AK53" s="24"/>
      <c r="AL53" s="71"/>
      <c r="AM53" s="69"/>
      <c r="AN53" s="141"/>
      <c r="AO53" s="141"/>
      <c r="AP53" s="141"/>
      <c r="AQ53" s="141"/>
      <c r="AR53" s="141"/>
      <c r="AS53" s="141"/>
      <c r="AT53" s="141"/>
      <c r="AU53" s="141"/>
      <c r="AV53" s="141"/>
      <c r="AW53" s="141"/>
    </row>
    <row r="54" spans="1:49" ht="45" customHeight="1">
      <c r="A54" s="153">
        <f t="shared" si="3"/>
        <v>51</v>
      </c>
      <c r="B54" s="153" t="s">
        <v>57</v>
      </c>
      <c r="C54" s="153"/>
      <c r="D54" s="28"/>
      <c r="E54" s="69"/>
      <c r="F54" s="39">
        <v>0</v>
      </c>
      <c r="G54" s="141"/>
      <c r="H54" s="141"/>
      <c r="I54" s="141"/>
      <c r="J54" s="141"/>
      <c r="K54" s="141"/>
      <c r="L54" s="69"/>
      <c r="M54" s="141"/>
      <c r="N54" s="59"/>
      <c r="O54" s="59"/>
      <c r="P54" s="105"/>
      <c r="Q54" s="105"/>
      <c r="R54" s="105"/>
      <c r="S54" s="90"/>
      <c r="T54" s="90"/>
      <c r="U54" s="93"/>
      <c r="V54" s="94"/>
      <c r="W54" s="94"/>
      <c r="X54" s="29">
        <v>0</v>
      </c>
      <c r="Y54" s="145">
        <v>0</v>
      </c>
      <c r="Z54" s="145">
        <v>0</v>
      </c>
      <c r="AA54" s="145">
        <v>0</v>
      </c>
      <c r="AB54" s="145">
        <v>0</v>
      </c>
      <c r="AC54" s="145">
        <v>0</v>
      </c>
      <c r="AD54" s="145">
        <v>0</v>
      </c>
      <c r="AE54" s="142">
        <f t="shared" si="6"/>
        <v>0</v>
      </c>
      <c r="AF54" s="141"/>
      <c r="AG54" s="67"/>
      <c r="AH54" s="67"/>
      <c r="AI54" s="24"/>
      <c r="AJ54" s="24"/>
      <c r="AK54" s="24"/>
      <c r="AL54" s="71"/>
      <c r="AM54" s="69"/>
      <c r="AN54" s="141"/>
      <c r="AO54" s="141"/>
      <c r="AP54" s="141"/>
      <c r="AQ54" s="141"/>
      <c r="AR54" s="141"/>
      <c r="AS54" s="141"/>
      <c r="AT54" s="141"/>
      <c r="AU54" s="141"/>
      <c r="AV54" s="141"/>
      <c r="AW54" s="141"/>
    </row>
    <row r="55" spans="1:49" ht="45" customHeight="1">
      <c r="A55" s="153">
        <f t="shared" si="3"/>
        <v>52</v>
      </c>
      <c r="B55" s="153" t="s">
        <v>57</v>
      </c>
      <c r="C55" s="153"/>
      <c r="D55" s="28"/>
      <c r="E55" s="69"/>
      <c r="F55" s="39">
        <v>0</v>
      </c>
      <c r="G55" s="141"/>
      <c r="H55" s="141"/>
      <c r="I55" s="141"/>
      <c r="J55" s="141"/>
      <c r="K55" s="141"/>
      <c r="L55" s="69"/>
      <c r="M55" s="141"/>
      <c r="N55" s="59"/>
      <c r="O55" s="59"/>
      <c r="P55" s="105"/>
      <c r="Q55" s="105"/>
      <c r="R55" s="105"/>
      <c r="S55" s="90"/>
      <c r="T55" s="90"/>
      <c r="U55" s="93"/>
      <c r="V55" s="96"/>
      <c r="W55" s="96"/>
      <c r="X55" s="29">
        <v>0</v>
      </c>
      <c r="Y55" s="145">
        <v>0</v>
      </c>
      <c r="Z55" s="145">
        <v>0</v>
      </c>
      <c r="AA55" s="145">
        <v>0</v>
      </c>
      <c r="AB55" s="145">
        <v>0</v>
      </c>
      <c r="AC55" s="145">
        <v>0</v>
      </c>
      <c r="AD55" s="145">
        <v>0</v>
      </c>
      <c r="AE55" s="142">
        <f t="shared" si="6"/>
        <v>0</v>
      </c>
      <c r="AF55" s="141"/>
      <c r="AG55" s="67"/>
      <c r="AH55" s="67"/>
      <c r="AI55" s="24"/>
      <c r="AJ55" s="24"/>
      <c r="AK55" s="24"/>
      <c r="AL55" s="71"/>
      <c r="AM55" s="69"/>
      <c r="AN55" s="141"/>
      <c r="AO55" s="141"/>
      <c r="AP55" s="141"/>
      <c r="AQ55" s="141"/>
      <c r="AR55" s="141"/>
      <c r="AS55" s="141"/>
      <c r="AT55" s="141"/>
      <c r="AU55" s="141"/>
      <c r="AV55" s="141"/>
      <c r="AW55" s="141"/>
    </row>
    <row r="56" spans="1:49" ht="45" customHeight="1">
      <c r="A56" s="153">
        <f t="shared" si="3"/>
        <v>53</v>
      </c>
      <c r="B56" s="153" t="s">
        <v>57</v>
      </c>
      <c r="C56" s="28"/>
      <c r="D56" s="28"/>
      <c r="E56" s="69"/>
      <c r="F56" s="39">
        <v>0</v>
      </c>
      <c r="G56" s="141"/>
      <c r="H56" s="141"/>
      <c r="I56" s="141"/>
      <c r="J56" s="141"/>
      <c r="K56" s="141"/>
      <c r="L56" s="69"/>
      <c r="M56" s="141"/>
      <c r="N56" s="59"/>
      <c r="O56" s="59"/>
      <c r="P56" s="105"/>
      <c r="Q56" s="105"/>
      <c r="R56" s="105"/>
      <c r="S56" s="90"/>
      <c r="T56" s="90"/>
      <c r="U56" s="93"/>
      <c r="V56" s="96"/>
      <c r="W56" s="96"/>
      <c r="X56" s="29">
        <v>0</v>
      </c>
      <c r="Y56" s="145">
        <v>0</v>
      </c>
      <c r="Z56" s="145">
        <v>0</v>
      </c>
      <c r="AA56" s="145">
        <v>0</v>
      </c>
      <c r="AB56" s="145">
        <v>0</v>
      </c>
      <c r="AC56" s="145">
        <v>0</v>
      </c>
      <c r="AD56" s="145">
        <v>0</v>
      </c>
      <c r="AE56" s="142">
        <f t="shared" si="6"/>
        <v>0</v>
      </c>
      <c r="AF56" s="141"/>
      <c r="AG56" s="67"/>
      <c r="AH56" s="67"/>
      <c r="AI56" s="24"/>
      <c r="AJ56" s="24"/>
      <c r="AK56" s="24"/>
      <c r="AL56" s="71"/>
      <c r="AM56" s="69"/>
      <c r="AN56" s="141"/>
      <c r="AO56" s="141"/>
      <c r="AP56" s="141"/>
      <c r="AQ56" s="141"/>
      <c r="AR56" s="141"/>
      <c r="AS56" s="141"/>
      <c r="AT56" s="141"/>
      <c r="AU56" s="141"/>
      <c r="AV56" s="141"/>
      <c r="AW56" s="141"/>
    </row>
    <row r="57" spans="1:49" ht="45" customHeight="1">
      <c r="A57" s="153">
        <f t="shared" si="3"/>
        <v>54</v>
      </c>
      <c r="B57" s="153" t="s">
        <v>57</v>
      </c>
      <c r="C57" s="140"/>
      <c r="D57" s="28"/>
      <c r="E57" s="69"/>
      <c r="F57" s="39">
        <v>0</v>
      </c>
      <c r="G57" s="141"/>
      <c r="H57" s="141"/>
      <c r="I57" s="141"/>
      <c r="J57" s="141"/>
      <c r="K57" s="141"/>
      <c r="L57" s="69"/>
      <c r="M57" s="141"/>
      <c r="N57" s="59"/>
      <c r="O57" s="59"/>
      <c r="P57" s="105"/>
      <c r="Q57" s="105"/>
      <c r="R57" s="105"/>
      <c r="S57" s="90"/>
      <c r="T57" s="90"/>
      <c r="U57" s="93"/>
      <c r="V57" s="96"/>
      <c r="W57" s="96"/>
      <c r="X57" s="29">
        <v>0</v>
      </c>
      <c r="Y57" s="145">
        <v>0</v>
      </c>
      <c r="Z57" s="145">
        <v>0</v>
      </c>
      <c r="AA57" s="145">
        <v>0</v>
      </c>
      <c r="AB57" s="145">
        <v>0</v>
      </c>
      <c r="AC57" s="145">
        <v>0</v>
      </c>
      <c r="AD57" s="145">
        <v>0</v>
      </c>
      <c r="AE57" s="142">
        <f t="shared" si="6"/>
        <v>0</v>
      </c>
      <c r="AF57" s="141"/>
      <c r="AG57" s="67"/>
      <c r="AH57" s="67"/>
      <c r="AI57" s="24"/>
      <c r="AJ57" s="24"/>
      <c r="AK57" s="24"/>
      <c r="AL57" s="71"/>
      <c r="AM57" s="69"/>
      <c r="AN57" s="141"/>
      <c r="AO57" s="141"/>
      <c r="AP57" s="141"/>
      <c r="AQ57" s="141"/>
      <c r="AR57" s="141"/>
      <c r="AS57" s="141"/>
      <c r="AT57" s="141"/>
      <c r="AU57" s="141"/>
      <c r="AV57" s="141"/>
      <c r="AW57" s="141"/>
    </row>
    <row r="58" spans="1:49" ht="45" customHeight="1">
      <c r="A58" s="153">
        <f t="shared" si="3"/>
        <v>55</v>
      </c>
      <c r="B58" s="153" t="s">
        <v>57</v>
      </c>
      <c r="C58" s="140"/>
      <c r="D58" s="28"/>
      <c r="E58" s="69"/>
      <c r="F58" s="39">
        <v>0</v>
      </c>
      <c r="G58" s="141"/>
      <c r="H58" s="141"/>
      <c r="I58" s="141"/>
      <c r="J58" s="141"/>
      <c r="K58" s="21"/>
      <c r="L58" s="69"/>
      <c r="M58" s="141"/>
      <c r="N58" s="59"/>
      <c r="O58" s="59"/>
      <c r="P58" s="105"/>
      <c r="Q58" s="105"/>
      <c r="R58" s="105"/>
      <c r="S58" s="90"/>
      <c r="T58" s="90"/>
      <c r="U58" s="93"/>
      <c r="V58" s="96"/>
      <c r="W58" s="96"/>
      <c r="X58" s="29">
        <v>0</v>
      </c>
      <c r="Y58" s="145">
        <v>0</v>
      </c>
      <c r="Z58" s="145">
        <v>0</v>
      </c>
      <c r="AA58" s="145">
        <v>0</v>
      </c>
      <c r="AB58" s="145">
        <v>0</v>
      </c>
      <c r="AC58" s="145">
        <v>0</v>
      </c>
      <c r="AD58" s="145">
        <v>0</v>
      </c>
      <c r="AE58" s="142">
        <f t="shared" si="6"/>
        <v>0</v>
      </c>
      <c r="AF58" s="141"/>
      <c r="AG58" s="67"/>
      <c r="AH58" s="67"/>
      <c r="AI58" s="24"/>
      <c r="AJ58" s="24"/>
      <c r="AK58" s="24"/>
      <c r="AL58" s="71"/>
      <c r="AM58" s="69"/>
      <c r="AN58" s="141"/>
      <c r="AO58" s="141"/>
      <c r="AP58" s="141"/>
      <c r="AQ58" s="141"/>
      <c r="AR58" s="141"/>
      <c r="AS58" s="141"/>
      <c r="AT58" s="141"/>
      <c r="AU58" s="141"/>
      <c r="AV58" s="141"/>
      <c r="AW58" s="141"/>
    </row>
    <row r="59" spans="1:49" ht="45" customHeight="1">
      <c r="A59" s="153">
        <f t="shared" si="3"/>
        <v>56</v>
      </c>
      <c r="B59" s="153" t="s">
        <v>57</v>
      </c>
      <c r="C59" s="140"/>
      <c r="D59" s="28"/>
      <c r="E59" s="69"/>
      <c r="F59" s="39">
        <v>0</v>
      </c>
      <c r="G59" s="141"/>
      <c r="H59" s="141"/>
      <c r="I59" s="141"/>
      <c r="J59" s="141"/>
      <c r="K59" s="141"/>
      <c r="L59" s="69"/>
      <c r="M59" s="141"/>
      <c r="N59" s="59"/>
      <c r="O59" s="59"/>
      <c r="P59" s="105"/>
      <c r="Q59" s="105"/>
      <c r="R59" s="105"/>
      <c r="S59" s="90"/>
      <c r="T59" s="90"/>
      <c r="U59" s="93"/>
      <c r="V59" s="96"/>
      <c r="W59" s="96"/>
      <c r="X59" s="29">
        <v>0</v>
      </c>
      <c r="Y59" s="145">
        <v>0</v>
      </c>
      <c r="Z59" s="145">
        <v>0</v>
      </c>
      <c r="AA59" s="145">
        <v>0</v>
      </c>
      <c r="AB59" s="145">
        <v>0</v>
      </c>
      <c r="AC59" s="145">
        <v>0</v>
      </c>
      <c r="AD59" s="145">
        <v>0</v>
      </c>
      <c r="AE59" s="142">
        <f t="shared" si="6"/>
        <v>0</v>
      </c>
      <c r="AF59" s="141"/>
      <c r="AG59" s="67"/>
      <c r="AH59" s="67"/>
      <c r="AI59" s="24"/>
      <c r="AJ59" s="24"/>
      <c r="AK59" s="24"/>
      <c r="AL59" s="71"/>
      <c r="AM59" s="69"/>
      <c r="AN59" s="141"/>
      <c r="AO59" s="141"/>
      <c r="AP59" s="141"/>
      <c r="AQ59" s="141"/>
      <c r="AR59" s="141"/>
      <c r="AS59" s="141"/>
      <c r="AT59" s="141"/>
      <c r="AU59" s="141"/>
      <c r="AV59" s="141"/>
      <c r="AW59" s="141"/>
    </row>
    <row r="60" spans="1:49" ht="45" customHeight="1">
      <c r="A60" s="153">
        <f t="shared" si="3"/>
        <v>57</v>
      </c>
      <c r="B60" s="153" t="s">
        <v>57</v>
      </c>
      <c r="C60" s="140"/>
      <c r="D60" s="28"/>
      <c r="E60" s="69"/>
      <c r="F60" s="39">
        <v>0</v>
      </c>
      <c r="G60" s="141"/>
      <c r="H60" s="141"/>
      <c r="I60" s="141"/>
      <c r="J60" s="141"/>
      <c r="K60" s="141"/>
      <c r="L60" s="69"/>
      <c r="M60" s="141"/>
      <c r="N60" s="59"/>
      <c r="O60" s="59"/>
      <c r="P60" s="105"/>
      <c r="Q60" s="105"/>
      <c r="R60" s="105"/>
      <c r="S60" s="90"/>
      <c r="T60" s="90"/>
      <c r="U60" s="93"/>
      <c r="V60" s="96"/>
      <c r="W60" s="96"/>
      <c r="X60" s="29">
        <v>0</v>
      </c>
      <c r="Y60" s="145">
        <v>0</v>
      </c>
      <c r="Z60" s="145">
        <v>0</v>
      </c>
      <c r="AA60" s="145">
        <v>0</v>
      </c>
      <c r="AB60" s="145">
        <v>0</v>
      </c>
      <c r="AC60" s="145">
        <v>0</v>
      </c>
      <c r="AD60" s="145">
        <v>0</v>
      </c>
      <c r="AE60" s="142">
        <f t="shared" si="6"/>
        <v>0</v>
      </c>
      <c r="AF60" s="141"/>
      <c r="AG60" s="67"/>
      <c r="AH60" s="67"/>
      <c r="AI60" s="24"/>
      <c r="AJ60" s="24"/>
      <c r="AK60" s="24"/>
      <c r="AL60" s="71"/>
      <c r="AM60" s="69"/>
      <c r="AN60" s="141"/>
      <c r="AO60" s="141"/>
      <c r="AP60" s="141"/>
      <c r="AQ60" s="141"/>
      <c r="AR60" s="141"/>
      <c r="AS60" s="141"/>
      <c r="AT60" s="141"/>
      <c r="AU60" s="141"/>
      <c r="AV60" s="141"/>
      <c r="AW60" s="141"/>
    </row>
    <row r="61" spans="1:49" ht="45" customHeight="1">
      <c r="A61" s="153">
        <f t="shared" si="3"/>
        <v>58</v>
      </c>
      <c r="B61" s="153" t="s">
        <v>57</v>
      </c>
      <c r="C61" s="58"/>
      <c r="D61" s="28"/>
      <c r="E61" s="69"/>
      <c r="F61" s="39">
        <v>0</v>
      </c>
      <c r="G61" s="141"/>
      <c r="H61" s="141"/>
      <c r="I61" s="141"/>
      <c r="J61" s="141"/>
      <c r="K61" s="141"/>
      <c r="L61" s="69"/>
      <c r="M61" s="141"/>
      <c r="N61" s="59"/>
      <c r="O61" s="59"/>
      <c r="P61" s="105"/>
      <c r="Q61" s="105"/>
      <c r="R61" s="105"/>
      <c r="S61" s="90"/>
      <c r="T61" s="90"/>
      <c r="U61" s="93"/>
      <c r="V61" s="96"/>
      <c r="W61" s="96"/>
      <c r="X61" s="29">
        <v>0</v>
      </c>
      <c r="Y61" s="145">
        <v>0</v>
      </c>
      <c r="Z61" s="145">
        <v>0</v>
      </c>
      <c r="AA61" s="145">
        <v>0</v>
      </c>
      <c r="AB61" s="145">
        <v>0</v>
      </c>
      <c r="AC61" s="145">
        <v>0</v>
      </c>
      <c r="AD61" s="145">
        <v>0</v>
      </c>
      <c r="AE61" s="142">
        <f t="shared" si="6"/>
        <v>0</v>
      </c>
      <c r="AF61" s="141"/>
      <c r="AG61" s="67"/>
      <c r="AH61" s="67"/>
      <c r="AI61" s="24"/>
      <c r="AJ61" s="24"/>
      <c r="AK61" s="24"/>
      <c r="AL61" s="71"/>
      <c r="AM61" s="69"/>
      <c r="AN61" s="141"/>
      <c r="AO61" s="141"/>
      <c r="AP61" s="141"/>
      <c r="AQ61" s="141"/>
      <c r="AR61" s="141"/>
      <c r="AS61" s="141"/>
      <c r="AT61" s="141"/>
      <c r="AU61" s="141"/>
      <c r="AV61" s="141"/>
      <c r="AW61" s="141"/>
    </row>
    <row r="62" spans="1:49" ht="45" customHeight="1">
      <c r="A62" s="153">
        <f t="shared" si="3"/>
        <v>59</v>
      </c>
      <c r="B62" s="153" t="s">
        <v>57</v>
      </c>
      <c r="C62" s="140"/>
      <c r="D62" s="28"/>
      <c r="E62" s="69"/>
      <c r="F62" s="39">
        <v>0</v>
      </c>
      <c r="G62" s="21"/>
      <c r="H62" s="21"/>
      <c r="I62" s="21"/>
      <c r="J62" s="141"/>
      <c r="K62" s="21"/>
      <c r="L62" s="69"/>
      <c r="M62" s="141"/>
      <c r="N62" s="59"/>
      <c r="O62" s="59"/>
      <c r="P62" s="105"/>
      <c r="Q62" s="105"/>
      <c r="R62" s="105"/>
      <c r="S62" s="90"/>
      <c r="T62" s="90"/>
      <c r="U62" s="93"/>
      <c r="V62" s="96"/>
      <c r="W62" s="96"/>
      <c r="X62" s="29">
        <v>0</v>
      </c>
      <c r="Y62" s="145">
        <v>0</v>
      </c>
      <c r="Z62" s="145">
        <v>0</v>
      </c>
      <c r="AA62" s="145">
        <v>0</v>
      </c>
      <c r="AB62" s="145">
        <v>0</v>
      </c>
      <c r="AC62" s="145">
        <v>0</v>
      </c>
      <c r="AD62" s="145">
        <v>0</v>
      </c>
      <c r="AE62" s="142">
        <f t="shared" si="6"/>
        <v>0</v>
      </c>
      <c r="AF62" s="141"/>
      <c r="AG62" s="67"/>
      <c r="AH62" s="67"/>
      <c r="AI62" s="24"/>
      <c r="AJ62" s="24"/>
      <c r="AK62" s="24"/>
      <c r="AL62" s="71"/>
      <c r="AM62" s="69"/>
      <c r="AN62" s="141"/>
      <c r="AO62" s="141"/>
      <c r="AP62" s="141"/>
      <c r="AQ62" s="141"/>
      <c r="AR62" s="141"/>
      <c r="AS62" s="141"/>
      <c r="AT62" s="141"/>
      <c r="AU62" s="141"/>
      <c r="AV62" s="141"/>
      <c r="AW62" s="141"/>
    </row>
    <row r="63" spans="1:49" ht="45" customHeight="1">
      <c r="A63" s="153">
        <f t="shared" si="3"/>
        <v>60</v>
      </c>
      <c r="B63" s="153" t="s">
        <v>57</v>
      </c>
      <c r="C63" s="140"/>
      <c r="D63" s="28"/>
      <c r="E63" s="69"/>
      <c r="F63" s="39">
        <v>0</v>
      </c>
      <c r="G63" s="141"/>
      <c r="H63" s="141"/>
      <c r="I63" s="141"/>
      <c r="J63" s="141"/>
      <c r="K63" s="141"/>
      <c r="L63" s="69"/>
      <c r="M63" s="141"/>
      <c r="N63" s="59"/>
      <c r="O63" s="59"/>
      <c r="P63" s="105"/>
      <c r="Q63" s="105"/>
      <c r="R63" s="105"/>
      <c r="S63" s="90"/>
      <c r="T63" s="90"/>
      <c r="U63" s="93"/>
      <c r="V63" s="96"/>
      <c r="W63" s="96"/>
      <c r="X63" s="29">
        <v>0</v>
      </c>
      <c r="Y63" s="145">
        <v>0</v>
      </c>
      <c r="Z63" s="145">
        <v>0</v>
      </c>
      <c r="AA63" s="145">
        <v>0</v>
      </c>
      <c r="AB63" s="145">
        <v>0</v>
      </c>
      <c r="AC63" s="145">
        <v>0</v>
      </c>
      <c r="AD63" s="145">
        <v>0</v>
      </c>
      <c r="AE63" s="142">
        <f t="shared" si="6"/>
        <v>0</v>
      </c>
      <c r="AF63" s="141"/>
      <c r="AG63" s="67"/>
      <c r="AH63" s="67"/>
      <c r="AI63" s="24"/>
      <c r="AJ63" s="24"/>
      <c r="AK63" s="24"/>
      <c r="AL63" s="71"/>
      <c r="AM63" s="69"/>
      <c r="AN63" s="141"/>
      <c r="AO63" s="141"/>
      <c r="AP63" s="141"/>
      <c r="AQ63" s="141"/>
      <c r="AR63" s="141"/>
      <c r="AS63" s="141"/>
      <c r="AT63" s="141"/>
      <c r="AU63" s="141"/>
      <c r="AV63" s="141"/>
      <c r="AW63" s="141"/>
    </row>
    <row r="64" spans="1:49" ht="45" customHeight="1">
      <c r="A64" s="153">
        <f t="shared" si="3"/>
        <v>61</v>
      </c>
      <c r="B64" s="153" t="s">
        <v>57</v>
      </c>
      <c r="C64" s="140"/>
      <c r="D64" s="28"/>
      <c r="E64" s="69"/>
      <c r="F64" s="39">
        <v>0</v>
      </c>
      <c r="G64" s="141"/>
      <c r="H64" s="141"/>
      <c r="I64" s="141"/>
      <c r="J64" s="141"/>
      <c r="K64" s="141"/>
      <c r="L64" s="69"/>
      <c r="M64" s="141"/>
      <c r="N64" s="59"/>
      <c r="O64" s="59"/>
      <c r="P64" s="105"/>
      <c r="Q64" s="105"/>
      <c r="R64" s="105"/>
      <c r="S64" s="90"/>
      <c r="T64" s="90"/>
      <c r="U64" s="93"/>
      <c r="V64" s="96"/>
      <c r="W64" s="96"/>
      <c r="X64" s="29">
        <v>0</v>
      </c>
      <c r="Y64" s="145">
        <v>0</v>
      </c>
      <c r="Z64" s="145">
        <v>0</v>
      </c>
      <c r="AA64" s="145">
        <v>0</v>
      </c>
      <c r="AB64" s="145">
        <v>0</v>
      </c>
      <c r="AC64" s="145">
        <v>0</v>
      </c>
      <c r="AD64" s="145">
        <v>0</v>
      </c>
      <c r="AE64" s="142">
        <f t="shared" si="6"/>
        <v>0</v>
      </c>
      <c r="AF64" s="141"/>
      <c r="AG64" s="67"/>
      <c r="AH64" s="67"/>
      <c r="AI64" s="24"/>
      <c r="AJ64" s="24"/>
      <c r="AK64" s="24"/>
      <c r="AL64" s="71"/>
      <c r="AM64" s="69"/>
      <c r="AN64" s="141"/>
      <c r="AO64" s="141"/>
      <c r="AP64" s="141"/>
      <c r="AQ64" s="141"/>
      <c r="AR64" s="141"/>
      <c r="AS64" s="141"/>
      <c r="AT64" s="141"/>
      <c r="AU64" s="141"/>
      <c r="AV64" s="141"/>
      <c r="AW64" s="141"/>
    </row>
    <row r="65" spans="1:49" ht="45" customHeight="1">
      <c r="A65" s="153">
        <f t="shared" si="3"/>
        <v>62</v>
      </c>
      <c r="B65" s="153"/>
      <c r="C65" s="140"/>
      <c r="D65" s="28"/>
      <c r="E65" s="69"/>
      <c r="F65" s="39">
        <v>0</v>
      </c>
      <c r="G65" s="141"/>
      <c r="H65" s="141"/>
      <c r="I65" s="141"/>
      <c r="J65" s="141"/>
      <c r="K65" s="141"/>
      <c r="L65" s="69"/>
      <c r="M65" s="141"/>
      <c r="N65" s="59"/>
      <c r="O65" s="59"/>
      <c r="P65" s="105"/>
      <c r="Q65" s="105"/>
      <c r="R65" s="105"/>
      <c r="S65" s="90"/>
      <c r="T65" s="90"/>
      <c r="U65" s="93"/>
      <c r="V65" s="96"/>
      <c r="W65" s="96"/>
      <c r="X65" s="29">
        <v>0</v>
      </c>
      <c r="Y65" s="145">
        <v>0</v>
      </c>
      <c r="Z65" s="145">
        <v>0</v>
      </c>
      <c r="AA65" s="145">
        <v>0</v>
      </c>
      <c r="AB65" s="145">
        <v>0</v>
      </c>
      <c r="AC65" s="145">
        <v>0</v>
      </c>
      <c r="AD65" s="145">
        <v>0</v>
      </c>
      <c r="AE65" s="142">
        <f t="shared" si="6"/>
        <v>0</v>
      </c>
      <c r="AF65" s="141"/>
      <c r="AG65" s="67"/>
      <c r="AH65" s="67"/>
      <c r="AI65" s="24"/>
      <c r="AJ65" s="24"/>
      <c r="AK65" s="24"/>
      <c r="AL65" s="71"/>
      <c r="AM65" s="69"/>
      <c r="AN65" s="141"/>
      <c r="AO65" s="141"/>
      <c r="AP65" s="141"/>
      <c r="AQ65" s="141"/>
      <c r="AR65" s="141"/>
      <c r="AS65" s="141"/>
      <c r="AT65" s="141"/>
      <c r="AU65" s="141"/>
      <c r="AV65" s="141"/>
      <c r="AW65" s="141"/>
    </row>
    <row r="66" spans="1:49" ht="45" customHeight="1">
      <c r="A66" s="153">
        <f t="shared" si="3"/>
        <v>63</v>
      </c>
      <c r="B66" s="153"/>
      <c r="C66" s="140"/>
      <c r="D66" s="28"/>
      <c r="E66" s="69"/>
      <c r="F66" s="39">
        <v>0</v>
      </c>
      <c r="G66" s="141"/>
      <c r="H66" s="141"/>
      <c r="I66" s="141"/>
      <c r="J66" s="141"/>
      <c r="K66" s="141"/>
      <c r="L66" s="69"/>
      <c r="M66" s="141"/>
      <c r="N66" s="59"/>
      <c r="O66" s="59"/>
      <c r="P66" s="105"/>
      <c r="Q66" s="105"/>
      <c r="R66" s="105"/>
      <c r="S66" s="90"/>
      <c r="T66" s="90"/>
      <c r="U66" s="93"/>
      <c r="V66" s="96"/>
      <c r="W66" s="96"/>
      <c r="X66" s="29">
        <v>0</v>
      </c>
      <c r="Y66" s="145">
        <v>0</v>
      </c>
      <c r="Z66" s="145">
        <v>0</v>
      </c>
      <c r="AA66" s="145">
        <v>0</v>
      </c>
      <c r="AB66" s="145">
        <v>0</v>
      </c>
      <c r="AC66" s="145">
        <v>0</v>
      </c>
      <c r="AD66" s="145">
        <v>0</v>
      </c>
      <c r="AE66" s="142">
        <f t="shared" si="6"/>
        <v>0</v>
      </c>
      <c r="AF66" s="141"/>
      <c r="AG66" s="67"/>
      <c r="AH66" s="67"/>
      <c r="AI66" s="24"/>
      <c r="AJ66" s="24"/>
      <c r="AK66" s="24"/>
      <c r="AL66" s="71"/>
      <c r="AM66" s="69"/>
      <c r="AN66" s="141"/>
      <c r="AO66" s="141"/>
      <c r="AP66" s="141"/>
      <c r="AQ66" s="141"/>
      <c r="AR66" s="141"/>
      <c r="AS66" s="141"/>
      <c r="AT66" s="141"/>
      <c r="AU66" s="141"/>
      <c r="AV66" s="141"/>
      <c r="AW66" s="141"/>
    </row>
    <row r="67" spans="1:49" ht="45" customHeight="1">
      <c r="A67" s="153">
        <f t="shared" si="3"/>
        <v>64</v>
      </c>
      <c r="B67" s="153"/>
      <c r="C67" s="140"/>
      <c r="D67" s="28"/>
      <c r="E67" s="69"/>
      <c r="F67" s="39">
        <v>0</v>
      </c>
      <c r="G67" s="141"/>
      <c r="H67" s="141"/>
      <c r="I67" s="141"/>
      <c r="J67" s="141"/>
      <c r="K67" s="141"/>
      <c r="L67" s="69"/>
      <c r="M67" s="141"/>
      <c r="N67" s="59"/>
      <c r="O67" s="59"/>
      <c r="P67" s="105"/>
      <c r="Q67" s="105"/>
      <c r="R67" s="105"/>
      <c r="S67" s="90"/>
      <c r="T67" s="90"/>
      <c r="U67" s="93"/>
      <c r="V67" s="96"/>
      <c r="W67" s="96"/>
      <c r="X67" s="29">
        <v>0</v>
      </c>
      <c r="Y67" s="145">
        <v>0</v>
      </c>
      <c r="Z67" s="145">
        <v>0</v>
      </c>
      <c r="AA67" s="145">
        <v>0</v>
      </c>
      <c r="AB67" s="145">
        <v>0</v>
      </c>
      <c r="AC67" s="145">
        <v>0</v>
      </c>
      <c r="AD67" s="145">
        <v>0</v>
      </c>
      <c r="AE67" s="142">
        <f t="shared" si="6"/>
        <v>0</v>
      </c>
      <c r="AF67" s="141"/>
      <c r="AG67" s="67"/>
      <c r="AH67" s="67"/>
      <c r="AI67" s="24"/>
      <c r="AJ67" s="24"/>
      <c r="AK67" s="24"/>
      <c r="AL67" s="71"/>
      <c r="AM67" s="69"/>
      <c r="AN67" s="141"/>
      <c r="AO67" s="141"/>
      <c r="AP67" s="141"/>
      <c r="AQ67" s="141"/>
      <c r="AR67" s="141"/>
      <c r="AS67" s="141"/>
      <c r="AT67" s="141"/>
      <c r="AU67" s="141"/>
      <c r="AV67" s="141"/>
      <c r="AW67" s="141"/>
    </row>
    <row r="68" spans="1:49" ht="45" customHeight="1">
      <c r="A68" s="153">
        <f t="shared" si="3"/>
        <v>65</v>
      </c>
      <c r="B68" s="153"/>
      <c r="C68" s="140"/>
      <c r="D68" s="28"/>
      <c r="E68" s="69"/>
      <c r="F68" s="39">
        <v>0</v>
      </c>
      <c r="G68" s="141"/>
      <c r="H68" s="141"/>
      <c r="I68" s="141"/>
      <c r="J68" s="141"/>
      <c r="K68" s="141"/>
      <c r="L68" s="69"/>
      <c r="M68" s="141"/>
      <c r="N68" s="59"/>
      <c r="O68" s="59"/>
      <c r="P68" s="105"/>
      <c r="Q68" s="105"/>
      <c r="R68" s="105"/>
      <c r="S68" s="90"/>
      <c r="T68" s="90"/>
      <c r="U68" s="93"/>
      <c r="V68" s="96"/>
      <c r="W68" s="96"/>
      <c r="X68" s="29">
        <v>0</v>
      </c>
      <c r="Y68" s="145">
        <v>0</v>
      </c>
      <c r="Z68" s="145">
        <v>0</v>
      </c>
      <c r="AA68" s="145">
        <v>0</v>
      </c>
      <c r="AB68" s="145">
        <v>0</v>
      </c>
      <c r="AC68" s="145">
        <v>0</v>
      </c>
      <c r="AD68" s="145">
        <v>0</v>
      </c>
      <c r="AE68" s="142">
        <f t="shared" si="6"/>
        <v>0</v>
      </c>
      <c r="AF68" s="141"/>
      <c r="AG68" s="67"/>
      <c r="AH68" s="67"/>
      <c r="AI68" s="24"/>
      <c r="AJ68" s="24"/>
      <c r="AK68" s="24"/>
      <c r="AL68" s="71"/>
      <c r="AM68" s="69"/>
      <c r="AN68" s="141"/>
      <c r="AO68" s="141"/>
      <c r="AP68" s="141"/>
      <c r="AQ68" s="141"/>
      <c r="AR68" s="141"/>
      <c r="AS68" s="141"/>
      <c r="AT68" s="141"/>
      <c r="AU68" s="141"/>
      <c r="AV68" s="141"/>
      <c r="AW68" s="141"/>
    </row>
    <row r="69" spans="1:49" ht="45" customHeight="1">
      <c r="A69" s="153">
        <f t="shared" ref="A69:A132" si="7">A68+1</f>
        <v>66</v>
      </c>
      <c r="B69" s="153"/>
      <c r="C69" s="140"/>
      <c r="D69" s="28"/>
      <c r="E69" s="69"/>
      <c r="F69" s="39">
        <v>0</v>
      </c>
      <c r="G69" s="141"/>
      <c r="H69" s="35"/>
      <c r="I69" s="35"/>
      <c r="J69" s="35"/>
      <c r="K69" s="65"/>
      <c r="L69" s="69"/>
      <c r="M69" s="141"/>
      <c r="N69" s="59"/>
      <c r="O69" s="59"/>
      <c r="P69" s="105"/>
      <c r="Q69" s="105"/>
      <c r="R69" s="105"/>
      <c r="S69" s="90"/>
      <c r="T69" s="90"/>
      <c r="U69" s="93"/>
      <c r="V69" s="95"/>
      <c r="W69" s="95"/>
      <c r="X69" s="29">
        <v>0</v>
      </c>
      <c r="Y69" s="145">
        <v>0</v>
      </c>
      <c r="Z69" s="145">
        <v>0</v>
      </c>
      <c r="AA69" s="145">
        <v>0</v>
      </c>
      <c r="AB69" s="145">
        <v>0</v>
      </c>
      <c r="AC69" s="145">
        <v>0</v>
      </c>
      <c r="AD69" s="145">
        <v>0</v>
      </c>
      <c r="AE69" s="142">
        <f t="shared" si="6"/>
        <v>0</v>
      </c>
      <c r="AF69" s="141"/>
      <c r="AG69" s="67"/>
      <c r="AH69" s="67"/>
      <c r="AI69" s="24"/>
      <c r="AJ69" s="24"/>
      <c r="AK69" s="24"/>
      <c r="AL69" s="71"/>
      <c r="AM69" s="69"/>
      <c r="AN69" s="141"/>
      <c r="AO69" s="141"/>
      <c r="AP69" s="141"/>
      <c r="AQ69" s="141"/>
      <c r="AR69" s="141"/>
      <c r="AS69" s="141"/>
      <c r="AT69" s="141"/>
      <c r="AU69" s="141"/>
      <c r="AV69" s="141"/>
      <c r="AW69" s="141"/>
    </row>
    <row r="70" spans="1:49" ht="45" customHeight="1">
      <c r="A70" s="153">
        <f t="shared" si="7"/>
        <v>67</v>
      </c>
      <c r="B70" s="153"/>
      <c r="C70" s="140"/>
      <c r="D70" s="28"/>
      <c r="E70" s="69"/>
      <c r="F70" s="39">
        <v>0</v>
      </c>
      <c r="G70" s="141"/>
      <c r="H70" s="141"/>
      <c r="I70" s="141"/>
      <c r="J70" s="141"/>
      <c r="K70" s="141"/>
      <c r="L70" s="69"/>
      <c r="M70" s="141"/>
      <c r="N70" s="59"/>
      <c r="O70" s="59"/>
      <c r="P70" s="105"/>
      <c r="Q70" s="105"/>
      <c r="R70" s="105"/>
      <c r="S70" s="90"/>
      <c r="T70" s="90"/>
      <c r="U70" s="93"/>
      <c r="V70" s="93"/>
      <c r="W70" s="93"/>
      <c r="X70" s="29">
        <v>0</v>
      </c>
      <c r="Y70" s="145">
        <v>0</v>
      </c>
      <c r="Z70" s="145">
        <v>0</v>
      </c>
      <c r="AA70" s="145">
        <v>0</v>
      </c>
      <c r="AB70" s="145">
        <v>0</v>
      </c>
      <c r="AC70" s="145">
        <v>0</v>
      </c>
      <c r="AD70" s="145">
        <v>0</v>
      </c>
      <c r="AE70" s="142">
        <f t="shared" si="6"/>
        <v>0</v>
      </c>
      <c r="AF70" s="141"/>
      <c r="AG70" s="67"/>
      <c r="AH70" s="67"/>
      <c r="AI70" s="24"/>
      <c r="AJ70" s="24"/>
      <c r="AK70" s="24"/>
      <c r="AL70" s="71"/>
      <c r="AM70" s="69"/>
      <c r="AN70" s="141"/>
      <c r="AO70" s="141"/>
      <c r="AP70" s="141"/>
      <c r="AQ70" s="141"/>
      <c r="AR70" s="141"/>
      <c r="AS70" s="141"/>
      <c r="AT70" s="141"/>
      <c r="AU70" s="141"/>
      <c r="AV70" s="141"/>
      <c r="AW70" s="141"/>
    </row>
    <row r="71" spans="1:49" ht="45" customHeight="1">
      <c r="A71" s="153">
        <f t="shared" si="7"/>
        <v>68</v>
      </c>
      <c r="B71" s="153"/>
      <c r="C71" s="140"/>
      <c r="D71" s="28"/>
      <c r="E71" s="69"/>
      <c r="F71" s="39">
        <v>0</v>
      </c>
      <c r="G71" s="141"/>
      <c r="H71" s="141"/>
      <c r="I71" s="141"/>
      <c r="J71" s="141"/>
      <c r="K71" s="141"/>
      <c r="L71" s="69"/>
      <c r="M71" s="141"/>
      <c r="N71" s="59"/>
      <c r="O71" s="59"/>
      <c r="P71" s="105"/>
      <c r="Q71" s="105"/>
      <c r="R71" s="105"/>
      <c r="S71" s="90"/>
      <c r="T71" s="90"/>
      <c r="U71" s="93"/>
      <c r="V71" s="93"/>
      <c r="W71" s="93"/>
      <c r="X71" s="29">
        <v>0</v>
      </c>
      <c r="Y71" s="145">
        <v>0</v>
      </c>
      <c r="Z71" s="145">
        <v>0</v>
      </c>
      <c r="AA71" s="145">
        <v>0</v>
      </c>
      <c r="AB71" s="145">
        <v>0</v>
      </c>
      <c r="AC71" s="145">
        <v>0</v>
      </c>
      <c r="AD71" s="145">
        <v>0</v>
      </c>
      <c r="AE71" s="142">
        <f t="shared" si="6"/>
        <v>0</v>
      </c>
      <c r="AF71" s="141"/>
      <c r="AG71" s="67"/>
      <c r="AH71" s="67"/>
      <c r="AI71" s="24"/>
      <c r="AJ71" s="24"/>
      <c r="AK71" s="24"/>
      <c r="AL71" s="71"/>
      <c r="AM71" s="69"/>
      <c r="AN71" s="141"/>
      <c r="AO71" s="141"/>
      <c r="AP71" s="141"/>
      <c r="AQ71" s="141"/>
      <c r="AR71" s="141"/>
      <c r="AS71" s="141"/>
      <c r="AT71" s="141"/>
      <c r="AU71" s="141"/>
      <c r="AV71" s="141"/>
      <c r="AW71" s="141"/>
    </row>
    <row r="72" spans="1:49" ht="45" customHeight="1">
      <c r="A72" s="153">
        <f t="shared" si="7"/>
        <v>69</v>
      </c>
      <c r="B72" s="153"/>
      <c r="C72" s="140"/>
      <c r="D72" s="28"/>
      <c r="E72" s="69"/>
      <c r="F72" s="39">
        <v>0</v>
      </c>
      <c r="G72" s="141"/>
      <c r="H72" s="141"/>
      <c r="I72" s="141"/>
      <c r="J72" s="141"/>
      <c r="K72" s="141"/>
      <c r="L72" s="69"/>
      <c r="M72" s="141"/>
      <c r="N72" s="59"/>
      <c r="O72" s="59"/>
      <c r="P72" s="105"/>
      <c r="Q72" s="105"/>
      <c r="R72" s="105"/>
      <c r="S72" s="90"/>
      <c r="T72" s="90"/>
      <c r="U72" s="93"/>
      <c r="V72" s="93"/>
      <c r="W72" s="93"/>
      <c r="X72" s="29">
        <v>0</v>
      </c>
      <c r="Y72" s="145">
        <v>0</v>
      </c>
      <c r="Z72" s="145">
        <v>0</v>
      </c>
      <c r="AA72" s="145">
        <v>0</v>
      </c>
      <c r="AB72" s="145">
        <v>0</v>
      </c>
      <c r="AC72" s="145">
        <v>0</v>
      </c>
      <c r="AD72" s="145">
        <v>0</v>
      </c>
      <c r="AE72" s="142">
        <f t="shared" si="6"/>
        <v>0</v>
      </c>
      <c r="AF72" s="141"/>
      <c r="AG72" s="67"/>
      <c r="AH72" s="67"/>
      <c r="AI72" s="24"/>
      <c r="AJ72" s="24"/>
      <c r="AK72" s="24"/>
      <c r="AL72" s="71"/>
      <c r="AM72" s="69"/>
      <c r="AN72" s="141"/>
      <c r="AO72" s="141"/>
      <c r="AP72" s="141"/>
      <c r="AQ72" s="141"/>
      <c r="AR72" s="141"/>
      <c r="AS72" s="141"/>
      <c r="AT72" s="141"/>
      <c r="AU72" s="141"/>
      <c r="AV72" s="141"/>
      <c r="AW72" s="141"/>
    </row>
    <row r="73" spans="1:49" ht="45" customHeight="1">
      <c r="A73" s="153">
        <f t="shared" si="7"/>
        <v>70</v>
      </c>
      <c r="B73" s="153"/>
      <c r="C73" s="140"/>
      <c r="D73" s="28"/>
      <c r="E73" s="69"/>
      <c r="F73" s="39">
        <v>0</v>
      </c>
      <c r="G73" s="141"/>
      <c r="H73" s="141"/>
      <c r="I73" s="141"/>
      <c r="J73" s="141"/>
      <c r="K73" s="141"/>
      <c r="L73" s="69"/>
      <c r="M73" s="141"/>
      <c r="N73" s="59"/>
      <c r="O73" s="59"/>
      <c r="P73" s="105"/>
      <c r="Q73" s="105"/>
      <c r="R73" s="105"/>
      <c r="S73" s="90"/>
      <c r="T73" s="90"/>
      <c r="U73" s="93"/>
      <c r="V73" s="93"/>
      <c r="W73" s="93"/>
      <c r="X73" s="29">
        <v>0</v>
      </c>
      <c r="Y73" s="145">
        <v>0</v>
      </c>
      <c r="Z73" s="145">
        <v>0</v>
      </c>
      <c r="AA73" s="145">
        <v>0</v>
      </c>
      <c r="AB73" s="145">
        <v>0</v>
      </c>
      <c r="AC73" s="145">
        <v>0</v>
      </c>
      <c r="AD73" s="145">
        <v>0</v>
      </c>
      <c r="AE73" s="142">
        <f t="shared" si="6"/>
        <v>0</v>
      </c>
      <c r="AF73" s="141"/>
      <c r="AG73" s="67"/>
      <c r="AH73" s="67"/>
      <c r="AI73" s="24"/>
      <c r="AJ73" s="24"/>
      <c r="AK73" s="24"/>
      <c r="AL73" s="71"/>
      <c r="AM73" s="69"/>
      <c r="AN73" s="141"/>
      <c r="AO73" s="141"/>
      <c r="AP73" s="141"/>
      <c r="AQ73" s="141"/>
      <c r="AR73" s="141"/>
      <c r="AS73" s="141"/>
      <c r="AT73" s="141"/>
      <c r="AU73" s="141"/>
      <c r="AV73" s="141"/>
      <c r="AW73" s="141"/>
    </row>
    <row r="74" spans="1:49" ht="45" customHeight="1">
      <c r="A74" s="153">
        <f t="shared" si="7"/>
        <v>71</v>
      </c>
      <c r="B74" s="153"/>
      <c r="C74" s="140"/>
      <c r="D74" s="28"/>
      <c r="E74" s="69"/>
      <c r="F74" s="39">
        <v>0</v>
      </c>
      <c r="G74" s="141"/>
      <c r="H74" s="141"/>
      <c r="I74" s="141"/>
      <c r="J74" s="141"/>
      <c r="K74" s="141"/>
      <c r="L74" s="69"/>
      <c r="M74" s="141"/>
      <c r="N74" s="59"/>
      <c r="O74" s="59"/>
      <c r="P74" s="105"/>
      <c r="Q74" s="105"/>
      <c r="R74" s="105"/>
      <c r="S74" s="90"/>
      <c r="T74" s="90"/>
      <c r="U74" s="93"/>
      <c r="V74" s="93"/>
      <c r="W74" s="93"/>
      <c r="X74" s="29">
        <v>0</v>
      </c>
      <c r="Y74" s="145">
        <v>0</v>
      </c>
      <c r="Z74" s="145">
        <v>0</v>
      </c>
      <c r="AA74" s="145">
        <v>0</v>
      </c>
      <c r="AB74" s="145">
        <v>0</v>
      </c>
      <c r="AC74" s="145">
        <v>0</v>
      </c>
      <c r="AD74" s="145">
        <v>0</v>
      </c>
      <c r="AE74" s="142">
        <f t="shared" si="6"/>
        <v>0</v>
      </c>
      <c r="AF74" s="141"/>
      <c r="AG74" s="67"/>
      <c r="AH74" s="67"/>
      <c r="AI74" s="24"/>
      <c r="AJ74" s="24"/>
      <c r="AK74" s="24"/>
      <c r="AL74" s="71"/>
      <c r="AM74" s="69"/>
      <c r="AN74" s="141"/>
      <c r="AO74" s="141"/>
      <c r="AP74" s="141"/>
      <c r="AQ74" s="141"/>
      <c r="AR74" s="141"/>
      <c r="AS74" s="141"/>
      <c r="AT74" s="141"/>
      <c r="AU74" s="141"/>
      <c r="AV74" s="141"/>
      <c r="AW74" s="141"/>
    </row>
    <row r="75" spans="1:49" ht="45" customHeight="1">
      <c r="A75" s="153">
        <f t="shared" si="7"/>
        <v>72</v>
      </c>
      <c r="B75" s="153"/>
      <c r="C75" s="140"/>
      <c r="D75" s="28"/>
      <c r="E75" s="69"/>
      <c r="F75" s="39">
        <v>0</v>
      </c>
      <c r="G75" s="21"/>
      <c r="H75" s="21"/>
      <c r="I75" s="21"/>
      <c r="J75" s="141"/>
      <c r="K75" s="21"/>
      <c r="L75" s="69"/>
      <c r="M75" s="141"/>
      <c r="N75" s="59"/>
      <c r="O75" s="59"/>
      <c r="P75" s="105"/>
      <c r="Q75" s="105"/>
      <c r="R75" s="105"/>
      <c r="S75" s="90"/>
      <c r="T75" s="90"/>
      <c r="U75" s="93"/>
      <c r="V75" s="93"/>
      <c r="W75" s="93"/>
      <c r="X75" s="29">
        <v>0</v>
      </c>
      <c r="Y75" s="145">
        <v>0</v>
      </c>
      <c r="Z75" s="145">
        <v>0</v>
      </c>
      <c r="AA75" s="145">
        <v>0</v>
      </c>
      <c r="AB75" s="145">
        <v>0</v>
      </c>
      <c r="AC75" s="145">
        <v>0</v>
      </c>
      <c r="AD75" s="145">
        <v>0</v>
      </c>
      <c r="AE75" s="142">
        <f t="shared" si="6"/>
        <v>0</v>
      </c>
      <c r="AF75" s="141"/>
      <c r="AG75" s="67"/>
      <c r="AH75" s="67"/>
      <c r="AI75" s="24"/>
      <c r="AJ75" s="24"/>
      <c r="AK75" s="24"/>
      <c r="AL75" s="71"/>
      <c r="AM75" s="69"/>
      <c r="AN75" s="141"/>
      <c r="AO75" s="141"/>
      <c r="AP75" s="141"/>
      <c r="AQ75" s="141"/>
      <c r="AR75" s="141"/>
      <c r="AS75" s="141"/>
      <c r="AT75" s="141"/>
      <c r="AU75" s="141"/>
      <c r="AV75" s="141"/>
      <c r="AW75" s="141"/>
    </row>
    <row r="76" spans="1:49" ht="45" customHeight="1">
      <c r="A76" s="153">
        <f t="shared" si="7"/>
        <v>73</v>
      </c>
      <c r="B76" s="153"/>
      <c r="C76" s="140"/>
      <c r="D76" s="28"/>
      <c r="E76" s="69"/>
      <c r="F76" s="39">
        <v>0</v>
      </c>
      <c r="G76" s="53"/>
      <c r="H76" s="53"/>
      <c r="I76" s="53"/>
      <c r="J76" s="141"/>
      <c r="K76" s="141"/>
      <c r="L76" s="69"/>
      <c r="M76" s="141"/>
      <c r="N76" s="59"/>
      <c r="O76" s="59"/>
      <c r="P76" s="105"/>
      <c r="Q76" s="105"/>
      <c r="R76" s="105"/>
      <c r="S76" s="90"/>
      <c r="T76" s="90"/>
      <c r="U76" s="93"/>
      <c r="V76" s="93"/>
      <c r="W76" s="93"/>
      <c r="X76" s="29">
        <v>0</v>
      </c>
      <c r="Y76" s="145">
        <v>0</v>
      </c>
      <c r="Z76" s="145">
        <v>0</v>
      </c>
      <c r="AA76" s="145">
        <v>0</v>
      </c>
      <c r="AB76" s="145">
        <v>0</v>
      </c>
      <c r="AC76" s="145">
        <v>0</v>
      </c>
      <c r="AD76" s="145">
        <v>0</v>
      </c>
      <c r="AE76" s="142">
        <f t="shared" si="6"/>
        <v>0</v>
      </c>
      <c r="AF76" s="141"/>
      <c r="AG76" s="67"/>
      <c r="AH76" s="67"/>
      <c r="AI76" s="24"/>
      <c r="AJ76" s="24"/>
      <c r="AK76" s="24"/>
      <c r="AL76" s="71"/>
      <c r="AM76" s="69"/>
      <c r="AN76" s="141"/>
      <c r="AO76" s="141"/>
      <c r="AP76" s="141"/>
      <c r="AQ76" s="141"/>
      <c r="AR76" s="141"/>
      <c r="AS76" s="141"/>
      <c r="AT76" s="141"/>
      <c r="AU76" s="141"/>
      <c r="AV76" s="141"/>
      <c r="AW76" s="141"/>
    </row>
    <row r="77" spans="1:49" ht="45" customHeight="1">
      <c r="A77" s="153">
        <f t="shared" si="7"/>
        <v>74</v>
      </c>
      <c r="B77" s="153"/>
      <c r="C77" s="140"/>
      <c r="D77" s="28"/>
      <c r="E77" s="69"/>
      <c r="F77" s="39">
        <v>0</v>
      </c>
      <c r="G77" s="141"/>
      <c r="H77" s="141"/>
      <c r="I77" s="141"/>
      <c r="J77" s="141"/>
      <c r="K77" s="141"/>
      <c r="L77" s="69"/>
      <c r="M77" s="141"/>
      <c r="N77" s="59"/>
      <c r="O77" s="59"/>
      <c r="P77" s="105"/>
      <c r="Q77" s="105"/>
      <c r="R77" s="105"/>
      <c r="S77" s="90"/>
      <c r="T77" s="90"/>
      <c r="U77" s="93"/>
      <c r="V77" s="93"/>
      <c r="W77" s="93"/>
      <c r="X77" s="29">
        <v>0</v>
      </c>
      <c r="Y77" s="145">
        <v>0</v>
      </c>
      <c r="Z77" s="145">
        <v>0</v>
      </c>
      <c r="AA77" s="145">
        <v>0</v>
      </c>
      <c r="AB77" s="145">
        <v>0</v>
      </c>
      <c r="AC77" s="145">
        <v>0</v>
      </c>
      <c r="AD77" s="145">
        <v>0</v>
      </c>
      <c r="AE77" s="142">
        <f t="shared" si="6"/>
        <v>0</v>
      </c>
      <c r="AF77" s="141"/>
      <c r="AG77" s="67"/>
      <c r="AH77" s="67"/>
      <c r="AI77" s="24"/>
      <c r="AJ77" s="24"/>
      <c r="AK77" s="24"/>
      <c r="AL77" s="71"/>
      <c r="AM77" s="69"/>
      <c r="AN77" s="141"/>
      <c r="AO77" s="141"/>
      <c r="AP77" s="141"/>
      <c r="AQ77" s="141"/>
      <c r="AR77" s="141"/>
      <c r="AS77" s="141"/>
      <c r="AT77" s="141"/>
      <c r="AU77" s="141"/>
      <c r="AV77" s="141"/>
      <c r="AW77" s="141"/>
    </row>
    <row r="78" spans="1:49" ht="45" customHeight="1">
      <c r="A78" s="153">
        <f t="shared" si="7"/>
        <v>75</v>
      </c>
      <c r="B78" s="153"/>
      <c r="C78" s="140"/>
      <c r="D78" s="28"/>
      <c r="E78" s="69"/>
      <c r="F78" s="39">
        <v>0</v>
      </c>
      <c r="G78" s="141"/>
      <c r="H78" s="141"/>
      <c r="I78" s="141"/>
      <c r="J78" s="141"/>
      <c r="K78" s="141"/>
      <c r="L78" s="69"/>
      <c r="M78" s="141"/>
      <c r="N78" s="59"/>
      <c r="O78" s="59"/>
      <c r="P78" s="105"/>
      <c r="Q78" s="105"/>
      <c r="R78" s="105"/>
      <c r="S78" s="90"/>
      <c r="T78" s="90"/>
      <c r="U78" s="93"/>
      <c r="V78" s="93"/>
      <c r="W78" s="93"/>
      <c r="X78" s="29">
        <v>0</v>
      </c>
      <c r="Y78" s="145">
        <v>0</v>
      </c>
      <c r="Z78" s="145">
        <v>0</v>
      </c>
      <c r="AA78" s="145">
        <v>0</v>
      </c>
      <c r="AB78" s="145">
        <v>0</v>
      </c>
      <c r="AC78" s="145">
        <v>0</v>
      </c>
      <c r="AD78" s="145">
        <v>0</v>
      </c>
      <c r="AE78" s="142">
        <f t="shared" si="6"/>
        <v>0</v>
      </c>
      <c r="AF78" s="141"/>
      <c r="AG78" s="67"/>
      <c r="AH78" s="67"/>
      <c r="AI78" s="24"/>
      <c r="AJ78" s="24"/>
      <c r="AK78" s="24"/>
      <c r="AL78" s="71"/>
      <c r="AM78" s="69"/>
      <c r="AN78" s="141"/>
      <c r="AO78" s="141"/>
      <c r="AP78" s="141"/>
      <c r="AQ78" s="141"/>
      <c r="AR78" s="141"/>
      <c r="AS78" s="141"/>
      <c r="AT78" s="141"/>
      <c r="AU78" s="141"/>
      <c r="AV78" s="141"/>
      <c r="AW78" s="141"/>
    </row>
    <row r="79" spans="1:49" ht="45" customHeight="1">
      <c r="A79" s="153">
        <f t="shared" si="7"/>
        <v>76</v>
      </c>
      <c r="B79" s="153"/>
      <c r="C79" s="140"/>
      <c r="D79" s="28"/>
      <c r="E79" s="69"/>
      <c r="F79" s="39">
        <v>0</v>
      </c>
      <c r="G79" s="141"/>
      <c r="H79" s="141"/>
      <c r="I79" s="141"/>
      <c r="J79" s="141"/>
      <c r="K79" s="141"/>
      <c r="L79" s="69"/>
      <c r="M79" s="141"/>
      <c r="N79" s="59"/>
      <c r="O79" s="59"/>
      <c r="P79" s="105"/>
      <c r="Q79" s="105"/>
      <c r="R79" s="105"/>
      <c r="S79" s="90"/>
      <c r="T79" s="90"/>
      <c r="U79" s="93"/>
      <c r="V79" s="96"/>
      <c r="W79" s="96"/>
      <c r="X79" s="29">
        <v>0</v>
      </c>
      <c r="Y79" s="145">
        <v>0</v>
      </c>
      <c r="Z79" s="145">
        <v>0</v>
      </c>
      <c r="AA79" s="145">
        <v>0</v>
      </c>
      <c r="AB79" s="145">
        <v>0</v>
      </c>
      <c r="AC79" s="145">
        <v>0</v>
      </c>
      <c r="AD79" s="145">
        <v>0</v>
      </c>
      <c r="AE79" s="142">
        <f t="shared" si="6"/>
        <v>0</v>
      </c>
      <c r="AF79" s="141"/>
      <c r="AG79" s="67"/>
      <c r="AH79" s="67"/>
      <c r="AI79" s="24"/>
      <c r="AJ79" s="24"/>
      <c r="AK79" s="24"/>
      <c r="AL79" s="71"/>
      <c r="AM79" s="69"/>
      <c r="AN79" s="141"/>
      <c r="AO79" s="141"/>
      <c r="AP79" s="141"/>
      <c r="AQ79" s="141"/>
      <c r="AR79" s="141"/>
      <c r="AS79" s="141"/>
      <c r="AT79" s="141"/>
      <c r="AU79" s="141"/>
      <c r="AV79" s="141"/>
      <c r="AW79" s="141"/>
    </row>
    <row r="80" spans="1:49" ht="45" customHeight="1">
      <c r="A80" s="153">
        <f t="shared" si="7"/>
        <v>77</v>
      </c>
      <c r="B80" s="153"/>
      <c r="C80" s="140"/>
      <c r="D80" s="28"/>
      <c r="E80" s="69"/>
      <c r="F80" s="39">
        <v>0</v>
      </c>
      <c r="G80" s="141"/>
      <c r="H80" s="141"/>
      <c r="I80" s="141"/>
      <c r="J80" s="141"/>
      <c r="K80" s="21"/>
      <c r="L80" s="69"/>
      <c r="M80" s="141"/>
      <c r="N80" s="59"/>
      <c r="O80" s="59"/>
      <c r="P80" s="105"/>
      <c r="Q80" s="105"/>
      <c r="R80" s="105"/>
      <c r="S80" s="90"/>
      <c r="T80" s="90"/>
      <c r="U80" s="93"/>
      <c r="V80" s="93"/>
      <c r="W80" s="93"/>
      <c r="X80" s="29">
        <v>0</v>
      </c>
      <c r="Y80" s="145">
        <v>0</v>
      </c>
      <c r="Z80" s="145">
        <v>0</v>
      </c>
      <c r="AA80" s="145">
        <v>0</v>
      </c>
      <c r="AB80" s="145">
        <v>0</v>
      </c>
      <c r="AC80" s="145">
        <v>0</v>
      </c>
      <c r="AD80" s="145">
        <v>0</v>
      </c>
      <c r="AE80" s="142">
        <f t="shared" si="6"/>
        <v>0</v>
      </c>
      <c r="AF80" s="141"/>
      <c r="AG80" s="67"/>
      <c r="AH80" s="67"/>
      <c r="AI80" s="24"/>
      <c r="AJ80" s="24"/>
      <c r="AK80" s="24"/>
      <c r="AL80" s="71"/>
      <c r="AM80" s="69"/>
      <c r="AN80" s="141"/>
      <c r="AO80" s="141"/>
      <c r="AP80" s="141"/>
      <c r="AQ80" s="141"/>
      <c r="AR80" s="141"/>
      <c r="AS80" s="141"/>
      <c r="AT80" s="141"/>
      <c r="AU80" s="141"/>
      <c r="AV80" s="141"/>
      <c r="AW80" s="141"/>
    </row>
    <row r="81" spans="1:49" ht="45" customHeight="1">
      <c r="A81" s="153">
        <f t="shared" si="7"/>
        <v>78</v>
      </c>
      <c r="B81" s="153"/>
      <c r="C81" s="140"/>
      <c r="D81" s="28"/>
      <c r="E81" s="69"/>
      <c r="F81" s="39">
        <v>0</v>
      </c>
      <c r="G81" s="21"/>
      <c r="H81" s="21"/>
      <c r="I81" s="21"/>
      <c r="J81" s="141"/>
      <c r="K81" s="21"/>
      <c r="L81" s="69"/>
      <c r="M81" s="141"/>
      <c r="N81" s="59"/>
      <c r="O81" s="59"/>
      <c r="P81" s="105"/>
      <c r="Q81" s="105"/>
      <c r="R81" s="105"/>
      <c r="S81" s="90"/>
      <c r="T81" s="90"/>
      <c r="U81" s="93"/>
      <c r="V81" s="93"/>
      <c r="W81" s="93"/>
      <c r="X81" s="29">
        <v>0</v>
      </c>
      <c r="Y81" s="145">
        <v>0</v>
      </c>
      <c r="Z81" s="145">
        <v>0</v>
      </c>
      <c r="AA81" s="145">
        <v>0</v>
      </c>
      <c r="AB81" s="145">
        <v>0</v>
      </c>
      <c r="AC81" s="145">
        <v>0</v>
      </c>
      <c r="AD81" s="145">
        <v>0</v>
      </c>
      <c r="AE81" s="142">
        <f t="shared" ref="AE81:AE112" si="8">AVERAGE(X81:AD81)</f>
        <v>0</v>
      </c>
      <c r="AF81" s="141"/>
      <c r="AG81" s="67"/>
      <c r="AH81" s="67"/>
      <c r="AI81" s="24"/>
      <c r="AJ81" s="24"/>
      <c r="AK81" s="24"/>
      <c r="AL81" s="71"/>
      <c r="AM81" s="69"/>
      <c r="AN81" s="141"/>
      <c r="AO81" s="141"/>
      <c r="AP81" s="141"/>
      <c r="AQ81" s="141"/>
      <c r="AR81" s="141"/>
      <c r="AS81" s="141"/>
      <c r="AT81" s="141"/>
      <c r="AU81" s="141"/>
      <c r="AV81" s="141"/>
      <c r="AW81" s="141"/>
    </row>
    <row r="82" spans="1:49" ht="45" customHeight="1">
      <c r="A82" s="153">
        <f t="shared" si="7"/>
        <v>79</v>
      </c>
      <c r="B82" s="153"/>
      <c r="C82" s="140"/>
      <c r="D82" s="140"/>
      <c r="E82" s="69"/>
      <c r="F82" s="39">
        <v>0</v>
      </c>
      <c r="G82" s="21"/>
      <c r="H82" s="21"/>
      <c r="I82" s="21"/>
      <c r="J82" s="141"/>
      <c r="K82" s="21"/>
      <c r="L82" s="69"/>
      <c r="M82" s="141"/>
      <c r="N82" s="59"/>
      <c r="O82" s="59"/>
      <c r="P82" s="105"/>
      <c r="Q82" s="105"/>
      <c r="R82" s="105"/>
      <c r="S82" s="90"/>
      <c r="T82" s="90"/>
      <c r="U82" s="93"/>
      <c r="V82" s="93"/>
      <c r="W82" s="93"/>
      <c r="X82" s="29">
        <v>0</v>
      </c>
      <c r="Y82" s="145">
        <v>0</v>
      </c>
      <c r="Z82" s="145">
        <v>0</v>
      </c>
      <c r="AA82" s="145">
        <v>0</v>
      </c>
      <c r="AB82" s="145">
        <v>0</v>
      </c>
      <c r="AC82" s="145">
        <v>0</v>
      </c>
      <c r="AD82" s="145">
        <v>0</v>
      </c>
      <c r="AE82" s="142">
        <f t="shared" si="8"/>
        <v>0</v>
      </c>
      <c r="AF82" s="141"/>
      <c r="AG82" s="67"/>
      <c r="AH82" s="67"/>
      <c r="AI82" s="24"/>
      <c r="AJ82" s="24"/>
      <c r="AK82" s="24"/>
      <c r="AL82" s="71"/>
      <c r="AM82" s="69"/>
      <c r="AN82" s="141"/>
      <c r="AO82" s="141"/>
      <c r="AP82" s="141"/>
      <c r="AQ82" s="141"/>
      <c r="AR82" s="141"/>
      <c r="AS82" s="141"/>
      <c r="AT82" s="141"/>
      <c r="AU82" s="141"/>
      <c r="AV82" s="141"/>
      <c r="AW82" s="141"/>
    </row>
    <row r="83" spans="1:49" ht="45" customHeight="1">
      <c r="A83" s="153">
        <f t="shared" si="7"/>
        <v>80</v>
      </c>
      <c r="B83" s="153"/>
      <c r="C83" s="140"/>
      <c r="D83" s="28"/>
      <c r="E83" s="69"/>
      <c r="F83" s="39">
        <v>0</v>
      </c>
      <c r="G83" s="21"/>
      <c r="H83" s="21"/>
      <c r="I83" s="21"/>
      <c r="J83" s="141"/>
      <c r="K83" s="21"/>
      <c r="L83" s="69"/>
      <c r="M83" s="141"/>
      <c r="N83" s="59"/>
      <c r="O83" s="59"/>
      <c r="P83" s="105"/>
      <c r="Q83" s="105"/>
      <c r="R83" s="105"/>
      <c r="S83" s="90"/>
      <c r="T83" s="90"/>
      <c r="U83" s="93"/>
      <c r="V83" s="93"/>
      <c r="W83" s="93"/>
      <c r="X83" s="29">
        <v>0</v>
      </c>
      <c r="Y83" s="145">
        <v>0</v>
      </c>
      <c r="Z83" s="145">
        <v>0</v>
      </c>
      <c r="AA83" s="145">
        <v>0</v>
      </c>
      <c r="AB83" s="145">
        <v>0</v>
      </c>
      <c r="AC83" s="145">
        <v>0</v>
      </c>
      <c r="AD83" s="145">
        <v>0</v>
      </c>
      <c r="AE83" s="142">
        <f t="shared" si="8"/>
        <v>0</v>
      </c>
      <c r="AF83" s="141"/>
      <c r="AG83" s="67"/>
      <c r="AH83" s="67"/>
      <c r="AI83" s="24"/>
      <c r="AJ83" s="24"/>
      <c r="AK83" s="24"/>
      <c r="AL83" s="71"/>
      <c r="AM83" s="69"/>
      <c r="AN83" s="141"/>
      <c r="AO83" s="141"/>
      <c r="AP83" s="141"/>
      <c r="AQ83" s="141"/>
      <c r="AR83" s="141"/>
      <c r="AS83" s="141"/>
      <c r="AT83" s="141"/>
      <c r="AU83" s="141"/>
      <c r="AV83" s="141"/>
      <c r="AW83" s="141"/>
    </row>
    <row r="84" spans="1:49" ht="45" customHeight="1">
      <c r="A84" s="153">
        <f t="shared" si="7"/>
        <v>81</v>
      </c>
      <c r="B84" s="153"/>
      <c r="C84" s="140"/>
      <c r="D84" s="28"/>
      <c r="E84" s="69"/>
      <c r="F84" s="39">
        <v>0</v>
      </c>
      <c r="G84" s="21"/>
      <c r="H84" s="21"/>
      <c r="I84" s="21"/>
      <c r="J84" s="141"/>
      <c r="K84" s="21"/>
      <c r="L84" s="69"/>
      <c r="M84" s="141"/>
      <c r="N84" s="59"/>
      <c r="O84" s="59"/>
      <c r="P84" s="105"/>
      <c r="Q84" s="105"/>
      <c r="R84" s="105"/>
      <c r="S84" s="90"/>
      <c r="T84" s="90"/>
      <c r="U84" s="93"/>
      <c r="V84" s="93"/>
      <c r="W84" s="93"/>
      <c r="X84" s="29">
        <v>0</v>
      </c>
      <c r="Y84" s="145">
        <v>0</v>
      </c>
      <c r="Z84" s="145">
        <v>0</v>
      </c>
      <c r="AA84" s="145">
        <v>0</v>
      </c>
      <c r="AB84" s="145">
        <v>0</v>
      </c>
      <c r="AC84" s="145">
        <v>0</v>
      </c>
      <c r="AD84" s="145">
        <v>0</v>
      </c>
      <c r="AE84" s="142">
        <f t="shared" si="8"/>
        <v>0</v>
      </c>
      <c r="AF84" s="141"/>
      <c r="AG84" s="67"/>
      <c r="AH84" s="67"/>
      <c r="AI84" s="24"/>
      <c r="AJ84" s="24"/>
      <c r="AK84" s="24"/>
      <c r="AL84" s="71"/>
      <c r="AM84" s="69"/>
      <c r="AN84" s="141"/>
      <c r="AO84" s="141"/>
      <c r="AP84" s="141"/>
      <c r="AQ84" s="141"/>
      <c r="AR84" s="141"/>
      <c r="AS84" s="141"/>
      <c r="AT84" s="141"/>
      <c r="AU84" s="141"/>
      <c r="AV84" s="141"/>
      <c r="AW84" s="141"/>
    </row>
    <row r="85" spans="1:49" ht="45" customHeight="1">
      <c r="A85" s="153">
        <f t="shared" si="7"/>
        <v>82</v>
      </c>
      <c r="B85" s="153"/>
      <c r="C85" s="140"/>
      <c r="D85" s="28"/>
      <c r="E85" s="69"/>
      <c r="F85" s="39">
        <v>0</v>
      </c>
      <c r="G85" s="21"/>
      <c r="H85" s="21"/>
      <c r="I85" s="21"/>
      <c r="J85" s="141"/>
      <c r="K85" s="21"/>
      <c r="L85" s="69"/>
      <c r="M85" s="141"/>
      <c r="N85" s="59"/>
      <c r="O85" s="59"/>
      <c r="P85" s="105"/>
      <c r="Q85" s="105"/>
      <c r="R85" s="105"/>
      <c r="S85" s="90"/>
      <c r="T85" s="90"/>
      <c r="U85" s="93"/>
      <c r="V85" s="93"/>
      <c r="W85" s="93"/>
      <c r="X85" s="29">
        <v>0</v>
      </c>
      <c r="Y85" s="145">
        <v>0</v>
      </c>
      <c r="Z85" s="145">
        <v>0</v>
      </c>
      <c r="AA85" s="145">
        <v>0</v>
      </c>
      <c r="AB85" s="145">
        <v>0</v>
      </c>
      <c r="AC85" s="145">
        <v>0</v>
      </c>
      <c r="AD85" s="145">
        <v>0</v>
      </c>
      <c r="AE85" s="142">
        <f t="shared" si="8"/>
        <v>0</v>
      </c>
      <c r="AF85" s="141"/>
      <c r="AG85" s="67"/>
      <c r="AH85" s="67"/>
      <c r="AI85" s="24"/>
      <c r="AJ85" s="24"/>
      <c r="AK85" s="24"/>
      <c r="AL85" s="71"/>
      <c r="AM85" s="69"/>
      <c r="AN85" s="141"/>
      <c r="AO85" s="141"/>
      <c r="AP85" s="141"/>
      <c r="AQ85" s="141"/>
      <c r="AR85" s="141"/>
      <c r="AS85" s="141"/>
      <c r="AT85" s="141"/>
      <c r="AU85" s="141"/>
      <c r="AV85" s="141"/>
      <c r="AW85" s="141"/>
    </row>
    <row r="86" spans="1:49" ht="45" customHeight="1">
      <c r="A86" s="153">
        <f t="shared" si="7"/>
        <v>83</v>
      </c>
      <c r="B86" s="153"/>
      <c r="C86" s="140"/>
      <c r="D86" s="28"/>
      <c r="E86" s="69"/>
      <c r="F86" s="39">
        <v>0</v>
      </c>
      <c r="G86" s="21"/>
      <c r="H86" s="21"/>
      <c r="I86" s="21"/>
      <c r="J86" s="141"/>
      <c r="K86" s="21"/>
      <c r="L86" s="69"/>
      <c r="M86" s="141"/>
      <c r="N86" s="59"/>
      <c r="O86" s="59"/>
      <c r="P86" s="105"/>
      <c r="Q86" s="105"/>
      <c r="R86" s="105"/>
      <c r="S86" s="90"/>
      <c r="T86" s="90"/>
      <c r="U86" s="93"/>
      <c r="V86" s="93"/>
      <c r="W86" s="93"/>
      <c r="X86" s="29">
        <v>0</v>
      </c>
      <c r="Y86" s="145">
        <v>0</v>
      </c>
      <c r="Z86" s="145">
        <v>0</v>
      </c>
      <c r="AA86" s="145">
        <v>0</v>
      </c>
      <c r="AB86" s="145">
        <v>0</v>
      </c>
      <c r="AC86" s="145">
        <v>0</v>
      </c>
      <c r="AD86" s="145">
        <v>0</v>
      </c>
      <c r="AE86" s="142">
        <f t="shared" si="8"/>
        <v>0</v>
      </c>
      <c r="AF86" s="141"/>
      <c r="AG86" s="67"/>
      <c r="AH86" s="67"/>
      <c r="AI86" s="24"/>
      <c r="AJ86" s="24"/>
      <c r="AK86" s="24"/>
      <c r="AL86" s="71"/>
      <c r="AM86" s="69"/>
      <c r="AN86" s="141"/>
      <c r="AO86" s="141"/>
      <c r="AP86" s="141"/>
      <c r="AQ86" s="141"/>
      <c r="AR86" s="141"/>
      <c r="AS86" s="141"/>
      <c r="AT86" s="141"/>
      <c r="AU86" s="141"/>
      <c r="AV86" s="141"/>
      <c r="AW86" s="141"/>
    </row>
    <row r="87" spans="1:49" ht="45" customHeight="1">
      <c r="A87" s="153">
        <f t="shared" si="7"/>
        <v>84</v>
      </c>
      <c r="B87" s="153"/>
      <c r="C87" s="140"/>
      <c r="D87" s="28"/>
      <c r="E87" s="69"/>
      <c r="F87" s="39">
        <v>0</v>
      </c>
      <c r="G87" s="21"/>
      <c r="H87" s="21"/>
      <c r="I87" s="21"/>
      <c r="J87" s="141"/>
      <c r="K87" s="21"/>
      <c r="L87" s="69"/>
      <c r="M87" s="141"/>
      <c r="N87" s="59"/>
      <c r="O87" s="59"/>
      <c r="P87" s="105"/>
      <c r="Q87" s="105"/>
      <c r="R87" s="105"/>
      <c r="S87" s="90"/>
      <c r="T87" s="90"/>
      <c r="U87" s="93"/>
      <c r="V87" s="93"/>
      <c r="W87" s="93"/>
      <c r="X87" s="29">
        <v>0</v>
      </c>
      <c r="Y87" s="145">
        <v>0</v>
      </c>
      <c r="Z87" s="145">
        <v>0</v>
      </c>
      <c r="AA87" s="145">
        <v>0</v>
      </c>
      <c r="AB87" s="145">
        <v>0</v>
      </c>
      <c r="AC87" s="145">
        <v>0</v>
      </c>
      <c r="AD87" s="145">
        <v>0</v>
      </c>
      <c r="AE87" s="142">
        <f t="shared" si="8"/>
        <v>0</v>
      </c>
      <c r="AF87" s="141"/>
      <c r="AG87" s="67"/>
      <c r="AH87" s="67"/>
      <c r="AI87" s="24"/>
      <c r="AJ87" s="24"/>
      <c r="AK87" s="24"/>
      <c r="AL87" s="71"/>
      <c r="AM87" s="69"/>
      <c r="AN87" s="141"/>
      <c r="AO87" s="141"/>
      <c r="AP87" s="141"/>
      <c r="AQ87" s="141"/>
      <c r="AR87" s="141"/>
      <c r="AS87" s="141"/>
      <c r="AT87" s="141"/>
      <c r="AU87" s="141"/>
      <c r="AV87" s="141"/>
      <c r="AW87" s="141"/>
    </row>
    <row r="88" spans="1:49" ht="45" customHeight="1">
      <c r="A88" s="153">
        <f t="shared" si="7"/>
        <v>85</v>
      </c>
      <c r="B88" s="153"/>
      <c r="C88" s="140"/>
      <c r="D88" s="28"/>
      <c r="E88" s="69"/>
      <c r="F88" s="39">
        <v>0</v>
      </c>
      <c r="G88" s="21"/>
      <c r="H88" s="21"/>
      <c r="I88" s="21"/>
      <c r="J88" s="141"/>
      <c r="K88" s="21"/>
      <c r="L88" s="69"/>
      <c r="M88" s="141"/>
      <c r="N88" s="59"/>
      <c r="O88" s="59"/>
      <c r="P88" s="105"/>
      <c r="Q88" s="105"/>
      <c r="R88" s="105"/>
      <c r="S88" s="90"/>
      <c r="T88" s="90"/>
      <c r="U88" s="93"/>
      <c r="V88" s="93"/>
      <c r="W88" s="93"/>
      <c r="X88" s="29">
        <v>0</v>
      </c>
      <c r="Y88" s="145">
        <v>0</v>
      </c>
      <c r="Z88" s="145">
        <v>0</v>
      </c>
      <c r="AA88" s="145">
        <v>0</v>
      </c>
      <c r="AB88" s="145">
        <v>0</v>
      </c>
      <c r="AC88" s="145">
        <v>0</v>
      </c>
      <c r="AD88" s="145">
        <v>0</v>
      </c>
      <c r="AE88" s="142">
        <f t="shared" si="8"/>
        <v>0</v>
      </c>
      <c r="AF88" s="141"/>
      <c r="AG88" s="67"/>
      <c r="AH88" s="67"/>
      <c r="AI88" s="24"/>
      <c r="AJ88" s="24"/>
      <c r="AK88" s="24"/>
      <c r="AL88" s="71"/>
      <c r="AM88" s="69"/>
      <c r="AN88" s="141"/>
      <c r="AO88" s="141"/>
      <c r="AP88" s="141"/>
      <c r="AQ88" s="141"/>
      <c r="AR88" s="141"/>
      <c r="AS88" s="141"/>
      <c r="AT88" s="141"/>
      <c r="AU88" s="141"/>
      <c r="AV88" s="141"/>
      <c r="AW88" s="141"/>
    </row>
    <row r="89" spans="1:49" ht="45" customHeight="1">
      <c r="A89" s="153">
        <f t="shared" si="7"/>
        <v>86</v>
      </c>
      <c r="B89" s="153"/>
      <c r="C89" s="140"/>
      <c r="D89" s="28"/>
      <c r="E89" s="69"/>
      <c r="F89" s="39">
        <v>0</v>
      </c>
      <c r="G89" s="21"/>
      <c r="H89" s="21"/>
      <c r="I89" s="21"/>
      <c r="J89" s="141"/>
      <c r="K89" s="21"/>
      <c r="L89" s="69"/>
      <c r="M89" s="141"/>
      <c r="N89" s="59"/>
      <c r="O89" s="59"/>
      <c r="P89" s="105"/>
      <c r="Q89" s="105"/>
      <c r="R89" s="105"/>
      <c r="S89" s="90"/>
      <c r="T89" s="90"/>
      <c r="U89" s="93"/>
      <c r="V89" s="93"/>
      <c r="W89" s="93"/>
      <c r="X89" s="29">
        <v>0</v>
      </c>
      <c r="Y89" s="145">
        <v>0</v>
      </c>
      <c r="Z89" s="145">
        <v>0</v>
      </c>
      <c r="AA89" s="145">
        <v>0</v>
      </c>
      <c r="AB89" s="145">
        <v>0</v>
      </c>
      <c r="AC89" s="145">
        <v>0</v>
      </c>
      <c r="AD89" s="145">
        <v>0</v>
      </c>
      <c r="AE89" s="142">
        <f t="shared" si="8"/>
        <v>0</v>
      </c>
      <c r="AF89" s="141"/>
      <c r="AG89" s="67"/>
      <c r="AH89" s="67"/>
      <c r="AI89" s="24"/>
      <c r="AJ89" s="24"/>
      <c r="AK89" s="24"/>
      <c r="AL89" s="71"/>
      <c r="AM89" s="69"/>
      <c r="AN89" s="141"/>
      <c r="AO89" s="141"/>
      <c r="AP89" s="141"/>
      <c r="AQ89" s="141"/>
      <c r="AR89" s="141"/>
      <c r="AS89" s="141"/>
      <c r="AT89" s="141"/>
      <c r="AU89" s="141"/>
      <c r="AV89" s="141"/>
      <c r="AW89" s="141"/>
    </row>
    <row r="90" spans="1:49" ht="45" customHeight="1">
      <c r="A90" s="153">
        <f t="shared" si="7"/>
        <v>87</v>
      </c>
      <c r="B90" s="153"/>
      <c r="C90" s="140"/>
      <c r="D90" s="28"/>
      <c r="E90" s="69"/>
      <c r="F90" s="39">
        <v>0</v>
      </c>
      <c r="G90" s="21"/>
      <c r="H90" s="21"/>
      <c r="I90" s="21"/>
      <c r="J90" s="141"/>
      <c r="K90" s="21"/>
      <c r="L90" s="69"/>
      <c r="M90" s="141"/>
      <c r="N90" s="59"/>
      <c r="O90" s="59"/>
      <c r="P90" s="105"/>
      <c r="Q90" s="105"/>
      <c r="R90" s="105"/>
      <c r="S90" s="90"/>
      <c r="T90" s="90"/>
      <c r="U90" s="93"/>
      <c r="V90" s="93"/>
      <c r="W90" s="93"/>
      <c r="X90" s="29">
        <v>0</v>
      </c>
      <c r="Y90" s="145">
        <v>0</v>
      </c>
      <c r="Z90" s="145">
        <v>0</v>
      </c>
      <c r="AA90" s="145">
        <v>0</v>
      </c>
      <c r="AB90" s="145">
        <v>0</v>
      </c>
      <c r="AC90" s="145">
        <v>0</v>
      </c>
      <c r="AD90" s="145">
        <v>0</v>
      </c>
      <c r="AE90" s="142">
        <f t="shared" si="8"/>
        <v>0</v>
      </c>
      <c r="AF90" s="141"/>
      <c r="AG90" s="67"/>
      <c r="AH90" s="67"/>
      <c r="AI90" s="24"/>
      <c r="AJ90" s="24"/>
      <c r="AK90" s="24"/>
      <c r="AL90" s="71"/>
      <c r="AM90" s="69"/>
      <c r="AN90" s="141"/>
      <c r="AO90" s="141"/>
      <c r="AP90" s="141"/>
      <c r="AQ90" s="141"/>
      <c r="AR90" s="141"/>
      <c r="AS90" s="141"/>
      <c r="AT90" s="141"/>
      <c r="AU90" s="141"/>
      <c r="AV90" s="141"/>
      <c r="AW90" s="141"/>
    </row>
    <row r="91" spans="1:49" ht="45" customHeight="1">
      <c r="A91" s="153">
        <f t="shared" si="7"/>
        <v>88</v>
      </c>
      <c r="B91" s="153"/>
      <c r="C91" s="140"/>
      <c r="D91" s="28"/>
      <c r="E91" s="69"/>
      <c r="F91" s="39">
        <v>0</v>
      </c>
      <c r="G91" s="21"/>
      <c r="H91" s="21"/>
      <c r="I91" s="21"/>
      <c r="J91" s="141"/>
      <c r="K91" s="21"/>
      <c r="L91" s="69"/>
      <c r="M91" s="141"/>
      <c r="N91" s="59"/>
      <c r="O91" s="59"/>
      <c r="P91" s="105"/>
      <c r="Q91" s="105"/>
      <c r="R91" s="105"/>
      <c r="S91" s="90"/>
      <c r="T91" s="90"/>
      <c r="U91" s="93"/>
      <c r="V91" s="93"/>
      <c r="W91" s="93"/>
      <c r="X91" s="29">
        <v>0</v>
      </c>
      <c r="Y91" s="145">
        <v>0</v>
      </c>
      <c r="Z91" s="145">
        <v>0</v>
      </c>
      <c r="AA91" s="145">
        <v>0</v>
      </c>
      <c r="AB91" s="145">
        <v>0</v>
      </c>
      <c r="AC91" s="145">
        <v>0</v>
      </c>
      <c r="AD91" s="145">
        <v>0</v>
      </c>
      <c r="AE91" s="142">
        <f t="shared" si="8"/>
        <v>0</v>
      </c>
      <c r="AF91" s="141"/>
      <c r="AG91" s="67"/>
      <c r="AH91" s="67"/>
      <c r="AI91" s="24"/>
      <c r="AJ91" s="24"/>
      <c r="AK91" s="24"/>
      <c r="AL91" s="71"/>
      <c r="AM91" s="69"/>
      <c r="AN91" s="141"/>
      <c r="AO91" s="141"/>
      <c r="AP91" s="141"/>
      <c r="AQ91" s="141"/>
      <c r="AR91" s="141"/>
      <c r="AS91" s="141"/>
      <c r="AT91" s="141"/>
      <c r="AU91" s="141"/>
      <c r="AV91" s="141"/>
      <c r="AW91" s="141"/>
    </row>
    <row r="92" spans="1:49" ht="45" customHeight="1">
      <c r="A92" s="153">
        <f t="shared" si="7"/>
        <v>89</v>
      </c>
      <c r="B92" s="153"/>
      <c r="C92" s="140"/>
      <c r="D92" s="28"/>
      <c r="E92" s="69"/>
      <c r="F92" s="39">
        <v>0</v>
      </c>
      <c r="G92" s="21"/>
      <c r="H92" s="21"/>
      <c r="I92" s="21"/>
      <c r="J92" s="141"/>
      <c r="K92" s="21"/>
      <c r="L92" s="69"/>
      <c r="M92" s="141"/>
      <c r="N92" s="59"/>
      <c r="O92" s="59"/>
      <c r="P92" s="105"/>
      <c r="Q92" s="105"/>
      <c r="R92" s="105"/>
      <c r="S92" s="90"/>
      <c r="T92" s="90"/>
      <c r="U92" s="93"/>
      <c r="V92" s="93"/>
      <c r="W92" s="93"/>
      <c r="X92" s="29">
        <v>0</v>
      </c>
      <c r="Y92" s="145">
        <v>0</v>
      </c>
      <c r="Z92" s="145">
        <v>0</v>
      </c>
      <c r="AA92" s="145">
        <v>0</v>
      </c>
      <c r="AB92" s="145">
        <v>0</v>
      </c>
      <c r="AC92" s="145">
        <v>0</v>
      </c>
      <c r="AD92" s="145">
        <v>0</v>
      </c>
      <c r="AE92" s="142">
        <f t="shared" si="8"/>
        <v>0</v>
      </c>
      <c r="AF92" s="141"/>
      <c r="AG92" s="67"/>
      <c r="AH92" s="67"/>
      <c r="AI92" s="24"/>
      <c r="AJ92" s="24"/>
      <c r="AK92" s="24"/>
      <c r="AL92" s="71"/>
      <c r="AM92" s="69"/>
      <c r="AN92" s="141"/>
      <c r="AO92" s="141"/>
      <c r="AP92" s="141"/>
      <c r="AQ92" s="141"/>
      <c r="AR92" s="141"/>
      <c r="AS92" s="141"/>
      <c r="AT92" s="141"/>
      <c r="AU92" s="141"/>
      <c r="AV92" s="141"/>
      <c r="AW92" s="141"/>
    </row>
    <row r="93" spans="1:49" ht="45" customHeight="1">
      <c r="A93" s="153">
        <f t="shared" si="7"/>
        <v>90</v>
      </c>
      <c r="B93" s="153"/>
      <c r="C93" s="140"/>
      <c r="D93" s="28"/>
      <c r="E93" s="69"/>
      <c r="F93" s="39">
        <v>0</v>
      </c>
      <c r="G93" s="21"/>
      <c r="H93" s="21"/>
      <c r="I93" s="21"/>
      <c r="J93" s="141"/>
      <c r="K93" s="21"/>
      <c r="L93" s="69"/>
      <c r="M93" s="141"/>
      <c r="N93" s="59"/>
      <c r="O93" s="59"/>
      <c r="P93" s="105"/>
      <c r="Q93" s="105"/>
      <c r="R93" s="105"/>
      <c r="S93" s="90"/>
      <c r="T93" s="90"/>
      <c r="U93" s="93"/>
      <c r="V93" s="93"/>
      <c r="W93" s="93"/>
      <c r="X93" s="29">
        <v>0</v>
      </c>
      <c r="Y93" s="145">
        <v>0</v>
      </c>
      <c r="Z93" s="145">
        <v>0</v>
      </c>
      <c r="AA93" s="145">
        <v>0</v>
      </c>
      <c r="AB93" s="145">
        <v>0</v>
      </c>
      <c r="AC93" s="145">
        <v>0</v>
      </c>
      <c r="AD93" s="145">
        <v>0</v>
      </c>
      <c r="AE93" s="142">
        <f t="shared" si="8"/>
        <v>0</v>
      </c>
      <c r="AF93" s="141"/>
      <c r="AG93" s="67"/>
      <c r="AH93" s="67"/>
      <c r="AI93" s="24"/>
      <c r="AJ93" s="24"/>
      <c r="AK93" s="24"/>
      <c r="AL93" s="71"/>
      <c r="AM93" s="69"/>
      <c r="AN93" s="141"/>
      <c r="AO93" s="141"/>
      <c r="AP93" s="141"/>
      <c r="AQ93" s="141"/>
      <c r="AR93" s="141"/>
      <c r="AS93" s="141"/>
      <c r="AT93" s="141"/>
      <c r="AU93" s="141"/>
      <c r="AV93" s="141"/>
      <c r="AW93" s="141"/>
    </row>
    <row r="94" spans="1:49" ht="45" customHeight="1">
      <c r="A94" s="153">
        <f t="shared" si="7"/>
        <v>91</v>
      </c>
      <c r="B94" s="153"/>
      <c r="C94" s="140"/>
      <c r="D94" s="28"/>
      <c r="E94" s="69"/>
      <c r="F94" s="39">
        <v>0</v>
      </c>
      <c r="G94" s="21"/>
      <c r="H94" s="21"/>
      <c r="I94" s="21"/>
      <c r="J94" s="141"/>
      <c r="K94" s="21"/>
      <c r="L94" s="69"/>
      <c r="M94" s="141"/>
      <c r="N94" s="59"/>
      <c r="O94" s="59"/>
      <c r="P94" s="105"/>
      <c r="Q94" s="105"/>
      <c r="R94" s="105"/>
      <c r="S94" s="90"/>
      <c r="T94" s="90"/>
      <c r="U94" s="93"/>
      <c r="V94" s="93"/>
      <c r="W94" s="93"/>
      <c r="X94" s="29">
        <v>0</v>
      </c>
      <c r="Y94" s="145">
        <v>0</v>
      </c>
      <c r="Z94" s="145">
        <v>0</v>
      </c>
      <c r="AA94" s="145">
        <v>0</v>
      </c>
      <c r="AB94" s="145">
        <v>0</v>
      </c>
      <c r="AC94" s="145">
        <v>0</v>
      </c>
      <c r="AD94" s="145">
        <v>0</v>
      </c>
      <c r="AE94" s="142">
        <f t="shared" si="8"/>
        <v>0</v>
      </c>
      <c r="AF94" s="141"/>
      <c r="AG94" s="67"/>
      <c r="AH94" s="67"/>
      <c r="AI94" s="24"/>
      <c r="AJ94" s="24"/>
      <c r="AK94" s="24"/>
      <c r="AL94" s="71"/>
      <c r="AM94" s="69"/>
      <c r="AN94" s="141"/>
      <c r="AO94" s="141"/>
      <c r="AP94" s="141"/>
      <c r="AQ94" s="141"/>
      <c r="AR94" s="141"/>
      <c r="AS94" s="141"/>
      <c r="AT94" s="141"/>
      <c r="AU94" s="141"/>
      <c r="AV94" s="141"/>
      <c r="AW94" s="141"/>
    </row>
    <row r="95" spans="1:49" ht="45" customHeight="1">
      <c r="A95" s="153">
        <f t="shared" si="7"/>
        <v>92</v>
      </c>
      <c r="B95" s="153"/>
      <c r="C95" s="140"/>
      <c r="D95" s="28"/>
      <c r="E95" s="69"/>
      <c r="F95" s="39">
        <v>0</v>
      </c>
      <c r="G95" s="21"/>
      <c r="H95" s="21"/>
      <c r="I95" s="21"/>
      <c r="J95" s="141"/>
      <c r="K95" s="21"/>
      <c r="L95" s="69"/>
      <c r="M95" s="141"/>
      <c r="N95" s="59"/>
      <c r="O95" s="59"/>
      <c r="P95" s="105"/>
      <c r="Q95" s="105"/>
      <c r="R95" s="105"/>
      <c r="S95" s="90"/>
      <c r="T95" s="90"/>
      <c r="U95" s="93"/>
      <c r="V95" s="93"/>
      <c r="W95" s="93"/>
      <c r="X95" s="29">
        <v>0</v>
      </c>
      <c r="Y95" s="145">
        <v>0</v>
      </c>
      <c r="Z95" s="145">
        <v>0</v>
      </c>
      <c r="AA95" s="145">
        <v>0</v>
      </c>
      <c r="AB95" s="145">
        <v>0</v>
      </c>
      <c r="AC95" s="145">
        <v>0</v>
      </c>
      <c r="AD95" s="145">
        <v>0</v>
      </c>
      <c r="AE95" s="142">
        <f t="shared" si="8"/>
        <v>0</v>
      </c>
      <c r="AF95" s="141"/>
      <c r="AG95" s="67"/>
      <c r="AH95" s="67"/>
      <c r="AI95" s="24"/>
      <c r="AJ95" s="24"/>
      <c r="AK95" s="24"/>
      <c r="AL95" s="71"/>
      <c r="AM95" s="69"/>
      <c r="AN95" s="141"/>
      <c r="AO95" s="141"/>
      <c r="AP95" s="141"/>
      <c r="AQ95" s="141"/>
      <c r="AR95" s="141"/>
      <c r="AS95" s="141"/>
      <c r="AT95" s="141"/>
      <c r="AU95" s="141"/>
      <c r="AV95" s="141"/>
      <c r="AW95" s="141"/>
    </row>
    <row r="96" spans="1:49" ht="45" customHeight="1">
      <c r="A96" s="153">
        <f t="shared" si="7"/>
        <v>93</v>
      </c>
      <c r="B96" s="153"/>
      <c r="C96" s="140"/>
      <c r="D96" s="28"/>
      <c r="E96" s="69"/>
      <c r="F96" s="39">
        <v>0</v>
      </c>
      <c r="G96" s="21"/>
      <c r="H96" s="21"/>
      <c r="I96" s="21"/>
      <c r="J96" s="141"/>
      <c r="K96" s="21"/>
      <c r="L96" s="69"/>
      <c r="M96" s="141"/>
      <c r="N96" s="59"/>
      <c r="O96" s="59"/>
      <c r="P96" s="105"/>
      <c r="Q96" s="105"/>
      <c r="R96" s="105"/>
      <c r="S96" s="90"/>
      <c r="T96" s="90"/>
      <c r="U96" s="93"/>
      <c r="V96" s="93"/>
      <c r="W96" s="93"/>
      <c r="X96" s="29">
        <v>0</v>
      </c>
      <c r="Y96" s="145">
        <v>0</v>
      </c>
      <c r="Z96" s="145">
        <v>0</v>
      </c>
      <c r="AA96" s="145">
        <v>0</v>
      </c>
      <c r="AB96" s="145">
        <v>0</v>
      </c>
      <c r="AC96" s="145">
        <v>0</v>
      </c>
      <c r="AD96" s="145">
        <v>0</v>
      </c>
      <c r="AE96" s="142">
        <f t="shared" si="8"/>
        <v>0</v>
      </c>
      <c r="AF96" s="141"/>
      <c r="AG96" s="67"/>
      <c r="AH96" s="67"/>
      <c r="AI96" s="24"/>
      <c r="AJ96" s="24"/>
      <c r="AK96" s="24"/>
      <c r="AL96" s="71"/>
      <c r="AM96" s="69"/>
      <c r="AN96" s="141"/>
      <c r="AO96" s="141"/>
      <c r="AP96" s="141"/>
      <c r="AQ96" s="141"/>
      <c r="AR96" s="141"/>
      <c r="AS96" s="141"/>
      <c r="AT96" s="141"/>
      <c r="AU96" s="141"/>
      <c r="AV96" s="141"/>
      <c r="AW96" s="141"/>
    </row>
    <row r="97" spans="1:49" ht="45" customHeight="1">
      <c r="A97" s="153">
        <f t="shared" si="7"/>
        <v>94</v>
      </c>
      <c r="B97" s="153"/>
      <c r="C97" s="140"/>
      <c r="D97" s="28"/>
      <c r="E97" s="69"/>
      <c r="F97" s="39">
        <v>0</v>
      </c>
      <c r="G97" s="21"/>
      <c r="H97" s="21"/>
      <c r="I97" s="21"/>
      <c r="J97" s="141"/>
      <c r="K97" s="21"/>
      <c r="L97" s="69"/>
      <c r="M97" s="141"/>
      <c r="N97" s="59"/>
      <c r="O97" s="59"/>
      <c r="P97" s="105"/>
      <c r="Q97" s="105"/>
      <c r="R97" s="105"/>
      <c r="S97" s="90"/>
      <c r="T97" s="90"/>
      <c r="U97" s="93"/>
      <c r="V97" s="93"/>
      <c r="W97" s="93"/>
      <c r="X97" s="29">
        <v>0</v>
      </c>
      <c r="Y97" s="145">
        <v>0</v>
      </c>
      <c r="Z97" s="145">
        <v>0</v>
      </c>
      <c r="AA97" s="145">
        <v>0</v>
      </c>
      <c r="AB97" s="145">
        <v>0</v>
      </c>
      <c r="AC97" s="145">
        <v>0</v>
      </c>
      <c r="AD97" s="145">
        <v>0</v>
      </c>
      <c r="AE97" s="142">
        <f t="shared" si="8"/>
        <v>0</v>
      </c>
      <c r="AF97" s="141"/>
      <c r="AG97" s="67"/>
      <c r="AH97" s="67"/>
      <c r="AI97" s="24"/>
      <c r="AJ97" s="24"/>
      <c r="AK97" s="24"/>
      <c r="AL97" s="71"/>
      <c r="AM97" s="69"/>
      <c r="AN97" s="141"/>
      <c r="AO97" s="141"/>
      <c r="AP97" s="141"/>
      <c r="AQ97" s="141"/>
      <c r="AR97" s="141"/>
      <c r="AS97" s="141"/>
      <c r="AT97" s="141"/>
      <c r="AU97" s="141"/>
      <c r="AV97" s="141"/>
      <c r="AW97" s="141"/>
    </row>
    <row r="98" spans="1:49" ht="45" customHeight="1">
      <c r="A98" s="153">
        <f t="shared" si="7"/>
        <v>95</v>
      </c>
      <c r="B98" s="153"/>
      <c r="C98" s="140"/>
      <c r="D98" s="28"/>
      <c r="E98" s="69"/>
      <c r="F98" s="39">
        <v>0</v>
      </c>
      <c r="G98" s="21"/>
      <c r="H98" s="21"/>
      <c r="I98" s="21"/>
      <c r="J98" s="141"/>
      <c r="K98" s="21"/>
      <c r="L98" s="69"/>
      <c r="M98" s="141"/>
      <c r="N98" s="59"/>
      <c r="O98" s="59"/>
      <c r="P98" s="105"/>
      <c r="Q98" s="105"/>
      <c r="R98" s="105"/>
      <c r="S98" s="90"/>
      <c r="T98" s="90"/>
      <c r="U98" s="93"/>
      <c r="V98" s="93"/>
      <c r="W98" s="93"/>
      <c r="X98" s="29">
        <v>0</v>
      </c>
      <c r="Y98" s="145">
        <v>0</v>
      </c>
      <c r="Z98" s="145">
        <v>0</v>
      </c>
      <c r="AA98" s="145">
        <v>0</v>
      </c>
      <c r="AB98" s="145">
        <v>0</v>
      </c>
      <c r="AC98" s="145">
        <v>0</v>
      </c>
      <c r="AD98" s="145">
        <v>0</v>
      </c>
      <c r="AE98" s="142">
        <f t="shared" si="8"/>
        <v>0</v>
      </c>
      <c r="AF98" s="141"/>
      <c r="AG98" s="67"/>
      <c r="AH98" s="67"/>
      <c r="AI98" s="24"/>
      <c r="AJ98" s="24"/>
      <c r="AK98" s="24"/>
      <c r="AL98" s="71"/>
      <c r="AM98" s="69"/>
      <c r="AN98" s="141"/>
      <c r="AO98" s="141"/>
      <c r="AP98" s="141"/>
      <c r="AQ98" s="141"/>
      <c r="AR98" s="141"/>
      <c r="AS98" s="141"/>
      <c r="AT98" s="141"/>
      <c r="AU98" s="141"/>
      <c r="AV98" s="141"/>
      <c r="AW98" s="141"/>
    </row>
    <row r="99" spans="1:49" ht="45" customHeight="1">
      <c r="A99" s="153">
        <f t="shared" si="7"/>
        <v>96</v>
      </c>
      <c r="B99" s="153"/>
      <c r="C99" s="140"/>
      <c r="D99" s="28"/>
      <c r="E99" s="69"/>
      <c r="F99" s="39">
        <v>0</v>
      </c>
      <c r="G99" s="21"/>
      <c r="H99" s="21"/>
      <c r="I99" s="21"/>
      <c r="J99" s="141"/>
      <c r="K99" s="21"/>
      <c r="L99" s="69"/>
      <c r="M99" s="141"/>
      <c r="N99" s="59"/>
      <c r="O99" s="59"/>
      <c r="P99" s="105"/>
      <c r="Q99" s="105"/>
      <c r="R99" s="105"/>
      <c r="S99" s="90"/>
      <c r="T99" s="90"/>
      <c r="U99" s="93"/>
      <c r="V99" s="93"/>
      <c r="W99" s="93"/>
      <c r="X99" s="29">
        <v>0</v>
      </c>
      <c r="Y99" s="145">
        <v>0</v>
      </c>
      <c r="Z99" s="145">
        <v>0</v>
      </c>
      <c r="AA99" s="145">
        <v>0</v>
      </c>
      <c r="AB99" s="145">
        <v>0</v>
      </c>
      <c r="AC99" s="145">
        <v>0</v>
      </c>
      <c r="AD99" s="145">
        <v>0</v>
      </c>
      <c r="AE99" s="142">
        <f t="shared" si="8"/>
        <v>0</v>
      </c>
      <c r="AF99" s="141"/>
      <c r="AG99" s="67"/>
      <c r="AH99" s="67"/>
      <c r="AI99" s="24"/>
      <c r="AJ99" s="24"/>
      <c r="AK99" s="24"/>
      <c r="AL99" s="71"/>
      <c r="AM99" s="69"/>
      <c r="AN99" s="141"/>
      <c r="AO99" s="141"/>
      <c r="AP99" s="141"/>
      <c r="AQ99" s="141"/>
      <c r="AR99" s="141"/>
      <c r="AS99" s="141"/>
      <c r="AT99" s="141"/>
      <c r="AU99" s="141"/>
      <c r="AV99" s="141"/>
      <c r="AW99" s="141"/>
    </row>
    <row r="100" spans="1:49" ht="45" customHeight="1">
      <c r="A100" s="153">
        <f t="shared" si="7"/>
        <v>97</v>
      </c>
      <c r="B100" s="153"/>
      <c r="C100" s="140"/>
      <c r="D100" s="28"/>
      <c r="E100" s="69"/>
      <c r="F100" s="39">
        <v>0</v>
      </c>
      <c r="G100" s="21"/>
      <c r="H100" s="21"/>
      <c r="I100" s="21"/>
      <c r="J100" s="141"/>
      <c r="K100" s="21"/>
      <c r="L100" s="69"/>
      <c r="M100" s="141"/>
      <c r="N100" s="59"/>
      <c r="O100" s="59"/>
      <c r="P100" s="105"/>
      <c r="Q100" s="105"/>
      <c r="R100" s="105"/>
      <c r="S100" s="90"/>
      <c r="T100" s="90"/>
      <c r="U100" s="93"/>
      <c r="V100" s="93"/>
      <c r="W100" s="93"/>
      <c r="X100" s="29">
        <v>0</v>
      </c>
      <c r="Y100" s="145">
        <v>0</v>
      </c>
      <c r="Z100" s="145">
        <v>0</v>
      </c>
      <c r="AA100" s="145">
        <v>0</v>
      </c>
      <c r="AB100" s="145">
        <v>0</v>
      </c>
      <c r="AC100" s="145">
        <v>0</v>
      </c>
      <c r="AD100" s="145">
        <v>0</v>
      </c>
      <c r="AE100" s="142">
        <f t="shared" si="8"/>
        <v>0</v>
      </c>
      <c r="AF100" s="141"/>
      <c r="AG100" s="67"/>
      <c r="AH100" s="67"/>
      <c r="AI100" s="24"/>
      <c r="AJ100" s="24"/>
      <c r="AK100" s="24"/>
      <c r="AL100" s="71"/>
      <c r="AM100" s="69"/>
      <c r="AN100" s="141"/>
      <c r="AO100" s="141"/>
      <c r="AP100" s="141"/>
      <c r="AQ100" s="141"/>
      <c r="AR100" s="141"/>
      <c r="AS100" s="141"/>
      <c r="AT100" s="141"/>
      <c r="AU100" s="141"/>
      <c r="AV100" s="141"/>
      <c r="AW100" s="141"/>
    </row>
    <row r="101" spans="1:49" ht="45" customHeight="1">
      <c r="A101" s="153">
        <f t="shared" si="7"/>
        <v>98</v>
      </c>
      <c r="B101" s="153"/>
      <c r="C101" s="140"/>
      <c r="D101" s="28"/>
      <c r="E101" s="69"/>
      <c r="F101" s="39">
        <v>0</v>
      </c>
      <c r="G101" s="21"/>
      <c r="H101" s="21"/>
      <c r="I101" s="21"/>
      <c r="J101" s="141"/>
      <c r="K101" s="21"/>
      <c r="L101" s="69"/>
      <c r="M101" s="141"/>
      <c r="N101" s="59"/>
      <c r="O101" s="59"/>
      <c r="P101" s="105"/>
      <c r="Q101" s="105"/>
      <c r="R101" s="105"/>
      <c r="S101" s="90"/>
      <c r="T101" s="90"/>
      <c r="U101" s="93"/>
      <c r="V101" s="93"/>
      <c r="W101" s="93"/>
      <c r="X101" s="29">
        <v>0</v>
      </c>
      <c r="Y101" s="145">
        <v>0</v>
      </c>
      <c r="Z101" s="145">
        <v>0</v>
      </c>
      <c r="AA101" s="145">
        <v>0</v>
      </c>
      <c r="AB101" s="145">
        <v>0</v>
      </c>
      <c r="AC101" s="145">
        <v>0</v>
      </c>
      <c r="AD101" s="145">
        <v>0</v>
      </c>
      <c r="AE101" s="142">
        <f t="shared" si="8"/>
        <v>0</v>
      </c>
      <c r="AF101" s="141"/>
      <c r="AG101" s="67"/>
      <c r="AH101" s="67"/>
      <c r="AI101" s="24"/>
      <c r="AJ101" s="24"/>
      <c r="AK101" s="24"/>
      <c r="AL101" s="71"/>
      <c r="AM101" s="69"/>
      <c r="AN101" s="141"/>
      <c r="AO101" s="141"/>
      <c r="AP101" s="141"/>
      <c r="AQ101" s="141"/>
      <c r="AR101" s="141"/>
      <c r="AS101" s="141"/>
      <c r="AT101" s="141"/>
      <c r="AU101" s="141"/>
      <c r="AV101" s="141"/>
      <c r="AW101" s="141"/>
    </row>
    <row r="102" spans="1:49" ht="45" customHeight="1">
      <c r="A102" s="153">
        <f t="shared" si="7"/>
        <v>99</v>
      </c>
      <c r="B102" s="153"/>
      <c r="C102" s="140"/>
      <c r="D102" s="28"/>
      <c r="E102" s="69"/>
      <c r="F102" s="39">
        <v>0</v>
      </c>
      <c r="G102" s="21"/>
      <c r="H102" s="21"/>
      <c r="I102" s="21"/>
      <c r="J102" s="141"/>
      <c r="K102" s="21"/>
      <c r="L102" s="69"/>
      <c r="M102" s="141"/>
      <c r="N102" s="59"/>
      <c r="O102" s="59"/>
      <c r="P102" s="105"/>
      <c r="Q102" s="105"/>
      <c r="R102" s="105"/>
      <c r="S102" s="90"/>
      <c r="T102" s="90"/>
      <c r="U102" s="93"/>
      <c r="V102" s="93"/>
      <c r="W102" s="93"/>
      <c r="X102" s="29">
        <v>0</v>
      </c>
      <c r="Y102" s="145">
        <v>0</v>
      </c>
      <c r="Z102" s="145">
        <v>0</v>
      </c>
      <c r="AA102" s="145">
        <v>0</v>
      </c>
      <c r="AB102" s="145">
        <v>0</v>
      </c>
      <c r="AC102" s="145">
        <v>0</v>
      </c>
      <c r="AD102" s="145">
        <v>0</v>
      </c>
      <c r="AE102" s="142">
        <f t="shared" si="8"/>
        <v>0</v>
      </c>
      <c r="AF102" s="141"/>
      <c r="AG102" s="67"/>
      <c r="AH102" s="67"/>
      <c r="AI102" s="24"/>
      <c r="AJ102" s="24"/>
      <c r="AK102" s="24"/>
      <c r="AL102" s="71"/>
      <c r="AM102" s="69"/>
      <c r="AN102" s="141"/>
      <c r="AO102" s="141"/>
      <c r="AP102" s="141"/>
      <c r="AQ102" s="141"/>
      <c r="AR102" s="141"/>
      <c r="AS102" s="141"/>
      <c r="AT102" s="141"/>
      <c r="AU102" s="141"/>
      <c r="AV102" s="141"/>
      <c r="AW102" s="141"/>
    </row>
    <row r="103" spans="1:49" ht="45" customHeight="1">
      <c r="A103" s="153">
        <f t="shared" si="7"/>
        <v>100</v>
      </c>
      <c r="B103" s="153"/>
      <c r="C103" s="140"/>
      <c r="D103" s="28"/>
      <c r="E103" s="69"/>
      <c r="F103" s="39">
        <v>0</v>
      </c>
      <c r="G103" s="21"/>
      <c r="H103" s="21"/>
      <c r="I103" s="21"/>
      <c r="J103" s="141"/>
      <c r="K103" s="21"/>
      <c r="L103" s="69"/>
      <c r="M103" s="141"/>
      <c r="N103" s="59"/>
      <c r="O103" s="59"/>
      <c r="P103" s="105"/>
      <c r="Q103" s="105"/>
      <c r="R103" s="105"/>
      <c r="S103" s="90"/>
      <c r="T103" s="90"/>
      <c r="U103" s="93"/>
      <c r="V103" s="93"/>
      <c r="W103" s="93"/>
      <c r="X103" s="29">
        <v>0</v>
      </c>
      <c r="Y103" s="145">
        <v>0</v>
      </c>
      <c r="Z103" s="145">
        <v>0</v>
      </c>
      <c r="AA103" s="145">
        <v>0</v>
      </c>
      <c r="AB103" s="145">
        <v>0</v>
      </c>
      <c r="AC103" s="145">
        <v>0</v>
      </c>
      <c r="AD103" s="145">
        <v>0</v>
      </c>
      <c r="AE103" s="142">
        <f t="shared" si="8"/>
        <v>0</v>
      </c>
      <c r="AF103" s="141"/>
      <c r="AG103" s="67"/>
      <c r="AH103" s="67"/>
      <c r="AI103" s="24"/>
      <c r="AJ103" s="24"/>
      <c r="AK103" s="24"/>
      <c r="AL103" s="71"/>
      <c r="AM103" s="69"/>
      <c r="AN103" s="141"/>
      <c r="AO103" s="141"/>
      <c r="AP103" s="141"/>
      <c r="AQ103" s="141"/>
      <c r="AR103" s="141"/>
      <c r="AS103" s="141"/>
      <c r="AT103" s="141"/>
      <c r="AU103" s="141"/>
      <c r="AV103" s="141"/>
      <c r="AW103" s="141"/>
    </row>
    <row r="104" spans="1:49" ht="45" customHeight="1">
      <c r="A104" s="153">
        <f t="shared" si="7"/>
        <v>101</v>
      </c>
      <c r="B104" s="153"/>
      <c r="C104" s="140"/>
      <c r="D104" s="28"/>
      <c r="E104" s="69"/>
      <c r="F104" s="39">
        <v>0</v>
      </c>
      <c r="G104" s="21"/>
      <c r="H104" s="21"/>
      <c r="I104" s="21"/>
      <c r="J104" s="141"/>
      <c r="K104" s="21"/>
      <c r="L104" s="69"/>
      <c r="M104" s="141"/>
      <c r="N104" s="59"/>
      <c r="O104" s="59"/>
      <c r="P104" s="105"/>
      <c r="Q104" s="105"/>
      <c r="R104" s="105"/>
      <c r="S104" s="90"/>
      <c r="T104" s="90"/>
      <c r="U104" s="93"/>
      <c r="V104" s="93"/>
      <c r="W104" s="93"/>
      <c r="X104" s="29">
        <v>0</v>
      </c>
      <c r="Y104" s="145">
        <v>0</v>
      </c>
      <c r="Z104" s="145">
        <v>0</v>
      </c>
      <c r="AA104" s="145">
        <v>0</v>
      </c>
      <c r="AB104" s="145">
        <v>0</v>
      </c>
      <c r="AC104" s="145">
        <v>0</v>
      </c>
      <c r="AD104" s="145">
        <v>0</v>
      </c>
      <c r="AE104" s="142">
        <f t="shared" si="8"/>
        <v>0</v>
      </c>
      <c r="AF104" s="141"/>
      <c r="AG104" s="67"/>
      <c r="AH104" s="67"/>
      <c r="AI104" s="24"/>
      <c r="AJ104" s="24"/>
      <c r="AK104" s="24"/>
      <c r="AL104" s="71"/>
      <c r="AM104" s="69"/>
      <c r="AN104" s="141"/>
      <c r="AO104" s="141"/>
      <c r="AP104" s="141"/>
      <c r="AQ104" s="141"/>
      <c r="AR104" s="141"/>
      <c r="AS104" s="141"/>
      <c r="AT104" s="141"/>
      <c r="AU104" s="141"/>
      <c r="AV104" s="141"/>
      <c r="AW104" s="141"/>
    </row>
    <row r="105" spans="1:49" ht="45" customHeight="1">
      <c r="A105" s="153">
        <f t="shared" si="7"/>
        <v>102</v>
      </c>
      <c r="B105" s="153"/>
      <c r="C105" s="140"/>
      <c r="D105" s="28"/>
      <c r="E105" s="69"/>
      <c r="F105" s="39">
        <v>0</v>
      </c>
      <c r="G105" s="21"/>
      <c r="H105" s="21"/>
      <c r="I105" s="21"/>
      <c r="J105" s="141"/>
      <c r="K105" s="21"/>
      <c r="L105" s="69"/>
      <c r="M105" s="141"/>
      <c r="N105" s="59"/>
      <c r="O105" s="59"/>
      <c r="P105" s="105"/>
      <c r="Q105" s="105"/>
      <c r="R105" s="105"/>
      <c r="S105" s="90"/>
      <c r="T105" s="90"/>
      <c r="U105" s="93"/>
      <c r="V105" s="93"/>
      <c r="W105" s="93"/>
      <c r="X105" s="29">
        <v>0</v>
      </c>
      <c r="Y105" s="145">
        <v>0</v>
      </c>
      <c r="Z105" s="145">
        <v>0</v>
      </c>
      <c r="AA105" s="145">
        <v>0</v>
      </c>
      <c r="AB105" s="145">
        <v>0</v>
      </c>
      <c r="AC105" s="145">
        <v>0</v>
      </c>
      <c r="AD105" s="145">
        <v>0</v>
      </c>
      <c r="AE105" s="142">
        <f t="shared" si="8"/>
        <v>0</v>
      </c>
      <c r="AF105" s="141"/>
      <c r="AG105" s="67"/>
      <c r="AH105" s="67"/>
      <c r="AI105" s="24"/>
      <c r="AJ105" s="24"/>
      <c r="AK105" s="24"/>
      <c r="AL105" s="71"/>
      <c r="AM105" s="69"/>
      <c r="AN105" s="141"/>
      <c r="AO105" s="141"/>
      <c r="AP105" s="141"/>
      <c r="AQ105" s="141"/>
      <c r="AR105" s="141"/>
      <c r="AS105" s="141"/>
      <c r="AT105" s="141"/>
      <c r="AU105" s="141"/>
      <c r="AV105" s="141"/>
      <c r="AW105" s="141"/>
    </row>
    <row r="106" spans="1:49" ht="45" customHeight="1">
      <c r="A106" s="153">
        <f t="shared" si="7"/>
        <v>103</v>
      </c>
      <c r="B106" s="153"/>
      <c r="C106" s="140"/>
      <c r="D106" s="28"/>
      <c r="E106" s="69"/>
      <c r="F106" s="39">
        <v>0</v>
      </c>
      <c r="G106" s="21"/>
      <c r="H106" s="21"/>
      <c r="I106" s="21"/>
      <c r="J106" s="141"/>
      <c r="K106" s="21"/>
      <c r="L106" s="69"/>
      <c r="M106" s="141"/>
      <c r="N106" s="59"/>
      <c r="O106" s="59"/>
      <c r="P106" s="105"/>
      <c r="Q106" s="105"/>
      <c r="R106" s="105"/>
      <c r="S106" s="90"/>
      <c r="T106" s="90"/>
      <c r="U106" s="93"/>
      <c r="V106" s="93"/>
      <c r="W106" s="93"/>
      <c r="X106" s="29">
        <v>0</v>
      </c>
      <c r="Y106" s="145">
        <v>0</v>
      </c>
      <c r="Z106" s="145">
        <v>0</v>
      </c>
      <c r="AA106" s="145">
        <v>0</v>
      </c>
      <c r="AB106" s="145">
        <v>0</v>
      </c>
      <c r="AC106" s="145">
        <v>0</v>
      </c>
      <c r="AD106" s="145">
        <v>0</v>
      </c>
      <c r="AE106" s="142">
        <f t="shared" si="8"/>
        <v>0</v>
      </c>
      <c r="AF106" s="141"/>
      <c r="AG106" s="67"/>
      <c r="AH106" s="67"/>
      <c r="AI106" s="24"/>
      <c r="AJ106" s="24"/>
      <c r="AK106" s="24"/>
      <c r="AL106" s="71"/>
      <c r="AM106" s="69"/>
      <c r="AN106" s="141"/>
      <c r="AO106" s="141"/>
      <c r="AP106" s="141"/>
      <c r="AQ106" s="141"/>
      <c r="AR106" s="141"/>
      <c r="AS106" s="141"/>
      <c r="AT106" s="141"/>
      <c r="AU106" s="141"/>
      <c r="AV106" s="141"/>
      <c r="AW106" s="141"/>
    </row>
    <row r="107" spans="1:49" ht="45" customHeight="1">
      <c r="A107" s="153">
        <f t="shared" si="7"/>
        <v>104</v>
      </c>
      <c r="B107" s="153"/>
      <c r="C107" s="140"/>
      <c r="D107" s="28"/>
      <c r="E107" s="69"/>
      <c r="F107" s="39">
        <v>0</v>
      </c>
      <c r="G107" s="21"/>
      <c r="H107" s="21"/>
      <c r="I107" s="21"/>
      <c r="J107" s="141"/>
      <c r="K107" s="21"/>
      <c r="L107" s="69"/>
      <c r="M107" s="141"/>
      <c r="N107" s="59"/>
      <c r="O107" s="59"/>
      <c r="P107" s="105"/>
      <c r="Q107" s="105"/>
      <c r="R107" s="105"/>
      <c r="S107" s="90"/>
      <c r="T107" s="90"/>
      <c r="U107" s="93"/>
      <c r="V107" s="93"/>
      <c r="W107" s="93"/>
      <c r="X107" s="29">
        <v>0</v>
      </c>
      <c r="Y107" s="145">
        <v>0</v>
      </c>
      <c r="Z107" s="145">
        <v>0</v>
      </c>
      <c r="AA107" s="145">
        <v>0</v>
      </c>
      <c r="AB107" s="145">
        <v>0</v>
      </c>
      <c r="AC107" s="145">
        <v>0</v>
      </c>
      <c r="AD107" s="145">
        <v>0</v>
      </c>
      <c r="AE107" s="142">
        <f t="shared" si="8"/>
        <v>0</v>
      </c>
      <c r="AF107" s="141"/>
      <c r="AG107" s="67"/>
      <c r="AH107" s="67"/>
      <c r="AI107" s="24"/>
      <c r="AJ107" s="24"/>
      <c r="AK107" s="24"/>
      <c r="AL107" s="71"/>
      <c r="AM107" s="69"/>
      <c r="AN107" s="141"/>
      <c r="AO107" s="141"/>
      <c r="AP107" s="141"/>
      <c r="AQ107" s="141"/>
      <c r="AR107" s="141"/>
      <c r="AS107" s="141"/>
      <c r="AT107" s="141"/>
      <c r="AU107" s="141"/>
      <c r="AV107" s="141"/>
      <c r="AW107" s="141"/>
    </row>
    <row r="108" spans="1:49" ht="45" customHeight="1">
      <c r="A108" s="153">
        <f t="shared" si="7"/>
        <v>105</v>
      </c>
      <c r="B108" s="153"/>
      <c r="C108" s="140"/>
      <c r="D108" s="28"/>
      <c r="E108" s="69"/>
      <c r="F108" s="39">
        <v>0</v>
      </c>
      <c r="G108" s="21"/>
      <c r="H108" s="21"/>
      <c r="I108" s="21"/>
      <c r="J108" s="141"/>
      <c r="K108" s="21"/>
      <c r="L108" s="69"/>
      <c r="M108" s="141"/>
      <c r="N108" s="59"/>
      <c r="O108" s="59"/>
      <c r="P108" s="105"/>
      <c r="Q108" s="105"/>
      <c r="R108" s="105"/>
      <c r="S108" s="90"/>
      <c r="T108" s="90"/>
      <c r="U108" s="93"/>
      <c r="V108" s="93"/>
      <c r="W108" s="93"/>
      <c r="X108" s="29">
        <v>0</v>
      </c>
      <c r="Y108" s="145">
        <v>0</v>
      </c>
      <c r="Z108" s="145">
        <v>0</v>
      </c>
      <c r="AA108" s="145">
        <v>0</v>
      </c>
      <c r="AB108" s="145">
        <v>0</v>
      </c>
      <c r="AC108" s="145">
        <v>0</v>
      </c>
      <c r="AD108" s="145">
        <v>0</v>
      </c>
      <c r="AE108" s="142">
        <f t="shared" si="8"/>
        <v>0</v>
      </c>
      <c r="AF108" s="141"/>
      <c r="AG108" s="67"/>
      <c r="AH108" s="67"/>
      <c r="AI108" s="24"/>
      <c r="AJ108" s="24"/>
      <c r="AK108" s="24"/>
      <c r="AL108" s="71"/>
      <c r="AM108" s="69"/>
      <c r="AN108" s="141"/>
      <c r="AO108" s="141"/>
      <c r="AP108" s="141"/>
      <c r="AQ108" s="141"/>
      <c r="AR108" s="141"/>
      <c r="AS108" s="141"/>
      <c r="AT108" s="141"/>
      <c r="AU108" s="141"/>
      <c r="AV108" s="141"/>
      <c r="AW108" s="141"/>
    </row>
    <row r="109" spans="1:49" ht="45" customHeight="1">
      <c r="A109" s="153">
        <f t="shared" si="7"/>
        <v>106</v>
      </c>
      <c r="B109" s="153"/>
      <c r="C109" s="140"/>
      <c r="D109" s="28"/>
      <c r="E109" s="69"/>
      <c r="F109" s="39">
        <v>3</v>
      </c>
      <c r="G109" s="21"/>
      <c r="H109" s="21"/>
      <c r="I109" s="21"/>
      <c r="J109" s="141"/>
      <c r="K109" s="21"/>
      <c r="L109" s="69"/>
      <c r="M109" s="141"/>
      <c r="N109" s="59"/>
      <c r="O109" s="59"/>
      <c r="P109" s="105"/>
      <c r="Q109" s="105"/>
      <c r="R109" s="105"/>
      <c r="S109" s="90"/>
      <c r="T109" s="90"/>
      <c r="U109" s="93"/>
      <c r="V109" s="93"/>
      <c r="W109" s="93"/>
      <c r="X109" s="29">
        <v>0</v>
      </c>
      <c r="Y109" s="145">
        <v>0</v>
      </c>
      <c r="Z109" s="145">
        <v>0</v>
      </c>
      <c r="AA109" s="145">
        <v>0</v>
      </c>
      <c r="AB109" s="145">
        <v>0</v>
      </c>
      <c r="AC109" s="145">
        <v>0</v>
      </c>
      <c r="AD109" s="145">
        <v>0</v>
      </c>
      <c r="AE109" s="142">
        <f t="shared" si="8"/>
        <v>0</v>
      </c>
      <c r="AF109" s="141"/>
      <c r="AG109" s="67"/>
      <c r="AH109" s="67"/>
      <c r="AI109" s="24"/>
      <c r="AJ109" s="24"/>
      <c r="AK109" s="24"/>
      <c r="AL109" s="71"/>
      <c r="AM109" s="69"/>
      <c r="AN109" s="141"/>
      <c r="AO109" s="141"/>
      <c r="AP109" s="141"/>
      <c r="AQ109" s="141"/>
      <c r="AR109" s="141"/>
      <c r="AS109" s="141"/>
      <c r="AT109" s="141"/>
      <c r="AU109" s="141"/>
      <c r="AV109" s="141"/>
      <c r="AW109" s="141"/>
    </row>
    <row r="110" spans="1:49" ht="45" customHeight="1">
      <c r="A110" s="153">
        <f t="shared" si="7"/>
        <v>107</v>
      </c>
      <c r="B110" s="153"/>
      <c r="C110" s="140"/>
      <c r="D110" s="28"/>
      <c r="E110" s="69"/>
      <c r="F110" s="39">
        <v>0</v>
      </c>
      <c r="G110" s="21"/>
      <c r="H110" s="21"/>
      <c r="I110" s="21"/>
      <c r="J110" s="141"/>
      <c r="K110" s="21"/>
      <c r="L110" s="69"/>
      <c r="M110" s="141"/>
      <c r="N110" s="59"/>
      <c r="O110" s="59"/>
      <c r="P110" s="105"/>
      <c r="Q110" s="105"/>
      <c r="R110" s="105"/>
      <c r="S110" s="90"/>
      <c r="T110" s="90"/>
      <c r="U110" s="93"/>
      <c r="V110" s="93"/>
      <c r="W110" s="93"/>
      <c r="X110" s="29">
        <v>0</v>
      </c>
      <c r="Y110" s="145">
        <v>0</v>
      </c>
      <c r="Z110" s="145">
        <v>0</v>
      </c>
      <c r="AA110" s="145">
        <v>0</v>
      </c>
      <c r="AB110" s="145">
        <v>0</v>
      </c>
      <c r="AC110" s="145">
        <v>0</v>
      </c>
      <c r="AD110" s="145">
        <v>0</v>
      </c>
      <c r="AE110" s="142">
        <f t="shared" si="8"/>
        <v>0</v>
      </c>
      <c r="AF110" s="141"/>
      <c r="AG110" s="67"/>
      <c r="AH110" s="67"/>
      <c r="AI110" s="24"/>
      <c r="AJ110" s="24"/>
      <c r="AK110" s="24"/>
      <c r="AL110" s="71"/>
      <c r="AM110" s="69"/>
      <c r="AN110" s="141"/>
      <c r="AO110" s="141"/>
      <c r="AP110" s="141"/>
      <c r="AQ110" s="141"/>
      <c r="AR110" s="141"/>
      <c r="AS110" s="141"/>
      <c r="AT110" s="141"/>
      <c r="AU110" s="141"/>
      <c r="AV110" s="141"/>
      <c r="AW110" s="141"/>
    </row>
    <row r="111" spans="1:49" ht="45" customHeight="1">
      <c r="A111" s="153">
        <f t="shared" si="7"/>
        <v>108</v>
      </c>
      <c r="B111" s="153"/>
      <c r="C111" s="140"/>
      <c r="D111" s="28"/>
      <c r="E111" s="69"/>
      <c r="F111" s="39">
        <v>0</v>
      </c>
      <c r="G111" s="21"/>
      <c r="H111" s="21"/>
      <c r="I111" s="21"/>
      <c r="J111" s="141"/>
      <c r="K111" s="21"/>
      <c r="L111" s="69"/>
      <c r="M111" s="141"/>
      <c r="N111" s="59"/>
      <c r="O111" s="59"/>
      <c r="P111" s="105"/>
      <c r="Q111" s="105"/>
      <c r="R111" s="105"/>
      <c r="S111" s="90"/>
      <c r="T111" s="90"/>
      <c r="U111" s="93"/>
      <c r="V111" s="93"/>
      <c r="W111" s="93"/>
      <c r="X111" s="29">
        <v>0</v>
      </c>
      <c r="Y111" s="145">
        <v>0</v>
      </c>
      <c r="Z111" s="145">
        <v>0</v>
      </c>
      <c r="AA111" s="145">
        <v>0</v>
      </c>
      <c r="AB111" s="145">
        <v>0</v>
      </c>
      <c r="AC111" s="145">
        <v>0</v>
      </c>
      <c r="AD111" s="145">
        <v>0</v>
      </c>
      <c r="AE111" s="142">
        <f t="shared" si="8"/>
        <v>0</v>
      </c>
      <c r="AF111" s="141"/>
      <c r="AG111" s="67"/>
      <c r="AH111" s="67"/>
      <c r="AI111" s="24"/>
      <c r="AJ111" s="24"/>
      <c r="AK111" s="24"/>
      <c r="AL111" s="71"/>
      <c r="AM111" s="69"/>
      <c r="AN111" s="141"/>
      <c r="AO111" s="141"/>
      <c r="AP111" s="141"/>
      <c r="AQ111" s="141"/>
      <c r="AR111" s="141"/>
      <c r="AS111" s="141"/>
      <c r="AT111" s="141"/>
      <c r="AU111" s="141"/>
      <c r="AV111" s="141"/>
      <c r="AW111" s="141"/>
    </row>
    <row r="112" spans="1:49" ht="45" customHeight="1">
      <c r="A112" s="153">
        <f t="shared" si="7"/>
        <v>109</v>
      </c>
      <c r="B112" s="153"/>
      <c r="C112" s="140"/>
      <c r="D112" s="28"/>
      <c r="E112" s="69"/>
      <c r="F112" s="39">
        <v>0</v>
      </c>
      <c r="G112" s="21"/>
      <c r="H112" s="21"/>
      <c r="I112" s="21"/>
      <c r="J112" s="141"/>
      <c r="K112" s="21"/>
      <c r="L112" s="69"/>
      <c r="M112" s="141"/>
      <c r="N112" s="59"/>
      <c r="O112" s="59"/>
      <c r="P112" s="105"/>
      <c r="Q112" s="105"/>
      <c r="R112" s="105"/>
      <c r="S112" s="90"/>
      <c r="T112" s="90"/>
      <c r="U112" s="93"/>
      <c r="V112" s="93"/>
      <c r="W112" s="93"/>
      <c r="X112" s="29">
        <v>0</v>
      </c>
      <c r="Y112" s="145">
        <v>0</v>
      </c>
      <c r="Z112" s="145">
        <v>0</v>
      </c>
      <c r="AA112" s="145">
        <v>0</v>
      </c>
      <c r="AB112" s="145">
        <v>0</v>
      </c>
      <c r="AC112" s="145">
        <v>0</v>
      </c>
      <c r="AD112" s="145">
        <v>0</v>
      </c>
      <c r="AE112" s="142">
        <f t="shared" si="8"/>
        <v>0</v>
      </c>
      <c r="AF112" s="141"/>
      <c r="AG112" s="67"/>
      <c r="AH112" s="67"/>
      <c r="AI112" s="24"/>
      <c r="AJ112" s="24"/>
      <c r="AK112" s="24"/>
      <c r="AL112" s="71"/>
      <c r="AM112" s="69"/>
      <c r="AN112" s="141"/>
      <c r="AO112" s="141"/>
      <c r="AP112" s="141"/>
      <c r="AQ112" s="141"/>
      <c r="AR112" s="141"/>
      <c r="AS112" s="141"/>
      <c r="AT112" s="141"/>
      <c r="AU112" s="141"/>
      <c r="AV112" s="141"/>
      <c r="AW112" s="141"/>
    </row>
    <row r="113" spans="1:49" ht="45" customHeight="1">
      <c r="A113" s="153">
        <f t="shared" si="7"/>
        <v>110</v>
      </c>
      <c r="B113" s="153"/>
      <c r="C113" s="140"/>
      <c r="D113" s="28"/>
      <c r="E113" s="69"/>
      <c r="F113" s="39">
        <v>0</v>
      </c>
      <c r="G113" s="21"/>
      <c r="H113" s="21"/>
      <c r="I113" s="21"/>
      <c r="J113" s="141"/>
      <c r="K113" s="21"/>
      <c r="L113" s="69"/>
      <c r="M113" s="141"/>
      <c r="N113" s="59"/>
      <c r="O113" s="59"/>
      <c r="P113" s="105"/>
      <c r="Q113" s="105"/>
      <c r="R113" s="105"/>
      <c r="S113" s="90"/>
      <c r="T113" s="90"/>
      <c r="U113" s="93"/>
      <c r="V113" s="93"/>
      <c r="W113" s="93"/>
      <c r="X113" s="29">
        <v>0</v>
      </c>
      <c r="Y113" s="145">
        <v>0</v>
      </c>
      <c r="Z113" s="145">
        <v>0</v>
      </c>
      <c r="AA113" s="145">
        <v>0</v>
      </c>
      <c r="AB113" s="145">
        <v>0</v>
      </c>
      <c r="AC113" s="145">
        <v>0</v>
      </c>
      <c r="AD113" s="145">
        <v>0</v>
      </c>
      <c r="AE113" s="142">
        <f t="shared" ref="AE113:AE144" si="9">AVERAGE(X113:AD113)</f>
        <v>0</v>
      </c>
      <c r="AF113" s="141"/>
      <c r="AG113" s="67"/>
      <c r="AH113" s="67"/>
      <c r="AI113" s="24"/>
      <c r="AJ113" s="24"/>
      <c r="AK113" s="24"/>
      <c r="AL113" s="71"/>
      <c r="AM113" s="69"/>
      <c r="AN113" s="141"/>
      <c r="AO113" s="141"/>
      <c r="AP113" s="141"/>
      <c r="AQ113" s="141"/>
      <c r="AR113" s="141"/>
      <c r="AS113" s="141"/>
      <c r="AT113" s="141"/>
      <c r="AU113" s="141"/>
      <c r="AV113" s="141"/>
      <c r="AW113" s="141"/>
    </row>
    <row r="114" spans="1:49" ht="45" customHeight="1">
      <c r="A114" s="153">
        <f t="shared" si="7"/>
        <v>111</v>
      </c>
      <c r="B114" s="153"/>
      <c r="C114" s="140"/>
      <c r="D114" s="28"/>
      <c r="E114" s="69"/>
      <c r="F114" s="39">
        <v>0</v>
      </c>
      <c r="G114" s="21"/>
      <c r="H114" s="21"/>
      <c r="I114" s="21"/>
      <c r="J114" s="141"/>
      <c r="K114" s="21"/>
      <c r="L114" s="69"/>
      <c r="M114" s="141"/>
      <c r="N114" s="59"/>
      <c r="O114" s="59"/>
      <c r="P114" s="105"/>
      <c r="Q114" s="105"/>
      <c r="R114" s="105"/>
      <c r="S114" s="90"/>
      <c r="T114" s="90"/>
      <c r="U114" s="93"/>
      <c r="V114" s="93"/>
      <c r="W114" s="93"/>
      <c r="X114" s="29">
        <v>0</v>
      </c>
      <c r="Y114" s="145">
        <v>0</v>
      </c>
      <c r="Z114" s="145">
        <v>0</v>
      </c>
      <c r="AA114" s="145">
        <v>0</v>
      </c>
      <c r="AB114" s="145">
        <v>0</v>
      </c>
      <c r="AC114" s="145">
        <v>0</v>
      </c>
      <c r="AD114" s="145">
        <v>0</v>
      </c>
      <c r="AE114" s="142">
        <f t="shared" si="9"/>
        <v>0</v>
      </c>
      <c r="AF114" s="141"/>
      <c r="AG114" s="67"/>
      <c r="AH114" s="67"/>
      <c r="AI114" s="24"/>
      <c r="AJ114" s="24"/>
      <c r="AK114" s="24"/>
      <c r="AL114" s="71"/>
      <c r="AM114" s="69"/>
      <c r="AN114" s="141"/>
      <c r="AO114" s="141"/>
      <c r="AP114" s="141"/>
      <c r="AQ114" s="141"/>
      <c r="AR114" s="141"/>
      <c r="AS114" s="141"/>
      <c r="AT114" s="141"/>
      <c r="AU114" s="141"/>
      <c r="AV114" s="141"/>
      <c r="AW114" s="141"/>
    </row>
    <row r="115" spans="1:49" ht="45" customHeight="1">
      <c r="A115" s="153">
        <f t="shared" si="7"/>
        <v>112</v>
      </c>
      <c r="B115" s="153"/>
      <c r="C115" s="140"/>
      <c r="D115" s="28"/>
      <c r="E115" s="69"/>
      <c r="F115" s="39">
        <v>0</v>
      </c>
      <c r="G115" s="21"/>
      <c r="H115" s="21"/>
      <c r="I115" s="21"/>
      <c r="J115" s="141"/>
      <c r="K115" s="21"/>
      <c r="L115" s="69"/>
      <c r="M115" s="141"/>
      <c r="N115" s="59"/>
      <c r="O115" s="59"/>
      <c r="P115" s="105"/>
      <c r="Q115" s="105"/>
      <c r="R115" s="105"/>
      <c r="S115" s="90"/>
      <c r="T115" s="90"/>
      <c r="U115" s="93"/>
      <c r="V115" s="93"/>
      <c r="W115" s="93"/>
      <c r="X115" s="29">
        <v>0</v>
      </c>
      <c r="Y115" s="145">
        <v>0</v>
      </c>
      <c r="Z115" s="145">
        <v>0</v>
      </c>
      <c r="AA115" s="145">
        <v>0</v>
      </c>
      <c r="AB115" s="145">
        <v>0</v>
      </c>
      <c r="AC115" s="145">
        <v>0</v>
      </c>
      <c r="AD115" s="145">
        <v>0</v>
      </c>
      <c r="AE115" s="142">
        <f t="shared" si="9"/>
        <v>0</v>
      </c>
      <c r="AF115" s="141"/>
      <c r="AG115" s="67"/>
      <c r="AH115" s="67"/>
      <c r="AI115" s="24"/>
      <c r="AJ115" s="24"/>
      <c r="AK115" s="24"/>
      <c r="AL115" s="71"/>
      <c r="AM115" s="69"/>
      <c r="AN115" s="141"/>
      <c r="AO115" s="141"/>
      <c r="AP115" s="141"/>
      <c r="AQ115" s="141"/>
      <c r="AR115" s="141"/>
      <c r="AS115" s="141"/>
      <c r="AT115" s="141"/>
      <c r="AU115" s="141"/>
      <c r="AV115" s="141"/>
      <c r="AW115" s="141"/>
    </row>
    <row r="116" spans="1:49" ht="45" customHeight="1">
      <c r="A116" s="153">
        <f t="shared" si="7"/>
        <v>113</v>
      </c>
      <c r="B116" s="153"/>
      <c r="C116" s="140"/>
      <c r="D116" s="28"/>
      <c r="E116" s="69"/>
      <c r="F116" s="39">
        <v>0</v>
      </c>
      <c r="G116" s="21"/>
      <c r="H116" s="21"/>
      <c r="I116" s="21"/>
      <c r="J116" s="141"/>
      <c r="K116" s="21"/>
      <c r="L116" s="69"/>
      <c r="M116" s="141"/>
      <c r="N116" s="59"/>
      <c r="O116" s="59"/>
      <c r="P116" s="105"/>
      <c r="Q116" s="105"/>
      <c r="R116" s="105"/>
      <c r="S116" s="90"/>
      <c r="T116" s="90"/>
      <c r="U116" s="93"/>
      <c r="V116" s="93"/>
      <c r="W116" s="93"/>
      <c r="X116" s="29">
        <v>0</v>
      </c>
      <c r="Y116" s="145">
        <v>0</v>
      </c>
      <c r="Z116" s="145">
        <v>0</v>
      </c>
      <c r="AA116" s="145">
        <v>0</v>
      </c>
      <c r="AB116" s="145">
        <v>0</v>
      </c>
      <c r="AC116" s="145">
        <v>0</v>
      </c>
      <c r="AD116" s="145">
        <v>0</v>
      </c>
      <c r="AE116" s="142">
        <f t="shared" si="9"/>
        <v>0</v>
      </c>
      <c r="AF116" s="141"/>
      <c r="AG116" s="67"/>
      <c r="AH116" s="67"/>
      <c r="AI116" s="24"/>
      <c r="AJ116" s="24"/>
      <c r="AK116" s="24"/>
      <c r="AL116" s="71"/>
      <c r="AM116" s="69"/>
      <c r="AN116" s="141"/>
      <c r="AO116" s="141"/>
      <c r="AP116" s="141"/>
      <c r="AQ116" s="141"/>
      <c r="AR116" s="141"/>
      <c r="AS116" s="141"/>
      <c r="AT116" s="141"/>
      <c r="AU116" s="141"/>
      <c r="AV116" s="141"/>
      <c r="AW116" s="141"/>
    </row>
    <row r="117" spans="1:49" ht="45" customHeight="1">
      <c r="A117" s="153">
        <f t="shared" si="7"/>
        <v>114</v>
      </c>
      <c r="B117" s="153"/>
      <c r="C117" s="140"/>
      <c r="D117" s="28"/>
      <c r="E117" s="69"/>
      <c r="F117" s="39">
        <v>0</v>
      </c>
      <c r="G117" s="21"/>
      <c r="H117" s="21"/>
      <c r="I117" s="21"/>
      <c r="J117" s="141"/>
      <c r="K117" s="21"/>
      <c r="L117" s="69"/>
      <c r="M117" s="141"/>
      <c r="N117" s="59"/>
      <c r="O117" s="59"/>
      <c r="P117" s="105"/>
      <c r="Q117" s="105"/>
      <c r="R117" s="105"/>
      <c r="S117" s="90"/>
      <c r="T117" s="90"/>
      <c r="U117" s="93"/>
      <c r="V117" s="93"/>
      <c r="W117" s="93"/>
      <c r="X117" s="29">
        <v>0</v>
      </c>
      <c r="Y117" s="145">
        <v>0</v>
      </c>
      <c r="Z117" s="145">
        <v>0</v>
      </c>
      <c r="AA117" s="145">
        <v>0</v>
      </c>
      <c r="AB117" s="145">
        <v>0</v>
      </c>
      <c r="AC117" s="145">
        <v>0</v>
      </c>
      <c r="AD117" s="145">
        <v>0</v>
      </c>
      <c r="AE117" s="142">
        <f t="shared" si="9"/>
        <v>0</v>
      </c>
      <c r="AF117" s="141"/>
      <c r="AG117" s="67"/>
      <c r="AH117" s="67"/>
      <c r="AI117" s="24"/>
      <c r="AJ117" s="24"/>
      <c r="AK117" s="24"/>
      <c r="AL117" s="71"/>
      <c r="AM117" s="69"/>
      <c r="AN117" s="141"/>
      <c r="AO117" s="141"/>
      <c r="AP117" s="141"/>
      <c r="AQ117" s="141"/>
      <c r="AR117" s="141"/>
      <c r="AS117" s="141"/>
      <c r="AT117" s="141"/>
      <c r="AU117" s="141"/>
      <c r="AV117" s="141"/>
      <c r="AW117" s="141"/>
    </row>
    <row r="118" spans="1:49" ht="45" customHeight="1">
      <c r="A118" s="153">
        <f t="shared" si="7"/>
        <v>115</v>
      </c>
      <c r="B118" s="153"/>
      <c r="C118" s="140"/>
      <c r="D118" s="28"/>
      <c r="E118" s="69"/>
      <c r="F118" s="39">
        <v>0</v>
      </c>
      <c r="G118" s="21"/>
      <c r="H118" s="21"/>
      <c r="I118" s="21"/>
      <c r="J118" s="141"/>
      <c r="K118" s="21"/>
      <c r="L118" s="69"/>
      <c r="M118" s="141"/>
      <c r="N118" s="59"/>
      <c r="O118" s="59"/>
      <c r="P118" s="105"/>
      <c r="Q118" s="105"/>
      <c r="R118" s="105"/>
      <c r="S118" s="90"/>
      <c r="T118" s="90"/>
      <c r="U118" s="93"/>
      <c r="V118" s="93"/>
      <c r="W118" s="93"/>
      <c r="X118" s="29">
        <v>0</v>
      </c>
      <c r="Y118" s="145">
        <v>0</v>
      </c>
      <c r="Z118" s="145">
        <v>0</v>
      </c>
      <c r="AA118" s="145">
        <v>0</v>
      </c>
      <c r="AB118" s="145">
        <v>0</v>
      </c>
      <c r="AC118" s="145">
        <v>0</v>
      </c>
      <c r="AD118" s="145">
        <v>0</v>
      </c>
      <c r="AE118" s="142">
        <f t="shared" si="9"/>
        <v>0</v>
      </c>
      <c r="AF118" s="141"/>
      <c r="AG118" s="67"/>
      <c r="AH118" s="67"/>
      <c r="AI118" s="24"/>
      <c r="AJ118" s="24"/>
      <c r="AK118" s="24"/>
      <c r="AL118" s="71"/>
      <c r="AM118" s="69"/>
      <c r="AN118" s="141"/>
      <c r="AO118" s="141"/>
      <c r="AP118" s="141"/>
      <c r="AQ118" s="141"/>
      <c r="AR118" s="141"/>
      <c r="AS118" s="141"/>
      <c r="AT118" s="141"/>
      <c r="AU118" s="141"/>
      <c r="AV118" s="141"/>
      <c r="AW118" s="141"/>
    </row>
    <row r="119" spans="1:49" ht="45" customHeight="1">
      <c r="A119" s="153">
        <f t="shared" si="7"/>
        <v>116</v>
      </c>
      <c r="B119" s="153"/>
      <c r="C119" s="140"/>
      <c r="D119" s="28"/>
      <c r="E119" s="69"/>
      <c r="F119" s="39">
        <v>0</v>
      </c>
      <c r="G119" s="21"/>
      <c r="H119" s="21"/>
      <c r="I119" s="21"/>
      <c r="J119" s="141"/>
      <c r="K119" s="21"/>
      <c r="L119" s="69"/>
      <c r="M119" s="141"/>
      <c r="N119" s="59"/>
      <c r="O119" s="59"/>
      <c r="P119" s="105"/>
      <c r="Q119" s="105"/>
      <c r="R119" s="105"/>
      <c r="S119" s="90"/>
      <c r="T119" s="90"/>
      <c r="U119" s="93"/>
      <c r="V119" s="93"/>
      <c r="W119" s="93"/>
      <c r="X119" s="29">
        <v>0</v>
      </c>
      <c r="Y119" s="145">
        <v>0</v>
      </c>
      <c r="Z119" s="145">
        <v>0</v>
      </c>
      <c r="AA119" s="145">
        <v>0</v>
      </c>
      <c r="AB119" s="145">
        <v>0</v>
      </c>
      <c r="AC119" s="145">
        <v>0</v>
      </c>
      <c r="AD119" s="145">
        <v>0</v>
      </c>
      <c r="AE119" s="142">
        <f t="shared" si="9"/>
        <v>0</v>
      </c>
      <c r="AF119" s="141"/>
      <c r="AG119" s="67"/>
      <c r="AH119" s="67"/>
      <c r="AI119" s="24"/>
      <c r="AJ119" s="24"/>
      <c r="AK119" s="24"/>
      <c r="AL119" s="71"/>
      <c r="AM119" s="69"/>
      <c r="AN119" s="141"/>
      <c r="AO119" s="141"/>
      <c r="AP119" s="141"/>
      <c r="AQ119" s="141"/>
      <c r="AR119" s="141"/>
      <c r="AS119" s="141"/>
      <c r="AT119" s="141"/>
      <c r="AU119" s="141"/>
      <c r="AV119" s="141"/>
      <c r="AW119" s="141"/>
    </row>
    <row r="120" spans="1:49" ht="45" customHeight="1">
      <c r="A120" s="153">
        <f t="shared" si="7"/>
        <v>117</v>
      </c>
      <c r="B120" s="153"/>
      <c r="C120" s="140"/>
      <c r="D120" s="28"/>
      <c r="E120" s="69"/>
      <c r="F120" s="39">
        <v>0</v>
      </c>
      <c r="G120" s="21"/>
      <c r="H120" s="21"/>
      <c r="I120" s="21"/>
      <c r="J120" s="141"/>
      <c r="K120" s="21"/>
      <c r="L120" s="69"/>
      <c r="M120" s="141"/>
      <c r="N120" s="59"/>
      <c r="O120" s="59"/>
      <c r="P120" s="105"/>
      <c r="Q120" s="105"/>
      <c r="R120" s="105"/>
      <c r="S120" s="90"/>
      <c r="T120" s="90"/>
      <c r="U120" s="93"/>
      <c r="V120" s="93"/>
      <c r="W120" s="93"/>
      <c r="X120" s="29">
        <v>0</v>
      </c>
      <c r="Y120" s="145">
        <v>0</v>
      </c>
      <c r="Z120" s="145">
        <v>0</v>
      </c>
      <c r="AA120" s="145">
        <v>0</v>
      </c>
      <c r="AB120" s="145">
        <v>0</v>
      </c>
      <c r="AC120" s="145">
        <v>0</v>
      </c>
      <c r="AD120" s="145">
        <v>0</v>
      </c>
      <c r="AE120" s="142">
        <f t="shared" si="9"/>
        <v>0</v>
      </c>
      <c r="AF120" s="141"/>
      <c r="AG120" s="67"/>
      <c r="AH120" s="67"/>
      <c r="AI120" s="24"/>
      <c r="AJ120" s="24"/>
      <c r="AK120" s="24"/>
      <c r="AL120" s="71"/>
      <c r="AM120" s="69"/>
      <c r="AN120" s="141"/>
      <c r="AO120" s="141"/>
      <c r="AP120" s="141"/>
      <c r="AQ120" s="141"/>
      <c r="AR120" s="141"/>
      <c r="AS120" s="141"/>
      <c r="AT120" s="141"/>
      <c r="AU120" s="141"/>
      <c r="AV120" s="141"/>
      <c r="AW120" s="141"/>
    </row>
    <row r="121" spans="1:49" ht="45" customHeight="1">
      <c r="A121" s="153">
        <f t="shared" si="7"/>
        <v>118</v>
      </c>
      <c r="B121" s="153"/>
      <c r="C121" s="140"/>
      <c r="D121" s="28"/>
      <c r="E121" s="69"/>
      <c r="F121" s="39">
        <v>0</v>
      </c>
      <c r="G121" s="21"/>
      <c r="H121" s="21"/>
      <c r="I121" s="21"/>
      <c r="J121" s="141"/>
      <c r="K121" s="21"/>
      <c r="L121" s="69"/>
      <c r="M121" s="141"/>
      <c r="N121" s="59"/>
      <c r="O121" s="59"/>
      <c r="P121" s="105"/>
      <c r="Q121" s="105"/>
      <c r="R121" s="105"/>
      <c r="S121" s="90"/>
      <c r="T121" s="90"/>
      <c r="U121" s="93"/>
      <c r="V121" s="93"/>
      <c r="W121" s="93"/>
      <c r="X121" s="29">
        <v>0</v>
      </c>
      <c r="Y121" s="145">
        <v>0</v>
      </c>
      <c r="Z121" s="145">
        <v>0</v>
      </c>
      <c r="AA121" s="145">
        <v>0</v>
      </c>
      <c r="AB121" s="145">
        <v>0</v>
      </c>
      <c r="AC121" s="145">
        <v>0</v>
      </c>
      <c r="AD121" s="145">
        <v>0</v>
      </c>
      <c r="AE121" s="142">
        <f t="shared" si="9"/>
        <v>0</v>
      </c>
      <c r="AF121" s="141"/>
      <c r="AG121" s="67"/>
      <c r="AH121" s="67"/>
      <c r="AI121" s="24"/>
      <c r="AJ121" s="24"/>
      <c r="AK121" s="24"/>
      <c r="AL121" s="71"/>
      <c r="AM121" s="69"/>
      <c r="AN121" s="141"/>
      <c r="AO121" s="141"/>
      <c r="AP121" s="141"/>
      <c r="AQ121" s="141"/>
      <c r="AR121" s="141"/>
      <c r="AS121" s="141"/>
      <c r="AT121" s="141"/>
      <c r="AU121" s="141"/>
      <c r="AV121" s="141"/>
      <c r="AW121" s="141"/>
    </row>
    <row r="122" spans="1:49" ht="45" customHeight="1">
      <c r="A122" s="153">
        <f t="shared" si="7"/>
        <v>119</v>
      </c>
      <c r="B122" s="153"/>
      <c r="C122" s="140"/>
      <c r="D122" s="28"/>
      <c r="E122" s="69"/>
      <c r="F122" s="39">
        <v>0</v>
      </c>
      <c r="G122" s="21"/>
      <c r="H122" s="21"/>
      <c r="I122" s="21"/>
      <c r="J122" s="141"/>
      <c r="K122" s="21"/>
      <c r="L122" s="69"/>
      <c r="M122" s="141"/>
      <c r="N122" s="59"/>
      <c r="O122" s="59"/>
      <c r="P122" s="105"/>
      <c r="Q122" s="105"/>
      <c r="R122" s="105"/>
      <c r="S122" s="90"/>
      <c r="T122" s="90"/>
      <c r="U122" s="93"/>
      <c r="V122" s="93"/>
      <c r="W122" s="93"/>
      <c r="X122" s="29">
        <v>0</v>
      </c>
      <c r="Y122" s="145">
        <v>0</v>
      </c>
      <c r="Z122" s="145">
        <v>0</v>
      </c>
      <c r="AA122" s="145">
        <v>0</v>
      </c>
      <c r="AB122" s="145">
        <v>0</v>
      </c>
      <c r="AC122" s="145">
        <v>0</v>
      </c>
      <c r="AD122" s="145">
        <v>0</v>
      </c>
      <c r="AE122" s="142">
        <f t="shared" si="9"/>
        <v>0</v>
      </c>
      <c r="AF122" s="141"/>
      <c r="AG122" s="67"/>
      <c r="AH122" s="67"/>
      <c r="AI122" s="24"/>
      <c r="AJ122" s="24"/>
      <c r="AK122" s="24"/>
      <c r="AL122" s="71"/>
      <c r="AM122" s="69"/>
      <c r="AN122" s="141"/>
      <c r="AO122" s="141"/>
      <c r="AP122" s="141"/>
      <c r="AQ122" s="141"/>
      <c r="AR122" s="141"/>
      <c r="AS122" s="141"/>
      <c r="AT122" s="141"/>
      <c r="AU122" s="141"/>
      <c r="AV122" s="141"/>
      <c r="AW122" s="141"/>
    </row>
    <row r="123" spans="1:49" ht="45" customHeight="1">
      <c r="A123" s="153">
        <f t="shared" si="7"/>
        <v>120</v>
      </c>
      <c r="B123" s="153"/>
      <c r="C123" s="140"/>
      <c r="D123" s="28"/>
      <c r="E123" s="69"/>
      <c r="F123" s="39">
        <v>0</v>
      </c>
      <c r="G123" s="21"/>
      <c r="H123" s="21"/>
      <c r="I123" s="21"/>
      <c r="J123" s="141"/>
      <c r="K123" s="21"/>
      <c r="L123" s="69"/>
      <c r="M123" s="141"/>
      <c r="N123" s="59"/>
      <c r="O123" s="59"/>
      <c r="P123" s="105"/>
      <c r="Q123" s="105"/>
      <c r="R123" s="105"/>
      <c r="S123" s="90"/>
      <c r="T123" s="90"/>
      <c r="U123" s="93"/>
      <c r="V123" s="93"/>
      <c r="W123" s="93"/>
      <c r="X123" s="29">
        <v>0</v>
      </c>
      <c r="Y123" s="145">
        <v>0</v>
      </c>
      <c r="Z123" s="145">
        <v>0</v>
      </c>
      <c r="AA123" s="145">
        <v>0</v>
      </c>
      <c r="AB123" s="145">
        <v>0</v>
      </c>
      <c r="AC123" s="145">
        <v>0</v>
      </c>
      <c r="AD123" s="145">
        <v>0</v>
      </c>
      <c r="AE123" s="142">
        <f t="shared" si="9"/>
        <v>0</v>
      </c>
      <c r="AF123" s="141"/>
      <c r="AG123" s="67"/>
      <c r="AH123" s="67"/>
      <c r="AI123" s="24"/>
      <c r="AJ123" s="24"/>
      <c r="AK123" s="24"/>
      <c r="AL123" s="71"/>
      <c r="AM123" s="69"/>
      <c r="AN123" s="141"/>
      <c r="AO123" s="141"/>
      <c r="AP123" s="141"/>
      <c r="AQ123" s="141"/>
      <c r="AR123" s="141"/>
      <c r="AS123" s="141"/>
      <c r="AT123" s="141"/>
      <c r="AU123" s="141"/>
      <c r="AV123" s="141"/>
      <c r="AW123" s="141"/>
    </row>
    <row r="124" spans="1:49" ht="45" customHeight="1">
      <c r="A124" s="153">
        <f t="shared" si="7"/>
        <v>121</v>
      </c>
      <c r="B124" s="153"/>
      <c r="C124" s="140"/>
      <c r="D124" s="28"/>
      <c r="E124" s="69"/>
      <c r="F124" s="39">
        <v>0</v>
      </c>
      <c r="G124" s="21"/>
      <c r="H124" s="21"/>
      <c r="I124" s="21"/>
      <c r="J124" s="141"/>
      <c r="K124" s="21"/>
      <c r="L124" s="69"/>
      <c r="M124" s="141"/>
      <c r="N124" s="59"/>
      <c r="O124" s="59"/>
      <c r="P124" s="105"/>
      <c r="Q124" s="105"/>
      <c r="R124" s="105"/>
      <c r="S124" s="90"/>
      <c r="T124" s="90"/>
      <c r="U124" s="93"/>
      <c r="V124" s="93"/>
      <c r="W124" s="93"/>
      <c r="X124" s="29">
        <v>0</v>
      </c>
      <c r="Y124" s="145">
        <v>0</v>
      </c>
      <c r="Z124" s="145">
        <v>0</v>
      </c>
      <c r="AA124" s="145">
        <v>0</v>
      </c>
      <c r="AB124" s="145">
        <v>0</v>
      </c>
      <c r="AC124" s="145">
        <v>0</v>
      </c>
      <c r="AD124" s="145">
        <v>0</v>
      </c>
      <c r="AE124" s="142">
        <f t="shared" si="9"/>
        <v>0</v>
      </c>
      <c r="AF124" s="141"/>
      <c r="AG124" s="67"/>
      <c r="AH124" s="67"/>
      <c r="AI124" s="24"/>
      <c r="AJ124" s="24"/>
      <c r="AK124" s="24"/>
      <c r="AL124" s="71"/>
      <c r="AM124" s="69"/>
      <c r="AN124" s="141"/>
      <c r="AO124" s="141"/>
      <c r="AP124" s="141"/>
      <c r="AQ124" s="141"/>
      <c r="AR124" s="141"/>
      <c r="AS124" s="141"/>
      <c r="AT124" s="141"/>
      <c r="AU124" s="141"/>
      <c r="AV124" s="141"/>
      <c r="AW124" s="141"/>
    </row>
    <row r="125" spans="1:49" ht="45" customHeight="1">
      <c r="A125" s="153">
        <f t="shared" si="7"/>
        <v>122</v>
      </c>
      <c r="B125" s="153"/>
      <c r="C125" s="140"/>
      <c r="D125" s="28"/>
      <c r="E125" s="69"/>
      <c r="F125" s="39">
        <v>0</v>
      </c>
      <c r="G125" s="21"/>
      <c r="H125" s="21"/>
      <c r="I125" s="21"/>
      <c r="J125" s="141"/>
      <c r="K125" s="21"/>
      <c r="L125" s="69"/>
      <c r="M125" s="141"/>
      <c r="N125" s="59"/>
      <c r="O125" s="59"/>
      <c r="P125" s="105"/>
      <c r="Q125" s="105"/>
      <c r="R125" s="105"/>
      <c r="S125" s="90"/>
      <c r="T125" s="90"/>
      <c r="U125" s="93"/>
      <c r="V125" s="93"/>
      <c r="W125" s="93"/>
      <c r="X125" s="29">
        <v>0</v>
      </c>
      <c r="Y125" s="145">
        <v>0</v>
      </c>
      <c r="Z125" s="145">
        <v>0</v>
      </c>
      <c r="AA125" s="145">
        <v>0</v>
      </c>
      <c r="AB125" s="145">
        <v>0</v>
      </c>
      <c r="AC125" s="145">
        <v>0</v>
      </c>
      <c r="AD125" s="145">
        <v>0</v>
      </c>
      <c r="AE125" s="142">
        <f t="shared" si="9"/>
        <v>0</v>
      </c>
      <c r="AF125" s="141"/>
      <c r="AG125" s="67"/>
      <c r="AH125" s="67"/>
      <c r="AI125" s="24"/>
      <c r="AJ125" s="24"/>
      <c r="AK125" s="24"/>
      <c r="AL125" s="71"/>
      <c r="AM125" s="69"/>
      <c r="AN125" s="141"/>
      <c r="AO125" s="141"/>
      <c r="AP125" s="141"/>
      <c r="AQ125" s="141"/>
      <c r="AR125" s="141"/>
      <c r="AS125" s="141"/>
      <c r="AT125" s="141"/>
      <c r="AU125" s="141"/>
      <c r="AV125" s="141"/>
      <c r="AW125" s="141"/>
    </row>
    <row r="126" spans="1:49" ht="45" customHeight="1">
      <c r="A126" s="153">
        <f t="shared" si="7"/>
        <v>123</v>
      </c>
      <c r="B126" s="153"/>
      <c r="C126" s="140"/>
      <c r="D126" s="28"/>
      <c r="E126" s="69"/>
      <c r="F126" s="39">
        <v>0</v>
      </c>
      <c r="G126" s="21"/>
      <c r="H126" s="21"/>
      <c r="I126" s="21"/>
      <c r="J126" s="141"/>
      <c r="K126" s="21"/>
      <c r="L126" s="69"/>
      <c r="M126" s="141"/>
      <c r="N126" s="59"/>
      <c r="O126" s="59"/>
      <c r="P126" s="105"/>
      <c r="Q126" s="105"/>
      <c r="R126" s="105"/>
      <c r="S126" s="90"/>
      <c r="T126" s="90"/>
      <c r="U126" s="93"/>
      <c r="V126" s="93"/>
      <c r="W126" s="93"/>
      <c r="X126" s="29">
        <v>0</v>
      </c>
      <c r="Y126" s="145">
        <v>0</v>
      </c>
      <c r="Z126" s="145">
        <v>0</v>
      </c>
      <c r="AA126" s="145">
        <v>0</v>
      </c>
      <c r="AB126" s="145">
        <v>0</v>
      </c>
      <c r="AC126" s="145">
        <v>0</v>
      </c>
      <c r="AD126" s="145">
        <v>0</v>
      </c>
      <c r="AE126" s="142">
        <f t="shared" si="9"/>
        <v>0</v>
      </c>
      <c r="AF126" s="141"/>
      <c r="AG126" s="67"/>
      <c r="AH126" s="67"/>
      <c r="AI126" s="24"/>
      <c r="AJ126" s="24"/>
      <c r="AK126" s="24"/>
      <c r="AL126" s="71"/>
      <c r="AM126" s="69"/>
      <c r="AN126" s="141"/>
      <c r="AO126" s="141"/>
      <c r="AP126" s="141"/>
      <c r="AQ126" s="141"/>
      <c r="AR126" s="141"/>
      <c r="AS126" s="141"/>
      <c r="AT126" s="141"/>
      <c r="AU126" s="141"/>
      <c r="AV126" s="141"/>
      <c r="AW126" s="141"/>
    </row>
    <row r="127" spans="1:49" ht="45" customHeight="1">
      <c r="A127" s="153">
        <f t="shared" si="7"/>
        <v>124</v>
      </c>
      <c r="B127" s="153"/>
      <c r="C127" s="140"/>
      <c r="D127" s="28"/>
      <c r="E127" s="69"/>
      <c r="F127" s="39">
        <v>0</v>
      </c>
      <c r="G127" s="21"/>
      <c r="H127" s="21"/>
      <c r="I127" s="21"/>
      <c r="J127" s="141"/>
      <c r="K127" s="21"/>
      <c r="L127" s="69"/>
      <c r="M127" s="141"/>
      <c r="N127" s="59"/>
      <c r="O127" s="59"/>
      <c r="P127" s="105"/>
      <c r="Q127" s="105"/>
      <c r="R127" s="105"/>
      <c r="S127" s="90"/>
      <c r="T127" s="90"/>
      <c r="U127" s="93"/>
      <c r="V127" s="93"/>
      <c r="W127" s="93"/>
      <c r="X127" s="29">
        <v>0</v>
      </c>
      <c r="Y127" s="145">
        <v>0</v>
      </c>
      <c r="Z127" s="145">
        <v>0</v>
      </c>
      <c r="AA127" s="145">
        <v>0</v>
      </c>
      <c r="AB127" s="145">
        <v>0</v>
      </c>
      <c r="AC127" s="145">
        <v>0</v>
      </c>
      <c r="AD127" s="145">
        <v>0</v>
      </c>
      <c r="AE127" s="142">
        <f t="shared" si="9"/>
        <v>0</v>
      </c>
      <c r="AF127" s="141"/>
      <c r="AG127" s="67"/>
      <c r="AH127" s="67"/>
      <c r="AI127" s="24"/>
      <c r="AJ127" s="24"/>
      <c r="AK127" s="24"/>
      <c r="AL127" s="71"/>
      <c r="AM127" s="69"/>
      <c r="AN127" s="141"/>
      <c r="AO127" s="141"/>
      <c r="AP127" s="141"/>
      <c r="AQ127" s="141"/>
      <c r="AR127" s="141"/>
      <c r="AS127" s="141"/>
      <c r="AT127" s="141"/>
      <c r="AU127" s="141"/>
      <c r="AV127" s="141"/>
      <c r="AW127" s="141"/>
    </row>
    <row r="128" spans="1:49" ht="45" customHeight="1">
      <c r="A128" s="153">
        <f t="shared" si="7"/>
        <v>125</v>
      </c>
      <c r="B128" s="153"/>
      <c r="C128" s="140"/>
      <c r="D128" s="28"/>
      <c r="E128" s="69"/>
      <c r="F128" s="39">
        <v>0</v>
      </c>
      <c r="G128" s="21"/>
      <c r="H128" s="21"/>
      <c r="I128" s="21"/>
      <c r="J128" s="141"/>
      <c r="K128" s="21"/>
      <c r="L128" s="69"/>
      <c r="M128" s="141"/>
      <c r="N128" s="59"/>
      <c r="O128" s="59"/>
      <c r="P128" s="105"/>
      <c r="Q128" s="105"/>
      <c r="R128" s="105"/>
      <c r="S128" s="90"/>
      <c r="T128" s="90"/>
      <c r="U128" s="93"/>
      <c r="V128" s="93"/>
      <c r="W128" s="93"/>
      <c r="X128" s="29">
        <v>0</v>
      </c>
      <c r="Y128" s="145">
        <v>0</v>
      </c>
      <c r="Z128" s="145">
        <v>0</v>
      </c>
      <c r="AA128" s="145">
        <v>0</v>
      </c>
      <c r="AB128" s="145">
        <v>0</v>
      </c>
      <c r="AC128" s="145">
        <v>0</v>
      </c>
      <c r="AD128" s="145">
        <v>0</v>
      </c>
      <c r="AE128" s="142">
        <f t="shared" si="9"/>
        <v>0</v>
      </c>
      <c r="AF128" s="141"/>
      <c r="AG128" s="67"/>
      <c r="AH128" s="67"/>
      <c r="AI128" s="24"/>
      <c r="AJ128" s="24"/>
      <c r="AK128" s="24"/>
      <c r="AL128" s="71"/>
      <c r="AM128" s="69"/>
      <c r="AN128" s="141"/>
      <c r="AO128" s="141"/>
      <c r="AP128" s="141"/>
      <c r="AQ128" s="141"/>
      <c r="AR128" s="141"/>
      <c r="AS128" s="141"/>
      <c r="AT128" s="141"/>
      <c r="AU128" s="141"/>
      <c r="AV128" s="141"/>
      <c r="AW128" s="141"/>
    </row>
    <row r="129" spans="1:49" ht="45" customHeight="1">
      <c r="A129" s="153">
        <f t="shared" si="7"/>
        <v>126</v>
      </c>
      <c r="B129" s="153"/>
      <c r="C129" s="140"/>
      <c r="D129" s="28"/>
      <c r="E129" s="69"/>
      <c r="F129" s="39">
        <v>0</v>
      </c>
      <c r="G129" s="21"/>
      <c r="H129" s="21"/>
      <c r="I129" s="21"/>
      <c r="J129" s="141"/>
      <c r="K129" s="21"/>
      <c r="L129" s="69"/>
      <c r="M129" s="141"/>
      <c r="N129" s="59"/>
      <c r="O129" s="59"/>
      <c r="P129" s="105"/>
      <c r="Q129" s="105"/>
      <c r="R129" s="105"/>
      <c r="S129" s="90"/>
      <c r="T129" s="90"/>
      <c r="U129" s="93"/>
      <c r="V129" s="93"/>
      <c r="W129" s="93"/>
      <c r="X129" s="29">
        <v>0</v>
      </c>
      <c r="Y129" s="145">
        <v>0</v>
      </c>
      <c r="Z129" s="145">
        <v>0</v>
      </c>
      <c r="AA129" s="145">
        <v>0</v>
      </c>
      <c r="AB129" s="145">
        <v>0</v>
      </c>
      <c r="AC129" s="145">
        <v>0</v>
      </c>
      <c r="AD129" s="145">
        <v>0</v>
      </c>
      <c r="AE129" s="142">
        <f t="shared" si="9"/>
        <v>0</v>
      </c>
      <c r="AF129" s="141"/>
      <c r="AG129" s="67"/>
      <c r="AH129" s="67"/>
      <c r="AI129" s="24"/>
      <c r="AJ129" s="24"/>
      <c r="AK129" s="24"/>
      <c r="AL129" s="71"/>
      <c r="AM129" s="69"/>
      <c r="AN129" s="141"/>
      <c r="AO129" s="141"/>
      <c r="AP129" s="141"/>
      <c r="AQ129" s="141"/>
      <c r="AR129" s="141"/>
      <c r="AS129" s="141"/>
      <c r="AT129" s="141"/>
      <c r="AU129" s="141"/>
      <c r="AV129" s="141"/>
      <c r="AW129" s="141"/>
    </row>
    <row r="130" spans="1:49" ht="45" customHeight="1">
      <c r="A130" s="153">
        <f t="shared" si="7"/>
        <v>127</v>
      </c>
      <c r="B130" s="153"/>
      <c r="C130" s="140"/>
      <c r="D130" s="28"/>
      <c r="E130" s="69"/>
      <c r="F130" s="39">
        <v>0</v>
      </c>
      <c r="G130" s="21"/>
      <c r="H130" s="21"/>
      <c r="I130" s="21"/>
      <c r="J130" s="141"/>
      <c r="K130" s="21"/>
      <c r="L130" s="69"/>
      <c r="M130" s="141"/>
      <c r="N130" s="59"/>
      <c r="O130" s="59"/>
      <c r="P130" s="105"/>
      <c r="Q130" s="105"/>
      <c r="R130" s="105"/>
      <c r="S130" s="90"/>
      <c r="T130" s="90"/>
      <c r="U130" s="93"/>
      <c r="V130" s="93"/>
      <c r="W130" s="93"/>
      <c r="X130" s="29">
        <v>0</v>
      </c>
      <c r="Y130" s="145">
        <v>0</v>
      </c>
      <c r="Z130" s="145">
        <v>0</v>
      </c>
      <c r="AA130" s="145">
        <v>0</v>
      </c>
      <c r="AB130" s="145">
        <v>0</v>
      </c>
      <c r="AC130" s="145">
        <v>0</v>
      </c>
      <c r="AD130" s="145">
        <v>0</v>
      </c>
      <c r="AE130" s="142">
        <f t="shared" si="9"/>
        <v>0</v>
      </c>
      <c r="AF130" s="141"/>
      <c r="AG130" s="67"/>
      <c r="AH130" s="67"/>
      <c r="AI130" s="24"/>
      <c r="AJ130" s="24"/>
      <c r="AK130" s="24"/>
      <c r="AL130" s="71"/>
      <c r="AM130" s="69"/>
      <c r="AN130" s="141"/>
      <c r="AO130" s="141"/>
      <c r="AP130" s="141"/>
      <c r="AQ130" s="141"/>
      <c r="AR130" s="141"/>
      <c r="AS130" s="141"/>
      <c r="AT130" s="141"/>
      <c r="AU130" s="141"/>
      <c r="AV130" s="141"/>
      <c r="AW130" s="141"/>
    </row>
    <row r="131" spans="1:49" ht="45" customHeight="1">
      <c r="A131" s="153">
        <f t="shared" si="7"/>
        <v>128</v>
      </c>
      <c r="B131" s="153"/>
      <c r="C131" s="140"/>
      <c r="D131" s="28"/>
      <c r="E131" s="69"/>
      <c r="F131" s="39">
        <v>0</v>
      </c>
      <c r="G131" s="21"/>
      <c r="H131" s="21"/>
      <c r="I131" s="21"/>
      <c r="J131" s="141"/>
      <c r="K131" s="21"/>
      <c r="L131" s="69"/>
      <c r="M131" s="141"/>
      <c r="N131" s="59"/>
      <c r="O131" s="59"/>
      <c r="P131" s="105"/>
      <c r="Q131" s="105"/>
      <c r="R131" s="105"/>
      <c r="S131" s="90"/>
      <c r="T131" s="90"/>
      <c r="U131" s="93"/>
      <c r="V131" s="93"/>
      <c r="W131" s="93"/>
      <c r="X131" s="29">
        <v>0</v>
      </c>
      <c r="Y131" s="145">
        <v>0</v>
      </c>
      <c r="Z131" s="145">
        <v>0</v>
      </c>
      <c r="AA131" s="145">
        <v>0</v>
      </c>
      <c r="AB131" s="145">
        <v>0</v>
      </c>
      <c r="AC131" s="145">
        <v>0</v>
      </c>
      <c r="AD131" s="145">
        <v>0</v>
      </c>
      <c r="AE131" s="142">
        <f t="shared" si="9"/>
        <v>0</v>
      </c>
      <c r="AF131" s="141"/>
      <c r="AG131" s="67"/>
      <c r="AH131" s="67"/>
      <c r="AI131" s="24"/>
      <c r="AJ131" s="24"/>
      <c r="AK131" s="24"/>
      <c r="AL131" s="71"/>
      <c r="AM131" s="69"/>
      <c r="AN131" s="141"/>
      <c r="AO131" s="141"/>
      <c r="AP131" s="141"/>
      <c r="AQ131" s="141"/>
      <c r="AR131" s="141"/>
      <c r="AS131" s="141"/>
      <c r="AT131" s="141"/>
      <c r="AU131" s="141"/>
      <c r="AV131" s="141"/>
      <c r="AW131" s="141"/>
    </row>
    <row r="132" spans="1:49" ht="45" customHeight="1">
      <c r="A132" s="153">
        <f t="shared" si="7"/>
        <v>129</v>
      </c>
      <c r="B132" s="153"/>
      <c r="C132" s="140"/>
      <c r="D132" s="28"/>
      <c r="E132" s="69"/>
      <c r="F132" s="39">
        <v>0</v>
      </c>
      <c r="G132" s="21"/>
      <c r="H132" s="21"/>
      <c r="I132" s="21"/>
      <c r="J132" s="141"/>
      <c r="K132" s="21"/>
      <c r="L132" s="69"/>
      <c r="M132" s="141"/>
      <c r="N132" s="59"/>
      <c r="O132" s="59"/>
      <c r="P132" s="105"/>
      <c r="Q132" s="105"/>
      <c r="R132" s="105"/>
      <c r="S132" s="90"/>
      <c r="T132" s="90"/>
      <c r="U132" s="93"/>
      <c r="V132" s="93"/>
      <c r="W132" s="93"/>
      <c r="X132" s="29">
        <v>0</v>
      </c>
      <c r="Y132" s="145">
        <v>0</v>
      </c>
      <c r="Z132" s="145">
        <v>0</v>
      </c>
      <c r="AA132" s="145">
        <v>0</v>
      </c>
      <c r="AB132" s="145">
        <v>0</v>
      </c>
      <c r="AC132" s="145">
        <v>0</v>
      </c>
      <c r="AD132" s="145">
        <v>0</v>
      </c>
      <c r="AE132" s="142">
        <f t="shared" si="9"/>
        <v>0</v>
      </c>
      <c r="AF132" s="141"/>
      <c r="AG132" s="67"/>
      <c r="AH132" s="67"/>
      <c r="AI132" s="24"/>
      <c r="AJ132" s="24"/>
      <c r="AK132" s="24"/>
      <c r="AL132" s="71"/>
      <c r="AM132" s="69"/>
      <c r="AN132" s="141"/>
      <c r="AO132" s="141"/>
      <c r="AP132" s="141"/>
      <c r="AQ132" s="141"/>
      <c r="AR132" s="141"/>
      <c r="AS132" s="141"/>
      <c r="AT132" s="141"/>
      <c r="AU132" s="141"/>
      <c r="AV132" s="141"/>
      <c r="AW132" s="141"/>
    </row>
    <row r="133" spans="1:49" ht="45" customHeight="1">
      <c r="A133" s="153">
        <f t="shared" ref="A133:A151" si="10">A132+1</f>
        <v>130</v>
      </c>
      <c r="B133" s="153"/>
      <c r="C133" s="152"/>
      <c r="D133" s="28"/>
      <c r="E133" s="69"/>
      <c r="F133" s="39">
        <v>0</v>
      </c>
      <c r="G133" s="21"/>
      <c r="H133" s="21"/>
      <c r="I133" s="21"/>
      <c r="J133" s="141"/>
      <c r="K133" s="21"/>
      <c r="L133" s="69"/>
      <c r="M133" s="141"/>
      <c r="N133" s="59"/>
      <c r="O133" s="59"/>
      <c r="P133" s="105"/>
      <c r="Q133" s="105"/>
      <c r="R133" s="105"/>
      <c r="S133" s="90"/>
      <c r="T133" s="90"/>
      <c r="U133" s="93"/>
      <c r="V133" s="93"/>
      <c r="W133" s="93"/>
      <c r="X133" s="29">
        <v>0</v>
      </c>
      <c r="Y133" s="145">
        <v>0</v>
      </c>
      <c r="Z133" s="145">
        <v>0</v>
      </c>
      <c r="AA133" s="145">
        <v>0</v>
      </c>
      <c r="AB133" s="145">
        <v>0</v>
      </c>
      <c r="AC133" s="145">
        <v>0</v>
      </c>
      <c r="AD133" s="145">
        <v>0</v>
      </c>
      <c r="AE133" s="142">
        <f t="shared" si="9"/>
        <v>0</v>
      </c>
      <c r="AF133" s="141"/>
      <c r="AG133" s="67"/>
      <c r="AH133" s="67"/>
      <c r="AI133" s="24"/>
      <c r="AJ133" s="24"/>
      <c r="AK133" s="24"/>
      <c r="AL133" s="71"/>
      <c r="AM133" s="69"/>
      <c r="AN133" s="141"/>
      <c r="AO133" s="141"/>
      <c r="AP133" s="141"/>
      <c r="AQ133" s="141"/>
      <c r="AR133" s="141"/>
      <c r="AS133" s="141"/>
      <c r="AT133" s="141"/>
      <c r="AU133" s="141"/>
      <c r="AV133" s="141"/>
      <c r="AW133" s="141"/>
    </row>
    <row r="134" spans="1:49" ht="45" customHeight="1">
      <c r="A134" s="153">
        <f t="shared" si="10"/>
        <v>131</v>
      </c>
      <c r="B134" s="153"/>
      <c r="C134" s="153"/>
      <c r="D134" s="28"/>
      <c r="E134" s="69"/>
      <c r="F134" s="39">
        <v>0</v>
      </c>
      <c r="G134" s="21"/>
      <c r="H134" s="21"/>
      <c r="I134" s="21"/>
      <c r="J134" s="141"/>
      <c r="K134" s="21"/>
      <c r="L134" s="69"/>
      <c r="M134" s="141"/>
      <c r="N134" s="59"/>
      <c r="O134" s="59"/>
      <c r="P134" s="105"/>
      <c r="Q134" s="105"/>
      <c r="R134" s="105"/>
      <c r="S134" s="90"/>
      <c r="T134" s="90"/>
      <c r="U134" s="93"/>
      <c r="V134" s="93"/>
      <c r="W134" s="93"/>
      <c r="X134" s="29">
        <v>0</v>
      </c>
      <c r="Y134" s="145">
        <v>0</v>
      </c>
      <c r="Z134" s="145">
        <v>0</v>
      </c>
      <c r="AA134" s="145">
        <v>0</v>
      </c>
      <c r="AB134" s="145">
        <v>0</v>
      </c>
      <c r="AC134" s="145">
        <v>0</v>
      </c>
      <c r="AD134" s="145">
        <v>0</v>
      </c>
      <c r="AE134" s="142">
        <f t="shared" si="9"/>
        <v>0</v>
      </c>
      <c r="AF134" s="141"/>
      <c r="AG134" s="67"/>
      <c r="AH134" s="67"/>
      <c r="AI134" s="24"/>
      <c r="AJ134" s="24"/>
      <c r="AK134" s="24"/>
      <c r="AL134" s="71"/>
      <c r="AM134" s="69"/>
      <c r="AN134" s="141"/>
      <c r="AO134" s="141"/>
      <c r="AP134" s="141"/>
      <c r="AQ134" s="141"/>
      <c r="AR134" s="141"/>
      <c r="AS134" s="141"/>
      <c r="AT134" s="141"/>
      <c r="AU134" s="141"/>
      <c r="AV134" s="141"/>
      <c r="AW134" s="141"/>
    </row>
    <row r="135" spans="1:49" ht="45" customHeight="1">
      <c r="A135" s="153">
        <f t="shared" si="10"/>
        <v>132</v>
      </c>
      <c r="B135" s="153"/>
      <c r="C135" s="153"/>
      <c r="D135" s="28"/>
      <c r="E135" s="69"/>
      <c r="F135" s="39">
        <v>0</v>
      </c>
      <c r="G135" s="21"/>
      <c r="H135" s="21"/>
      <c r="I135" s="21"/>
      <c r="J135" s="141"/>
      <c r="K135" s="21"/>
      <c r="L135" s="69"/>
      <c r="M135" s="141"/>
      <c r="N135" s="59"/>
      <c r="O135" s="59"/>
      <c r="P135" s="105"/>
      <c r="Q135" s="105"/>
      <c r="R135" s="105"/>
      <c r="S135" s="90"/>
      <c r="T135" s="90"/>
      <c r="U135" s="93"/>
      <c r="V135" s="93"/>
      <c r="W135" s="93"/>
      <c r="X135" s="29">
        <v>0</v>
      </c>
      <c r="Y135" s="145">
        <v>0</v>
      </c>
      <c r="Z135" s="145">
        <v>0</v>
      </c>
      <c r="AA135" s="145">
        <v>0</v>
      </c>
      <c r="AB135" s="145">
        <v>0</v>
      </c>
      <c r="AC135" s="145">
        <v>0</v>
      </c>
      <c r="AD135" s="145">
        <v>0</v>
      </c>
      <c r="AE135" s="142">
        <f t="shared" si="9"/>
        <v>0</v>
      </c>
      <c r="AF135" s="141"/>
      <c r="AG135" s="67"/>
      <c r="AH135" s="67"/>
      <c r="AI135" s="24"/>
      <c r="AJ135" s="24"/>
      <c r="AK135" s="24"/>
      <c r="AL135" s="71"/>
      <c r="AM135" s="69"/>
      <c r="AN135" s="141"/>
      <c r="AO135" s="141"/>
      <c r="AP135" s="141"/>
      <c r="AQ135" s="141"/>
      <c r="AR135" s="141"/>
      <c r="AS135" s="141"/>
      <c r="AT135" s="141"/>
      <c r="AU135" s="141"/>
      <c r="AV135" s="141"/>
      <c r="AW135" s="141"/>
    </row>
    <row r="136" spans="1:49" ht="45" customHeight="1">
      <c r="A136" s="153">
        <f t="shared" si="10"/>
        <v>133</v>
      </c>
      <c r="B136" s="153"/>
      <c r="C136" s="153"/>
      <c r="D136" s="28"/>
      <c r="E136" s="69"/>
      <c r="F136" s="39">
        <v>0</v>
      </c>
      <c r="G136" s="21"/>
      <c r="H136" s="21"/>
      <c r="I136" s="21"/>
      <c r="J136" s="141"/>
      <c r="K136" s="21"/>
      <c r="L136" s="69"/>
      <c r="M136" s="141"/>
      <c r="N136" s="59"/>
      <c r="O136" s="59"/>
      <c r="P136" s="105"/>
      <c r="Q136" s="105"/>
      <c r="R136" s="105"/>
      <c r="S136" s="90"/>
      <c r="T136" s="90"/>
      <c r="U136" s="93"/>
      <c r="V136" s="93"/>
      <c r="W136" s="93"/>
      <c r="X136" s="29">
        <v>0</v>
      </c>
      <c r="Y136" s="145">
        <v>0</v>
      </c>
      <c r="Z136" s="145">
        <v>0</v>
      </c>
      <c r="AA136" s="145">
        <v>0</v>
      </c>
      <c r="AB136" s="145">
        <v>0</v>
      </c>
      <c r="AC136" s="145">
        <v>0</v>
      </c>
      <c r="AD136" s="145">
        <v>0</v>
      </c>
      <c r="AE136" s="142">
        <f t="shared" si="9"/>
        <v>0</v>
      </c>
      <c r="AF136" s="141"/>
      <c r="AG136" s="67"/>
      <c r="AH136" s="67"/>
      <c r="AI136" s="24"/>
      <c r="AJ136" s="24"/>
      <c r="AK136" s="24"/>
      <c r="AL136" s="71"/>
      <c r="AM136" s="69"/>
      <c r="AN136" s="141"/>
      <c r="AO136" s="141"/>
      <c r="AP136" s="141"/>
      <c r="AQ136" s="141"/>
      <c r="AR136" s="141"/>
      <c r="AS136" s="141"/>
      <c r="AT136" s="141"/>
      <c r="AU136" s="141"/>
      <c r="AV136" s="141"/>
      <c r="AW136" s="141"/>
    </row>
    <row r="137" spans="1:49" ht="45" customHeight="1">
      <c r="A137" s="153">
        <f t="shared" si="10"/>
        <v>134</v>
      </c>
      <c r="B137" s="153"/>
      <c r="C137" s="153"/>
      <c r="D137" s="28"/>
      <c r="E137" s="69"/>
      <c r="F137" s="39">
        <v>0</v>
      </c>
      <c r="G137" s="21"/>
      <c r="H137" s="21"/>
      <c r="I137" s="21"/>
      <c r="J137" s="141"/>
      <c r="K137" s="21"/>
      <c r="L137" s="69"/>
      <c r="M137" s="141"/>
      <c r="N137" s="59"/>
      <c r="O137" s="59"/>
      <c r="P137" s="105"/>
      <c r="Q137" s="105"/>
      <c r="R137" s="105"/>
      <c r="S137" s="90"/>
      <c r="T137" s="90"/>
      <c r="U137" s="93"/>
      <c r="V137" s="93"/>
      <c r="W137" s="93"/>
      <c r="X137" s="29">
        <v>0</v>
      </c>
      <c r="Y137" s="145">
        <v>0</v>
      </c>
      <c r="Z137" s="145">
        <v>0</v>
      </c>
      <c r="AA137" s="145">
        <v>0</v>
      </c>
      <c r="AB137" s="145">
        <v>0</v>
      </c>
      <c r="AC137" s="145">
        <v>0</v>
      </c>
      <c r="AD137" s="145">
        <v>0</v>
      </c>
      <c r="AE137" s="142">
        <f t="shared" si="9"/>
        <v>0</v>
      </c>
      <c r="AF137" s="141"/>
      <c r="AG137" s="67"/>
      <c r="AH137" s="67"/>
      <c r="AI137" s="24"/>
      <c r="AJ137" s="24"/>
      <c r="AK137" s="24"/>
      <c r="AL137" s="71"/>
      <c r="AM137" s="69"/>
      <c r="AN137" s="141"/>
      <c r="AO137" s="141"/>
      <c r="AP137" s="141"/>
      <c r="AQ137" s="141"/>
      <c r="AR137" s="141"/>
      <c r="AS137" s="141"/>
      <c r="AT137" s="141"/>
      <c r="AU137" s="141"/>
      <c r="AV137" s="141"/>
      <c r="AW137" s="141"/>
    </row>
    <row r="138" spans="1:49" ht="45" customHeight="1">
      <c r="A138" s="153">
        <f t="shared" si="10"/>
        <v>135</v>
      </c>
      <c r="B138" s="153"/>
      <c r="C138" s="153"/>
      <c r="D138" s="28"/>
      <c r="E138" s="69"/>
      <c r="F138" s="39">
        <v>0</v>
      </c>
      <c r="G138" s="21"/>
      <c r="H138" s="21"/>
      <c r="I138" s="21"/>
      <c r="J138" s="141"/>
      <c r="K138" s="21"/>
      <c r="L138" s="69"/>
      <c r="M138" s="141"/>
      <c r="N138" s="59"/>
      <c r="O138" s="59"/>
      <c r="P138" s="105"/>
      <c r="Q138" s="105"/>
      <c r="R138" s="105"/>
      <c r="S138" s="90"/>
      <c r="T138" s="90"/>
      <c r="U138" s="93"/>
      <c r="V138" s="93"/>
      <c r="W138" s="93"/>
      <c r="X138" s="29">
        <v>0</v>
      </c>
      <c r="Y138" s="145">
        <v>0</v>
      </c>
      <c r="Z138" s="145">
        <v>0</v>
      </c>
      <c r="AA138" s="145">
        <v>0</v>
      </c>
      <c r="AB138" s="145">
        <v>0</v>
      </c>
      <c r="AC138" s="145">
        <v>0</v>
      </c>
      <c r="AD138" s="145">
        <v>0</v>
      </c>
      <c r="AE138" s="142">
        <f t="shared" si="9"/>
        <v>0</v>
      </c>
      <c r="AF138" s="141"/>
      <c r="AG138" s="67"/>
      <c r="AH138" s="67"/>
      <c r="AI138" s="24"/>
      <c r="AJ138" s="24"/>
      <c r="AK138" s="24"/>
      <c r="AL138" s="71"/>
      <c r="AM138" s="69"/>
      <c r="AN138" s="141"/>
      <c r="AO138" s="141"/>
      <c r="AP138" s="141"/>
      <c r="AQ138" s="141"/>
      <c r="AR138" s="141"/>
      <c r="AS138" s="141"/>
      <c r="AT138" s="141"/>
      <c r="AU138" s="141"/>
      <c r="AV138" s="141"/>
      <c r="AW138" s="141"/>
    </row>
    <row r="139" spans="1:49" ht="45" customHeight="1">
      <c r="A139" s="153">
        <f t="shared" si="10"/>
        <v>136</v>
      </c>
      <c r="B139" s="153"/>
      <c r="C139" s="153"/>
      <c r="D139" s="28"/>
      <c r="E139" s="69"/>
      <c r="F139" s="39">
        <v>0</v>
      </c>
      <c r="G139" s="21"/>
      <c r="H139" s="21"/>
      <c r="I139" s="21"/>
      <c r="J139" s="141"/>
      <c r="K139" s="21"/>
      <c r="L139" s="69"/>
      <c r="M139" s="141"/>
      <c r="N139" s="59"/>
      <c r="O139" s="59"/>
      <c r="P139" s="105"/>
      <c r="Q139" s="105"/>
      <c r="R139" s="105"/>
      <c r="S139" s="90"/>
      <c r="T139" s="90"/>
      <c r="U139" s="93"/>
      <c r="V139" s="93"/>
      <c r="W139" s="93"/>
      <c r="X139" s="29">
        <v>0</v>
      </c>
      <c r="Y139" s="145">
        <v>0</v>
      </c>
      <c r="Z139" s="145">
        <v>0</v>
      </c>
      <c r="AA139" s="145">
        <v>0</v>
      </c>
      <c r="AB139" s="145">
        <v>0</v>
      </c>
      <c r="AC139" s="145">
        <v>0</v>
      </c>
      <c r="AD139" s="145">
        <v>0</v>
      </c>
      <c r="AE139" s="142">
        <f t="shared" si="9"/>
        <v>0</v>
      </c>
      <c r="AF139" s="141"/>
      <c r="AG139" s="67"/>
      <c r="AH139" s="67"/>
      <c r="AI139" s="24"/>
      <c r="AJ139" s="24"/>
      <c r="AK139" s="24"/>
      <c r="AL139" s="71"/>
      <c r="AM139" s="69"/>
      <c r="AN139" s="141"/>
      <c r="AO139" s="141"/>
      <c r="AP139" s="141"/>
      <c r="AQ139" s="141"/>
      <c r="AR139" s="141"/>
      <c r="AS139" s="141"/>
      <c r="AT139" s="141"/>
      <c r="AU139" s="141"/>
      <c r="AV139" s="141"/>
      <c r="AW139" s="141"/>
    </row>
    <row r="140" spans="1:49" ht="45" customHeight="1">
      <c r="A140" s="153">
        <f t="shared" si="10"/>
        <v>137</v>
      </c>
      <c r="B140" s="153"/>
      <c r="C140" s="153"/>
      <c r="D140" s="28"/>
      <c r="E140" s="69"/>
      <c r="F140" s="39">
        <v>0</v>
      </c>
      <c r="G140" s="21"/>
      <c r="H140" s="21"/>
      <c r="I140" s="21"/>
      <c r="J140" s="141"/>
      <c r="K140" s="21"/>
      <c r="L140" s="69"/>
      <c r="M140" s="141"/>
      <c r="N140" s="59"/>
      <c r="O140" s="59"/>
      <c r="P140" s="105"/>
      <c r="Q140" s="105"/>
      <c r="R140" s="105"/>
      <c r="S140" s="90"/>
      <c r="T140" s="90"/>
      <c r="U140" s="93"/>
      <c r="V140" s="93"/>
      <c r="W140" s="93"/>
      <c r="X140" s="29">
        <v>0</v>
      </c>
      <c r="Y140" s="145">
        <v>0</v>
      </c>
      <c r="Z140" s="145">
        <v>0</v>
      </c>
      <c r="AA140" s="145">
        <v>0</v>
      </c>
      <c r="AB140" s="145">
        <v>0</v>
      </c>
      <c r="AC140" s="145">
        <v>0</v>
      </c>
      <c r="AD140" s="145">
        <v>0</v>
      </c>
      <c r="AE140" s="142">
        <f t="shared" si="9"/>
        <v>0</v>
      </c>
      <c r="AF140" s="141"/>
      <c r="AG140" s="67"/>
      <c r="AH140" s="67"/>
      <c r="AI140" s="24"/>
      <c r="AJ140" s="24"/>
      <c r="AK140" s="24"/>
      <c r="AL140" s="71"/>
      <c r="AM140" s="69"/>
      <c r="AN140" s="141"/>
      <c r="AO140" s="141"/>
      <c r="AP140" s="141"/>
      <c r="AQ140" s="141"/>
      <c r="AR140" s="141"/>
      <c r="AS140" s="141"/>
      <c r="AT140" s="141"/>
      <c r="AU140" s="141"/>
      <c r="AV140" s="141"/>
      <c r="AW140" s="141"/>
    </row>
    <row r="141" spans="1:49" ht="45" customHeight="1">
      <c r="A141" s="153">
        <f t="shared" si="10"/>
        <v>138</v>
      </c>
      <c r="B141" s="153"/>
      <c r="C141" s="153"/>
      <c r="D141" s="28"/>
      <c r="E141" s="69"/>
      <c r="F141" s="39">
        <v>0</v>
      </c>
      <c r="G141" s="21"/>
      <c r="H141" s="21"/>
      <c r="I141" s="21"/>
      <c r="J141" s="141"/>
      <c r="K141" s="21"/>
      <c r="L141" s="69"/>
      <c r="M141" s="141"/>
      <c r="N141" s="59">
        <v>0</v>
      </c>
      <c r="O141" s="59"/>
      <c r="P141" s="105"/>
      <c r="Q141" s="105"/>
      <c r="R141" s="105"/>
      <c r="S141" s="90"/>
      <c r="T141" s="90"/>
      <c r="U141" s="93"/>
      <c r="V141" s="93"/>
      <c r="W141" s="93"/>
      <c r="X141" s="29">
        <v>0</v>
      </c>
      <c r="Y141" s="145">
        <v>0</v>
      </c>
      <c r="Z141" s="145">
        <v>0</v>
      </c>
      <c r="AA141" s="145">
        <v>0</v>
      </c>
      <c r="AB141" s="145">
        <v>0</v>
      </c>
      <c r="AC141" s="145">
        <v>0</v>
      </c>
      <c r="AD141" s="145">
        <v>0</v>
      </c>
      <c r="AE141" s="142">
        <f t="shared" si="9"/>
        <v>0</v>
      </c>
      <c r="AF141" s="141"/>
      <c r="AG141" s="67"/>
      <c r="AH141" s="67"/>
      <c r="AI141" s="24"/>
      <c r="AJ141" s="24"/>
      <c r="AK141" s="24"/>
      <c r="AL141" s="71"/>
      <c r="AM141" s="69"/>
      <c r="AN141" s="141"/>
      <c r="AO141" s="141"/>
      <c r="AP141" s="141"/>
      <c r="AQ141" s="141"/>
      <c r="AR141" s="141"/>
      <c r="AS141" s="141"/>
      <c r="AT141" s="141"/>
      <c r="AU141" s="141"/>
      <c r="AV141" s="141"/>
      <c r="AW141" s="141"/>
    </row>
    <row r="142" spans="1:49" ht="45" customHeight="1">
      <c r="A142" s="153">
        <f t="shared" si="10"/>
        <v>139</v>
      </c>
      <c r="B142" s="153"/>
      <c r="C142" s="153"/>
      <c r="D142" s="28"/>
      <c r="E142" s="69"/>
      <c r="F142" s="39">
        <v>0</v>
      </c>
      <c r="G142" s="21"/>
      <c r="H142" s="21"/>
      <c r="I142" s="21"/>
      <c r="J142" s="141"/>
      <c r="K142" s="21"/>
      <c r="L142" s="69"/>
      <c r="M142" s="141"/>
      <c r="N142" s="59">
        <v>0.5</v>
      </c>
      <c r="O142" s="59"/>
      <c r="P142" s="105"/>
      <c r="Q142" s="105"/>
      <c r="R142" s="105"/>
      <c r="S142" s="90"/>
      <c r="T142" s="90"/>
      <c r="U142" s="93"/>
      <c r="V142" s="93"/>
      <c r="W142" s="93"/>
      <c r="X142" s="29">
        <v>0</v>
      </c>
      <c r="Y142" s="145">
        <v>0</v>
      </c>
      <c r="Z142" s="145">
        <v>0</v>
      </c>
      <c r="AA142" s="145">
        <v>0</v>
      </c>
      <c r="AB142" s="145">
        <v>0</v>
      </c>
      <c r="AC142" s="145">
        <v>0</v>
      </c>
      <c r="AD142" s="145">
        <v>0</v>
      </c>
      <c r="AE142" s="142">
        <f t="shared" si="9"/>
        <v>0</v>
      </c>
      <c r="AF142" s="141"/>
      <c r="AG142" s="67"/>
      <c r="AH142" s="67"/>
      <c r="AI142" s="24"/>
      <c r="AJ142" s="24"/>
      <c r="AK142" s="24"/>
      <c r="AL142" s="71"/>
      <c r="AM142" s="69"/>
      <c r="AN142" s="141"/>
      <c r="AO142" s="141"/>
      <c r="AP142" s="141"/>
      <c r="AQ142" s="141"/>
      <c r="AR142" s="141"/>
      <c r="AS142" s="141"/>
      <c r="AT142" s="141"/>
      <c r="AU142" s="141"/>
      <c r="AV142" s="141"/>
      <c r="AW142" s="141"/>
    </row>
    <row r="143" spans="1:49" ht="45" customHeight="1">
      <c r="A143" s="153">
        <f t="shared" si="10"/>
        <v>140</v>
      </c>
      <c r="B143" s="153"/>
      <c r="C143" s="153"/>
      <c r="D143" s="28"/>
      <c r="E143" s="69"/>
      <c r="F143" s="39">
        <v>0</v>
      </c>
      <c r="G143" s="21"/>
      <c r="H143" s="21"/>
      <c r="I143" s="21"/>
      <c r="J143" s="141"/>
      <c r="K143" s="21"/>
      <c r="L143" s="69"/>
      <c r="M143" s="141"/>
      <c r="N143" s="59">
        <v>1</v>
      </c>
      <c r="O143" s="59"/>
      <c r="P143" s="105"/>
      <c r="Q143" s="105"/>
      <c r="R143" s="105"/>
      <c r="S143" s="90"/>
      <c r="T143" s="90"/>
      <c r="U143" s="93"/>
      <c r="V143" s="93"/>
      <c r="W143" s="93"/>
      <c r="X143" s="29">
        <v>0</v>
      </c>
      <c r="Y143" s="145">
        <v>0</v>
      </c>
      <c r="Z143" s="145">
        <v>0</v>
      </c>
      <c r="AA143" s="145">
        <v>0</v>
      </c>
      <c r="AB143" s="145">
        <v>0</v>
      </c>
      <c r="AC143" s="145">
        <v>0</v>
      </c>
      <c r="AD143" s="145">
        <v>0</v>
      </c>
      <c r="AE143" s="142">
        <f t="shared" si="9"/>
        <v>0</v>
      </c>
      <c r="AF143" s="141"/>
      <c r="AG143" s="67"/>
      <c r="AH143" s="67"/>
      <c r="AI143" s="24"/>
      <c r="AJ143" s="24"/>
      <c r="AK143" s="24"/>
      <c r="AL143" s="71"/>
      <c r="AM143" s="69"/>
      <c r="AN143" s="141"/>
      <c r="AO143" s="141"/>
      <c r="AP143" s="141"/>
      <c r="AQ143" s="141"/>
      <c r="AR143" s="141"/>
      <c r="AS143" s="141"/>
      <c r="AT143" s="141"/>
      <c r="AU143" s="141"/>
      <c r="AV143" s="141"/>
      <c r="AW143" s="141"/>
    </row>
    <row r="144" spans="1:49" ht="45" customHeight="1">
      <c r="A144" s="153">
        <f t="shared" si="10"/>
        <v>141</v>
      </c>
      <c r="B144" s="153"/>
      <c r="C144" s="153"/>
      <c r="D144" s="28"/>
      <c r="E144" s="69"/>
      <c r="F144" s="39">
        <v>0</v>
      </c>
      <c r="G144" s="21"/>
      <c r="H144" s="21"/>
      <c r="I144" s="21"/>
      <c r="J144" s="141"/>
      <c r="K144" s="21"/>
      <c r="L144" s="69"/>
      <c r="M144" s="141"/>
      <c r="N144" s="59">
        <v>1.5</v>
      </c>
      <c r="O144" s="59"/>
      <c r="P144" s="105"/>
      <c r="Q144" s="105"/>
      <c r="R144" s="105"/>
      <c r="S144" s="90"/>
      <c r="T144" s="90"/>
      <c r="U144" s="93"/>
      <c r="V144" s="93"/>
      <c r="W144" s="93"/>
      <c r="X144" s="29">
        <v>0</v>
      </c>
      <c r="Y144" s="145">
        <v>0</v>
      </c>
      <c r="Z144" s="145">
        <v>0</v>
      </c>
      <c r="AA144" s="145">
        <v>0</v>
      </c>
      <c r="AB144" s="145">
        <v>0</v>
      </c>
      <c r="AC144" s="145">
        <v>0</v>
      </c>
      <c r="AD144" s="145">
        <v>0</v>
      </c>
      <c r="AE144" s="142">
        <f t="shared" si="9"/>
        <v>0</v>
      </c>
      <c r="AF144" s="141"/>
      <c r="AG144" s="67"/>
      <c r="AH144" s="67"/>
      <c r="AI144" s="24"/>
      <c r="AJ144" s="24"/>
      <c r="AK144" s="24"/>
      <c r="AL144" s="71"/>
      <c r="AM144" s="69"/>
      <c r="AN144" s="141"/>
      <c r="AO144" s="141"/>
      <c r="AP144" s="141"/>
      <c r="AQ144" s="141"/>
      <c r="AR144" s="141"/>
      <c r="AS144" s="141"/>
      <c r="AT144" s="141"/>
      <c r="AU144" s="141"/>
      <c r="AV144" s="141"/>
      <c r="AW144" s="141"/>
    </row>
    <row r="145" spans="1:49" ht="45" customHeight="1">
      <c r="A145" s="153">
        <f t="shared" si="10"/>
        <v>142</v>
      </c>
      <c r="B145" s="153"/>
      <c r="C145" s="153"/>
      <c r="D145" s="28"/>
      <c r="E145" s="69"/>
      <c r="F145" s="39">
        <v>0</v>
      </c>
      <c r="G145" s="21"/>
      <c r="H145" s="21"/>
      <c r="I145" s="21"/>
      <c r="J145" s="141"/>
      <c r="K145" s="21"/>
      <c r="L145" s="69"/>
      <c r="M145" s="141"/>
      <c r="N145" s="59">
        <v>2</v>
      </c>
      <c r="O145" s="59"/>
      <c r="P145" s="105"/>
      <c r="Q145" s="105"/>
      <c r="R145" s="105"/>
      <c r="S145" s="90"/>
      <c r="T145" s="90"/>
      <c r="U145" s="93"/>
      <c r="V145" s="93"/>
      <c r="W145" s="93"/>
      <c r="X145" s="29">
        <v>0</v>
      </c>
      <c r="Y145" s="145">
        <v>0</v>
      </c>
      <c r="Z145" s="145">
        <v>0</v>
      </c>
      <c r="AA145" s="145">
        <v>0</v>
      </c>
      <c r="AB145" s="145">
        <v>0</v>
      </c>
      <c r="AC145" s="145">
        <v>0</v>
      </c>
      <c r="AD145" s="145">
        <v>0</v>
      </c>
      <c r="AE145" s="142">
        <f t="shared" ref="AE145:AE176" si="11">AVERAGE(X145:AD145)</f>
        <v>0</v>
      </c>
      <c r="AF145" s="141"/>
      <c r="AG145" s="67"/>
      <c r="AH145" s="67"/>
      <c r="AI145" s="24"/>
      <c r="AJ145" s="24"/>
      <c r="AK145" s="24"/>
      <c r="AL145" s="71"/>
      <c r="AM145" s="69"/>
      <c r="AN145" s="141"/>
      <c r="AO145" s="141"/>
      <c r="AP145" s="141"/>
      <c r="AQ145" s="141"/>
      <c r="AR145" s="141"/>
      <c r="AS145" s="141"/>
      <c r="AT145" s="141"/>
      <c r="AU145" s="141"/>
      <c r="AV145" s="141"/>
      <c r="AW145" s="141"/>
    </row>
    <row r="146" spans="1:49" ht="45" customHeight="1">
      <c r="A146" s="153">
        <f t="shared" si="10"/>
        <v>143</v>
      </c>
      <c r="B146" s="153"/>
      <c r="C146" s="153"/>
      <c r="D146" s="28"/>
      <c r="E146" s="69"/>
      <c r="F146" s="39">
        <v>0</v>
      </c>
      <c r="G146" s="21"/>
      <c r="H146" s="21"/>
      <c r="I146" s="21"/>
      <c r="J146" s="141"/>
      <c r="K146" s="21"/>
      <c r="L146" s="69"/>
      <c r="M146" s="141"/>
      <c r="N146" s="59">
        <v>2.5</v>
      </c>
      <c r="O146" s="59"/>
      <c r="P146" s="105"/>
      <c r="Q146" s="105"/>
      <c r="R146" s="105"/>
      <c r="S146" s="90"/>
      <c r="T146" s="90"/>
      <c r="U146" s="93"/>
      <c r="V146" s="93"/>
      <c r="W146" s="93"/>
      <c r="X146" s="29">
        <v>0</v>
      </c>
      <c r="Y146" s="145">
        <v>0</v>
      </c>
      <c r="Z146" s="145">
        <v>0</v>
      </c>
      <c r="AA146" s="145">
        <v>0</v>
      </c>
      <c r="AB146" s="145">
        <v>0</v>
      </c>
      <c r="AC146" s="145">
        <v>0</v>
      </c>
      <c r="AD146" s="145">
        <v>0</v>
      </c>
      <c r="AE146" s="142">
        <f t="shared" si="11"/>
        <v>0</v>
      </c>
      <c r="AF146" s="141"/>
      <c r="AG146" s="67"/>
      <c r="AH146" s="67"/>
      <c r="AI146" s="24"/>
      <c r="AJ146" s="24"/>
      <c r="AK146" s="24"/>
      <c r="AL146" s="71"/>
      <c r="AM146" s="69"/>
      <c r="AN146" s="141"/>
      <c r="AO146" s="141"/>
      <c r="AP146" s="141"/>
      <c r="AQ146" s="141"/>
      <c r="AR146" s="141"/>
      <c r="AS146" s="141"/>
      <c r="AT146" s="141"/>
      <c r="AU146" s="141"/>
      <c r="AV146" s="141"/>
      <c r="AW146" s="141"/>
    </row>
    <row r="147" spans="1:49" ht="45" customHeight="1">
      <c r="A147" s="153">
        <f t="shared" si="10"/>
        <v>144</v>
      </c>
      <c r="B147" s="153"/>
      <c r="C147" s="153"/>
      <c r="D147" s="28"/>
      <c r="E147" s="69"/>
      <c r="F147" s="39">
        <v>0</v>
      </c>
      <c r="G147" s="25"/>
      <c r="H147" s="25"/>
      <c r="I147" s="25"/>
      <c r="J147" s="154"/>
      <c r="K147" s="25"/>
      <c r="L147" s="69"/>
      <c r="M147" s="141"/>
      <c r="N147" s="59">
        <v>3</v>
      </c>
      <c r="O147" s="59"/>
      <c r="P147" s="105"/>
      <c r="Q147" s="105"/>
      <c r="R147" s="105"/>
      <c r="S147" s="90"/>
      <c r="T147" s="90"/>
      <c r="U147" s="93"/>
      <c r="V147" s="94"/>
      <c r="W147" s="94"/>
      <c r="X147" s="29">
        <v>0</v>
      </c>
      <c r="Y147" s="145">
        <v>0</v>
      </c>
      <c r="Z147" s="145">
        <v>0</v>
      </c>
      <c r="AA147" s="145">
        <v>0</v>
      </c>
      <c r="AB147" s="145">
        <v>0</v>
      </c>
      <c r="AC147" s="145">
        <v>0</v>
      </c>
      <c r="AD147" s="145">
        <v>0</v>
      </c>
      <c r="AE147" s="142">
        <f t="shared" si="11"/>
        <v>0</v>
      </c>
      <c r="AF147" s="141"/>
      <c r="AG147" s="67"/>
      <c r="AH147" s="67"/>
      <c r="AI147" s="24"/>
      <c r="AJ147" s="24"/>
      <c r="AK147" s="24"/>
      <c r="AL147" s="71"/>
      <c r="AM147" s="69"/>
      <c r="AN147" s="141"/>
      <c r="AO147" s="141"/>
      <c r="AP147" s="141"/>
      <c r="AQ147" s="141"/>
      <c r="AR147" s="141"/>
      <c r="AS147" s="141"/>
      <c r="AT147" s="141"/>
      <c r="AU147" s="141"/>
      <c r="AV147" s="141"/>
      <c r="AW147" s="141"/>
    </row>
    <row r="148" spans="1:49" ht="45" customHeight="1">
      <c r="A148" s="153">
        <f t="shared" si="10"/>
        <v>145</v>
      </c>
      <c r="B148" s="153"/>
      <c r="C148" s="153"/>
      <c r="D148" s="28"/>
      <c r="E148" s="69"/>
      <c r="F148" s="39">
        <v>0</v>
      </c>
      <c r="G148" s="21"/>
      <c r="H148" s="21"/>
      <c r="I148" s="21"/>
      <c r="J148" s="141"/>
      <c r="K148" s="21"/>
      <c r="L148" s="69"/>
      <c r="M148" s="141"/>
      <c r="N148" s="59">
        <v>3.5</v>
      </c>
      <c r="O148" s="59"/>
      <c r="P148" s="105"/>
      <c r="Q148" s="105"/>
      <c r="R148" s="105"/>
      <c r="S148" s="90"/>
      <c r="T148" s="90"/>
      <c r="U148" s="93"/>
      <c r="V148" s="96"/>
      <c r="W148" s="96"/>
      <c r="X148" s="29">
        <v>0</v>
      </c>
      <c r="Y148" s="145">
        <v>0</v>
      </c>
      <c r="Z148" s="145">
        <v>0</v>
      </c>
      <c r="AA148" s="145">
        <v>0</v>
      </c>
      <c r="AB148" s="145">
        <v>0</v>
      </c>
      <c r="AC148" s="145">
        <v>0</v>
      </c>
      <c r="AD148" s="145">
        <v>0</v>
      </c>
      <c r="AE148" s="142">
        <f t="shared" si="11"/>
        <v>0</v>
      </c>
      <c r="AF148" s="141"/>
      <c r="AG148" s="67"/>
      <c r="AH148" s="67"/>
      <c r="AI148" s="24"/>
      <c r="AJ148" s="24"/>
      <c r="AK148" s="24"/>
      <c r="AL148" s="71"/>
      <c r="AM148" s="69"/>
      <c r="AN148" s="141"/>
      <c r="AO148" s="141"/>
      <c r="AP148" s="141"/>
      <c r="AQ148" s="141"/>
      <c r="AR148" s="141"/>
      <c r="AS148" s="141"/>
      <c r="AT148" s="141"/>
      <c r="AU148" s="141"/>
      <c r="AV148" s="141"/>
      <c r="AW148" s="141"/>
    </row>
    <row r="149" spans="1:49" ht="45" customHeight="1">
      <c r="A149" s="153">
        <f t="shared" si="10"/>
        <v>146</v>
      </c>
      <c r="B149" s="153"/>
      <c r="C149" s="153"/>
      <c r="D149" s="28"/>
      <c r="E149" s="69"/>
      <c r="F149" s="39">
        <v>0</v>
      </c>
      <c r="G149" s="21"/>
      <c r="H149" s="21"/>
      <c r="I149" s="21"/>
      <c r="J149" s="141"/>
      <c r="K149" s="21"/>
      <c r="L149" s="69"/>
      <c r="M149" s="141"/>
      <c r="N149" s="59">
        <v>4</v>
      </c>
      <c r="O149" s="59"/>
      <c r="P149" s="105"/>
      <c r="Q149" s="105"/>
      <c r="R149" s="105"/>
      <c r="S149" s="90"/>
      <c r="T149" s="90"/>
      <c r="U149" s="93"/>
      <c r="V149" s="96"/>
      <c r="W149" s="96"/>
      <c r="X149" s="29">
        <v>0</v>
      </c>
      <c r="Y149" s="145">
        <v>0</v>
      </c>
      <c r="Z149" s="145">
        <v>0</v>
      </c>
      <c r="AA149" s="145">
        <v>0</v>
      </c>
      <c r="AB149" s="145">
        <v>0</v>
      </c>
      <c r="AC149" s="145">
        <v>0</v>
      </c>
      <c r="AD149" s="145">
        <v>0</v>
      </c>
      <c r="AE149" s="142">
        <f t="shared" si="11"/>
        <v>0</v>
      </c>
      <c r="AF149" s="141"/>
      <c r="AG149" s="67"/>
      <c r="AH149" s="67"/>
      <c r="AI149" s="24"/>
      <c r="AJ149" s="24"/>
      <c r="AK149" s="24"/>
      <c r="AL149" s="71"/>
      <c r="AM149" s="69"/>
      <c r="AN149" s="141"/>
      <c r="AO149" s="141"/>
      <c r="AP149" s="141"/>
      <c r="AQ149" s="141"/>
      <c r="AR149" s="141"/>
      <c r="AS149" s="141"/>
      <c r="AT149" s="141"/>
      <c r="AU149" s="141"/>
      <c r="AV149" s="141"/>
      <c r="AW149" s="141"/>
    </row>
    <row r="150" spans="1:49" ht="45" customHeight="1">
      <c r="A150" s="153">
        <f t="shared" si="10"/>
        <v>147</v>
      </c>
      <c r="B150" s="153"/>
      <c r="C150" s="28"/>
      <c r="D150" s="28"/>
      <c r="E150" s="69"/>
      <c r="F150" s="39">
        <v>0</v>
      </c>
      <c r="G150" s="21"/>
      <c r="H150" s="21"/>
      <c r="I150" s="21"/>
      <c r="J150" s="141"/>
      <c r="K150" s="21"/>
      <c r="L150" s="69"/>
      <c r="M150" s="141"/>
      <c r="N150" s="59">
        <v>4.5</v>
      </c>
      <c r="O150" s="59"/>
      <c r="P150" s="105"/>
      <c r="Q150" s="105"/>
      <c r="R150" s="105"/>
      <c r="S150" s="92"/>
      <c r="T150" s="90"/>
      <c r="U150" s="93"/>
      <c r="V150" s="96"/>
      <c r="W150" s="96"/>
      <c r="X150" s="29">
        <v>0</v>
      </c>
      <c r="Y150" s="145">
        <v>0</v>
      </c>
      <c r="Z150" s="145">
        <v>0</v>
      </c>
      <c r="AA150" s="145">
        <v>0</v>
      </c>
      <c r="AB150" s="145">
        <v>0</v>
      </c>
      <c r="AC150" s="145">
        <v>0</v>
      </c>
      <c r="AD150" s="145">
        <v>0</v>
      </c>
      <c r="AE150" s="142">
        <f t="shared" si="11"/>
        <v>0</v>
      </c>
      <c r="AF150" s="141"/>
      <c r="AG150" s="67"/>
      <c r="AH150" s="67"/>
      <c r="AI150" s="24"/>
      <c r="AJ150" s="24"/>
      <c r="AK150" s="24"/>
      <c r="AL150" s="71"/>
      <c r="AM150" s="69"/>
      <c r="AN150" s="141"/>
      <c r="AO150" s="141"/>
      <c r="AP150" s="141"/>
      <c r="AQ150" s="141"/>
      <c r="AR150" s="141"/>
      <c r="AS150" s="141"/>
      <c r="AT150" s="141"/>
      <c r="AU150" s="141"/>
      <c r="AV150" s="141"/>
      <c r="AW150" s="141"/>
    </row>
    <row r="151" spans="1:49" ht="45" customHeight="1">
      <c r="A151" s="153">
        <f t="shared" si="10"/>
        <v>148</v>
      </c>
      <c r="B151" s="153"/>
      <c r="C151" s="140"/>
      <c r="D151" s="140"/>
      <c r="E151" s="69"/>
      <c r="F151" s="70">
        <v>0</v>
      </c>
      <c r="G151" s="21"/>
      <c r="H151" s="21"/>
      <c r="I151" s="21"/>
      <c r="J151" s="141"/>
      <c r="K151" s="21"/>
      <c r="L151" s="69"/>
      <c r="M151" s="141"/>
      <c r="N151" s="59">
        <v>5</v>
      </c>
      <c r="O151" s="59"/>
      <c r="P151" s="105"/>
      <c r="Q151" s="105"/>
      <c r="R151" s="105"/>
      <c r="S151" s="90"/>
      <c r="T151" s="91"/>
      <c r="U151" s="93"/>
      <c r="V151" s="96"/>
      <c r="W151" s="96"/>
      <c r="X151" s="29">
        <v>0</v>
      </c>
      <c r="Y151" s="145">
        <v>0</v>
      </c>
      <c r="Z151" s="145">
        <v>0</v>
      </c>
      <c r="AA151" s="145">
        <v>0</v>
      </c>
      <c r="AB151" s="145">
        <v>0</v>
      </c>
      <c r="AC151" s="145">
        <v>0</v>
      </c>
      <c r="AD151" s="145">
        <v>0</v>
      </c>
      <c r="AE151" s="142">
        <f t="shared" si="11"/>
        <v>0</v>
      </c>
      <c r="AF151" s="141"/>
      <c r="AG151" s="67"/>
      <c r="AH151" s="67"/>
      <c r="AI151" s="24"/>
      <c r="AJ151" s="24"/>
      <c r="AK151" s="24"/>
      <c r="AL151" s="71"/>
      <c r="AM151" s="69"/>
      <c r="AN151" s="141"/>
      <c r="AO151" s="141"/>
      <c r="AP151" s="141"/>
      <c r="AQ151" s="141"/>
      <c r="AR151" s="141"/>
      <c r="AS151" s="141"/>
      <c r="AT151" s="141"/>
      <c r="AU151" s="141"/>
      <c r="AV151" s="141"/>
      <c r="AW151" s="141"/>
    </row>
  </sheetData>
  <autoFilter ref="A3:AW151" xr:uid="{696602BA-561E-4DCB-9536-28EA9CF1990B}">
    <sortState xmlns:xlrd2="http://schemas.microsoft.com/office/spreadsheetml/2017/richdata2" ref="A4:AW151">
      <sortCondition ref="C3:C151"/>
    </sortState>
  </autoFilter>
  <mergeCells count="6">
    <mergeCell ref="E1:M2"/>
    <mergeCell ref="S1:W2"/>
    <mergeCell ref="AM1:AR1"/>
    <mergeCell ref="AS1:AW1"/>
    <mergeCell ref="Z2:AA2"/>
    <mergeCell ref="AB2:AD2"/>
  </mergeCells>
  <conditionalFormatting sqref="F4:F151">
    <cfRule type="iconSet" priority="7">
      <iconSet iconSet="5Rating">
        <cfvo type="percent" val="0"/>
        <cfvo type="percent" val="20"/>
        <cfvo type="percent" val="40"/>
        <cfvo type="percent" val="60"/>
        <cfvo type="percent" val="80"/>
      </iconSet>
    </cfRule>
  </conditionalFormatting>
  <conditionalFormatting sqref="N4:R151">
    <cfRule type="colorScale" priority="11">
      <colorScale>
        <cfvo type="min"/>
        <cfvo type="percentile" val="50"/>
        <cfvo type="max"/>
        <color rgb="FFF8696B"/>
        <color rgb="FFFFEB84"/>
        <color rgb="FF63BE7B"/>
      </colorScale>
    </cfRule>
  </conditionalFormatting>
  <conditionalFormatting sqref="P4:Q151">
    <cfRule type="containsText" dxfId="68" priority="2" operator="containsText" text="NON DÉFINI">
      <formula>NOT(ISERROR(SEARCH("NON DÉFINI",P4)))</formula>
    </cfRule>
    <cfRule type="containsText" dxfId="67" priority="3" operator="containsText" text="EXCELLENT">
      <formula>NOT(ISERROR(SEARCH("EXCELLENT",P4)))</formula>
    </cfRule>
    <cfRule type="containsText" dxfId="66" priority="4" operator="containsText" text="BON">
      <formula>NOT(ISERROR(SEARCH("BON",P4)))</formula>
    </cfRule>
    <cfRule type="containsText" dxfId="65" priority="5" operator="containsText" text="WARNING !">
      <formula>NOT(ISERROR(SEARCH("WARNING !",P4)))</formula>
    </cfRule>
    <cfRule type="containsText" dxfId="64" priority="6" operator="containsText" text="A AMÉLIORER">
      <formula>NOT(ISERROR(SEARCH("A AMÉLIORER",P4)))</formula>
    </cfRule>
  </conditionalFormatting>
  <conditionalFormatting sqref="S4:T151">
    <cfRule type="cellIs" dxfId="63" priority="8" operator="between">
      <formula>TODAY()</formula>
      <formula>TODAY()+7</formula>
    </cfRule>
    <cfRule type="cellIs" dxfId="62" priority="9" operator="greaterThanOrEqual">
      <formula>TODAY()+30</formula>
    </cfRule>
    <cfRule type="cellIs" dxfId="61" priority="10" operator="lessThan">
      <formula>TODAY()-30</formula>
    </cfRule>
  </conditionalFormatting>
  <conditionalFormatting sqref="X4:AE151">
    <cfRule type="colorScale" priority="12">
      <colorScale>
        <cfvo type="min"/>
        <cfvo type="percentile" val="50"/>
        <cfvo type="max"/>
        <color rgb="FF63BE7B"/>
        <color rgb="FFFFEB84"/>
        <color rgb="FFF8696B"/>
      </colorScale>
    </cfRule>
  </conditionalFormatting>
  <dataValidations count="1">
    <dataValidation allowBlank="1" showInputMessage="1" showErrorMessage="1" sqref="AF4:AH151 M4:M151" xr:uid="{66812664-F71B-451A-84D2-A1312F705CCF}"/>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33A5F5D4-515D-4C27-BD6D-1F0136F84FDB}">
          <x14:formula1>
            <xm:f>'Guide suivi GDP '!$E$34:$E$36</xm:f>
          </x14:formula1>
          <xm:sqref>C4:C151</xm:sqref>
        </x14:dataValidation>
        <x14:dataValidation type="list" showInputMessage="1" showErrorMessage="1" xr:uid="{FB037401-A879-4BFC-BBA2-20FD459B106D}">
          <x14:formula1>
            <xm:f>'Guide suivi GDP '!$E$31:$E$33</xm:f>
          </x14:formula1>
          <xm:sqref>B4:B151</xm:sqref>
        </x14:dataValidation>
        <x14:dataValidation type="list" allowBlank="1" showInputMessage="1" showErrorMessage="1" xr:uid="{9DB57D91-07AD-46D4-BA49-559A2C4D665C}">
          <x14:formula1>
            <xm:f>'Guide suivi GDP '!$E$20:$E$24</xm:f>
          </x14:formula1>
          <xm:sqref>K4:K151</xm:sqref>
        </x14:dataValidation>
        <x14:dataValidation type="list" allowBlank="1" showInputMessage="1" showErrorMessage="1" xr:uid="{CF4DE3BE-30A6-4D2B-BA80-3AD8D87CFD3B}">
          <x14:formula1>
            <xm:f>'Guide suivi GDP '!$E$3:$E$8</xm:f>
          </x14:formula1>
          <xm:sqref>J4:J151</xm:sqref>
        </x14:dataValidation>
        <x14:dataValidation type="list" showInputMessage="1" showErrorMessage="1" xr:uid="{E244F7F7-EA9E-4E95-A70B-F8A645E909A9}">
          <x14:formula1>
            <xm:f>'Guide suivi GDP '!$E$9:$E$13</xm:f>
          </x14:formula1>
          <xm:sqref>P4:Q146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29D9-9974-4D9E-83C9-76C81E984703}">
  <sheetPr filterMode="1">
    <tabColor rgb="FF92D050"/>
  </sheetPr>
  <dimension ref="A1:AW155"/>
  <sheetViews>
    <sheetView workbookViewId="0">
      <pane xSplit="4" ySplit="3" topLeftCell="E6" activePane="bottomRight" state="frozen"/>
      <selection pane="topRight"/>
      <selection pane="bottomLeft"/>
      <selection pane="bottomRight" activeCell="H14" sqref="H14"/>
    </sheetView>
  </sheetViews>
  <sheetFormatPr baseColWidth="10" defaultColWidth="9.140625" defaultRowHeight="12.75" outlineLevelCol="1"/>
  <cols>
    <col min="1" max="1" width="3.4257812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9" width="12.28515625" style="5" customWidth="1" outlineLevel="1"/>
    <col min="10" max="10" width="11.7109375" style="5" customWidth="1" outlineLevel="1"/>
    <col min="11" max="11" width="17.42578125" style="5" customWidth="1" outlineLevel="1"/>
    <col min="12" max="12" width="16.7109375" style="26" customWidth="1"/>
    <col min="13" max="13" width="12.28515625" style="26" customWidth="1"/>
    <col min="14" max="15" width="9.140625" style="26" hidden="1" customWidth="1"/>
    <col min="16" max="16" width="12.28515625" style="26" bestFit="1" customWidth="1"/>
    <col min="17" max="17" width="11.42578125" style="26" customWidth="1"/>
    <col min="18" max="18" width="9.140625" style="26" customWidth="1"/>
    <col min="19" max="19" width="13.5703125" style="26" customWidth="1"/>
    <col min="20" max="20" width="14.85546875" style="26" customWidth="1"/>
    <col min="21" max="21" width="33.7109375" style="98" customWidth="1"/>
    <col min="22" max="22" width="34.42578125" style="98" customWidth="1"/>
    <col min="23" max="23" width="39.28515625" style="98" customWidth="1"/>
    <col min="24" max="24" width="20" style="26" hidden="1" customWidth="1" outlineLevel="1" collapsed="1"/>
    <col min="25" max="25" width="17.7109375" style="26" hidden="1" customWidth="1" outlineLevel="1"/>
    <col min="26" max="26" width="13.28515625" style="26" hidden="1" customWidth="1" outlineLevel="1"/>
    <col min="27" max="27" width="11.140625" style="26" hidden="1" customWidth="1" outlineLevel="1"/>
    <col min="28" max="28" width="11.7109375" style="26" hidden="1" customWidth="1" outlineLevel="1"/>
    <col min="29" max="29" width="12.28515625" style="26" hidden="1" customWidth="1" outlineLevel="1"/>
    <col min="30" max="30" width="18" style="26" hidden="1" customWidth="1" outlineLevel="1"/>
    <col min="31" max="31" width="9.42578125" style="13" customWidth="1" collapsed="1"/>
    <col min="32" max="32" width="28.5703125" style="13" hidden="1" customWidth="1" outlineLevel="1"/>
    <col min="33" max="33" width="21.42578125" style="13" hidden="1" customWidth="1" outlineLevel="1"/>
    <col min="34" max="34" width="26.85546875" style="13" hidden="1" customWidth="1" outlineLevel="1"/>
    <col min="35" max="36" width="30" style="26" hidden="1" customWidth="1" outlineLevel="1"/>
    <col min="37" max="37" width="33.5703125" style="13" hidden="1" customWidth="1" outlineLevel="1"/>
    <col min="38" max="38" width="2" style="13" customWidth="1" collapsed="1"/>
    <col min="39" max="39" width="44.28515625" style="26" customWidth="1"/>
    <col min="40" max="40" width="10.85546875" style="74" customWidth="1" outlineLevel="1"/>
    <col min="41" max="41" width="13.85546875" style="13" customWidth="1" outlineLevel="1"/>
    <col min="42" max="42" width="9.85546875" style="13" customWidth="1" outlineLevel="1"/>
    <col min="43" max="43" width="8.7109375" style="13" customWidth="1" outlineLevel="1"/>
    <col min="44" max="44" width="23.28515625" style="13" customWidth="1" outlineLevel="1"/>
    <col min="45" max="45" width="9.5703125" style="13" customWidth="1" outlineLevel="1"/>
    <col min="46" max="46" width="9.28515625" style="13" customWidth="1" outlineLevel="1"/>
    <col min="47" max="49" width="9.140625" style="13" customWidth="1" outlineLevel="1"/>
    <col min="50" max="50" width="9.140625" style="13" customWidth="1"/>
    <col min="51" max="16384" width="9.140625" style="13"/>
  </cols>
  <sheetData>
    <row r="1" spans="1:49" s="78" customFormat="1" ht="94.5">
      <c r="B1" s="88" t="s">
        <v>884</v>
      </c>
      <c r="C1" s="99"/>
      <c r="D1" s="88" t="s">
        <v>718</v>
      </c>
      <c r="E1" s="210" t="s">
        <v>720</v>
      </c>
      <c r="F1" s="211"/>
      <c r="G1" s="211"/>
      <c r="H1" s="211"/>
      <c r="I1" s="211"/>
      <c r="J1" s="211"/>
      <c r="K1" s="211"/>
      <c r="L1" s="211"/>
      <c r="M1" s="211"/>
      <c r="N1" s="82" t="s">
        <v>870</v>
      </c>
      <c r="O1" s="82" t="s">
        <v>870</v>
      </c>
      <c r="P1" s="112" t="s">
        <v>871</v>
      </c>
      <c r="Q1" s="112" t="s">
        <v>872</v>
      </c>
      <c r="R1" s="82"/>
      <c r="S1" s="204" t="s">
        <v>719</v>
      </c>
      <c r="T1" s="204"/>
      <c r="U1" s="204"/>
      <c r="V1" s="204"/>
      <c r="W1" s="205"/>
      <c r="X1" s="79" t="s">
        <v>721</v>
      </c>
      <c r="Y1" s="80"/>
      <c r="Z1" s="80"/>
      <c r="AA1" s="80"/>
      <c r="AB1" s="80"/>
      <c r="AC1" s="80"/>
      <c r="AD1" s="80"/>
      <c r="AE1" s="80"/>
      <c r="AF1" s="77" t="s">
        <v>721</v>
      </c>
      <c r="AG1" s="81"/>
      <c r="AH1" s="81"/>
      <c r="AI1" s="81"/>
      <c r="AJ1" s="81"/>
      <c r="AK1" s="81"/>
      <c r="AM1" s="207" t="s">
        <v>722</v>
      </c>
      <c r="AN1" s="207"/>
      <c r="AO1" s="207"/>
      <c r="AP1" s="207"/>
      <c r="AQ1" s="207"/>
      <c r="AR1" s="208"/>
      <c r="AS1" s="206" t="s">
        <v>723</v>
      </c>
      <c r="AT1" s="206"/>
      <c r="AU1" s="206"/>
      <c r="AV1" s="206"/>
      <c r="AW1" s="206"/>
    </row>
    <row r="2" spans="1:49" s="78" customFormat="1" ht="18">
      <c r="A2" s="82"/>
      <c r="B2" s="82"/>
      <c r="C2" s="82"/>
      <c r="D2" s="87">
        <f>SUBTOTAL(3,D4:D155)</f>
        <v>9</v>
      </c>
      <c r="E2" s="212"/>
      <c r="F2" s="213"/>
      <c r="G2" s="213"/>
      <c r="H2" s="213"/>
      <c r="I2" s="213"/>
      <c r="J2" s="213"/>
      <c r="K2" s="213"/>
      <c r="L2" s="213"/>
      <c r="M2" s="213"/>
      <c r="N2" s="109">
        <f>SUBTOTAL(1,N4:N144)</f>
        <v>2.7142857142857144</v>
      </c>
      <c r="O2" s="109">
        <f>SUBTOTAL(1,O4:O144)</f>
        <v>3.4285714285714284</v>
      </c>
      <c r="P2" s="111"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60</v>
      </c>
      <c r="Q2" s="111"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20</v>
      </c>
      <c r="R2" s="104"/>
      <c r="S2" s="204"/>
      <c r="T2" s="204"/>
      <c r="U2" s="204"/>
      <c r="V2" s="204"/>
      <c r="W2" s="205"/>
      <c r="X2" s="156" t="s">
        <v>68</v>
      </c>
      <c r="Y2" s="156" t="s">
        <v>69</v>
      </c>
      <c r="Z2" s="209" t="s">
        <v>71</v>
      </c>
      <c r="AA2" s="209"/>
      <c r="AB2" s="209" t="s">
        <v>76</v>
      </c>
      <c r="AC2" s="209"/>
      <c r="AD2" s="209"/>
      <c r="AE2" s="84">
        <f>SUBTOTAL(1,AE4:AE34)</f>
        <v>0</v>
      </c>
      <c r="AF2" s="81"/>
      <c r="AG2" s="81"/>
      <c r="AH2" s="81"/>
      <c r="AI2" s="81"/>
      <c r="AJ2" s="81"/>
      <c r="AK2" s="81"/>
      <c r="AM2" s="85"/>
      <c r="AN2" s="76">
        <f t="shared" ref="AN2" si="0">SUBTOTAL(9,AN4:AN497)</f>
        <v>15</v>
      </c>
      <c r="AO2" s="75"/>
      <c r="AP2" s="76">
        <f>SUBTOTAL(9,AP4:AP497)</f>
        <v>185</v>
      </c>
      <c r="AQ2" s="76">
        <f>SUBTOTAL(9,AQ4:AQ497)</f>
        <v>170</v>
      </c>
      <c r="AR2" s="75"/>
      <c r="AS2" s="89">
        <f>SUBTOTAL(3,AS4:AS497)</f>
        <v>6</v>
      </c>
      <c r="AT2" s="89">
        <f t="shared" ref="AT2:AW2" si="1">SUBTOTAL(3,AT4:AT497)</f>
        <v>8</v>
      </c>
      <c r="AU2" s="89">
        <f t="shared" si="1"/>
        <v>4</v>
      </c>
      <c r="AV2" s="89">
        <f t="shared" si="1"/>
        <v>3</v>
      </c>
      <c r="AW2" s="89">
        <f t="shared" si="1"/>
        <v>2</v>
      </c>
    </row>
    <row r="3" spans="1:49" ht="63.75">
      <c r="A3" s="72">
        <v>0</v>
      </c>
      <c r="B3" s="72" t="s">
        <v>873</v>
      </c>
      <c r="C3" s="72" t="s">
        <v>598</v>
      </c>
      <c r="D3" s="72" t="s">
        <v>85</v>
      </c>
      <c r="E3" s="73" t="s">
        <v>730</v>
      </c>
      <c r="F3" s="73" t="s">
        <v>229</v>
      </c>
      <c r="G3" s="73" t="s">
        <v>86</v>
      </c>
      <c r="H3" s="73" t="s">
        <v>731</v>
      </c>
      <c r="I3" s="73" t="s">
        <v>874</v>
      </c>
      <c r="J3" s="73" t="s">
        <v>732</v>
      </c>
      <c r="K3" s="73" t="s">
        <v>88</v>
      </c>
      <c r="L3" s="73" t="s">
        <v>729</v>
      </c>
      <c r="M3" s="108" t="s">
        <v>734</v>
      </c>
      <c r="N3" s="107" t="s">
        <v>726</v>
      </c>
      <c r="O3" s="107" t="s">
        <v>727</v>
      </c>
      <c r="P3" s="107" t="s">
        <v>600</v>
      </c>
      <c r="Q3" s="107" t="s">
        <v>875</v>
      </c>
      <c r="R3" s="107" t="s">
        <v>876</v>
      </c>
      <c r="S3" s="72" t="s">
        <v>728</v>
      </c>
      <c r="T3" s="72" t="s">
        <v>601</v>
      </c>
      <c r="U3" s="97" t="s">
        <v>602</v>
      </c>
      <c r="V3" s="97" t="s">
        <v>603</v>
      </c>
      <c r="W3" s="97" t="s">
        <v>604</v>
      </c>
      <c r="X3" s="73" t="s">
        <v>90</v>
      </c>
      <c r="Y3" s="73" t="s">
        <v>91</v>
      </c>
      <c r="Z3" s="73" t="s">
        <v>92</v>
      </c>
      <c r="AA3" s="73" t="s">
        <v>93</v>
      </c>
      <c r="AB3" s="73" t="s">
        <v>94</v>
      </c>
      <c r="AC3" s="73" t="s">
        <v>95</v>
      </c>
      <c r="AD3" s="73" t="s">
        <v>96</v>
      </c>
      <c r="AE3" s="73" t="s">
        <v>80</v>
      </c>
      <c r="AF3" s="72" t="s">
        <v>735</v>
      </c>
      <c r="AG3" s="72" t="s">
        <v>736</v>
      </c>
      <c r="AH3" s="72" t="s">
        <v>737</v>
      </c>
      <c r="AI3" s="72" t="s">
        <v>738</v>
      </c>
      <c r="AJ3" s="72" t="s">
        <v>739</v>
      </c>
      <c r="AK3" s="72" t="s">
        <v>740</v>
      </c>
      <c r="AL3" s="72"/>
      <c r="AM3" s="72" t="s">
        <v>741</v>
      </c>
      <c r="AN3" s="102" t="s">
        <v>742</v>
      </c>
      <c r="AO3" s="72" t="s">
        <v>743</v>
      </c>
      <c r="AP3" s="103" t="s">
        <v>744</v>
      </c>
      <c r="AQ3" s="103" t="s">
        <v>745</v>
      </c>
      <c r="AR3" s="72" t="s">
        <v>746</v>
      </c>
      <c r="AS3" s="102" t="s">
        <v>85</v>
      </c>
      <c r="AT3" s="102" t="s">
        <v>747</v>
      </c>
      <c r="AU3" s="102" t="s">
        <v>748</v>
      </c>
      <c r="AV3" s="102" t="s">
        <v>749</v>
      </c>
      <c r="AW3" s="102" t="s">
        <v>750</v>
      </c>
    </row>
    <row r="4" spans="1:49" ht="45" hidden="1" customHeight="1">
      <c r="A4" s="153">
        <f>A3+1</f>
        <v>1</v>
      </c>
      <c r="B4" s="153" t="s">
        <v>57</v>
      </c>
      <c r="C4" s="153" t="s">
        <v>61</v>
      </c>
      <c r="D4" s="153" t="s">
        <v>653</v>
      </c>
      <c r="E4" s="69" t="s">
        <v>752</v>
      </c>
      <c r="F4" s="39">
        <v>2</v>
      </c>
      <c r="G4" s="141" t="s">
        <v>753</v>
      </c>
      <c r="H4" s="141" t="s">
        <v>754</v>
      </c>
      <c r="I4" s="141"/>
      <c r="J4" s="141" t="s">
        <v>26</v>
      </c>
      <c r="K4" s="141" t="s">
        <v>48</v>
      </c>
      <c r="L4" s="69"/>
      <c r="M4" s="141"/>
      <c r="N4" s="59">
        <v>4.5</v>
      </c>
      <c r="O4" s="59">
        <v>4.5</v>
      </c>
      <c r="P4" s="105" t="s">
        <v>34</v>
      </c>
      <c r="Q4" s="105" t="s">
        <v>34</v>
      </c>
      <c r="R4" s="105"/>
      <c r="S4" s="90">
        <v>45952</v>
      </c>
      <c r="T4" s="90">
        <v>45959</v>
      </c>
      <c r="U4" s="93" t="s">
        <v>654</v>
      </c>
      <c r="V4" s="94"/>
      <c r="W4" s="94"/>
      <c r="X4" s="29">
        <v>0</v>
      </c>
      <c r="Y4" s="145">
        <v>0</v>
      </c>
      <c r="Z4" s="145">
        <v>0</v>
      </c>
      <c r="AA4" s="145">
        <v>0</v>
      </c>
      <c r="AB4" s="145">
        <v>0</v>
      </c>
      <c r="AC4" s="145">
        <v>0</v>
      </c>
      <c r="AD4" s="145">
        <v>0</v>
      </c>
      <c r="AE4" s="142">
        <f t="shared" ref="AE4:AE15" si="2">AVERAGE(X4:AD4)</f>
        <v>0</v>
      </c>
      <c r="AF4" s="141"/>
      <c r="AG4" s="67"/>
      <c r="AH4" s="67"/>
      <c r="AI4" s="24"/>
      <c r="AJ4" s="24"/>
      <c r="AK4" s="24"/>
      <c r="AL4" s="71"/>
      <c r="AM4" s="69" t="s">
        <v>755</v>
      </c>
      <c r="AN4" s="141">
        <v>5</v>
      </c>
      <c r="AO4" s="141" t="s">
        <v>756</v>
      </c>
      <c r="AP4" s="141"/>
      <c r="AQ4" s="141"/>
      <c r="AR4" s="141"/>
      <c r="AS4" s="141"/>
      <c r="AT4" s="141" t="s">
        <v>757</v>
      </c>
      <c r="AU4" s="141"/>
      <c r="AV4" s="141"/>
      <c r="AW4" s="141"/>
    </row>
    <row r="5" spans="1:49" ht="45" hidden="1" customHeight="1">
      <c r="A5" s="153">
        <f t="shared" ref="A5:A6" si="3">A4+1</f>
        <v>2</v>
      </c>
      <c r="B5" s="153" t="s">
        <v>57</v>
      </c>
      <c r="C5" s="153" t="s">
        <v>61</v>
      </c>
      <c r="D5" s="28" t="s">
        <v>708</v>
      </c>
      <c r="E5" s="69" t="s">
        <v>758</v>
      </c>
      <c r="F5" s="39">
        <v>2</v>
      </c>
      <c r="G5" s="141" t="s">
        <v>753</v>
      </c>
      <c r="H5" s="141" t="s">
        <v>759</v>
      </c>
      <c r="I5" s="141"/>
      <c r="J5" s="141" t="s">
        <v>26</v>
      </c>
      <c r="K5" s="21"/>
      <c r="L5" s="69"/>
      <c r="M5" s="141"/>
      <c r="N5" s="60">
        <v>2.5</v>
      </c>
      <c r="O5" s="60">
        <v>5</v>
      </c>
      <c r="P5" s="105" t="s">
        <v>33</v>
      </c>
      <c r="Q5" s="105" t="s">
        <v>33</v>
      </c>
      <c r="R5" s="106"/>
      <c r="S5" s="90">
        <v>45950</v>
      </c>
      <c r="T5" s="90">
        <v>45953</v>
      </c>
      <c r="U5" s="93" t="s">
        <v>709</v>
      </c>
      <c r="V5" s="95" t="s">
        <v>710</v>
      </c>
      <c r="W5" s="95"/>
      <c r="X5" s="29">
        <v>0</v>
      </c>
      <c r="Y5" s="145">
        <v>0</v>
      </c>
      <c r="Z5" s="145">
        <v>0</v>
      </c>
      <c r="AA5" s="145">
        <v>0</v>
      </c>
      <c r="AB5" s="145">
        <v>0</v>
      </c>
      <c r="AC5" s="145">
        <v>0</v>
      </c>
      <c r="AD5" s="145">
        <v>0</v>
      </c>
      <c r="AE5" s="142">
        <f t="shared" si="2"/>
        <v>0</v>
      </c>
      <c r="AF5" s="141"/>
      <c r="AG5" s="67"/>
      <c r="AH5" s="67"/>
      <c r="AI5" s="24"/>
      <c r="AJ5" s="24"/>
      <c r="AK5" s="24"/>
      <c r="AL5" s="71"/>
      <c r="AM5" s="69" t="s">
        <v>760</v>
      </c>
      <c r="AN5" s="141">
        <v>5</v>
      </c>
      <c r="AO5" s="141" t="s">
        <v>761</v>
      </c>
      <c r="AP5" s="141"/>
      <c r="AQ5" s="141"/>
      <c r="AR5" s="141"/>
      <c r="AS5" s="141" t="s">
        <v>757</v>
      </c>
      <c r="AT5" s="141" t="s">
        <v>757</v>
      </c>
      <c r="AU5" s="141" t="s">
        <v>757</v>
      </c>
      <c r="AV5" s="141"/>
      <c r="AW5" s="141"/>
    </row>
    <row r="6" spans="1:49" ht="45" customHeight="1">
      <c r="A6" s="153">
        <f t="shared" si="3"/>
        <v>3</v>
      </c>
      <c r="B6" s="153" t="s">
        <v>57</v>
      </c>
      <c r="C6" s="153" t="s">
        <v>61</v>
      </c>
      <c r="D6" s="28" t="s">
        <v>670</v>
      </c>
      <c r="E6" s="69" t="s">
        <v>763</v>
      </c>
      <c r="F6" s="39">
        <v>2</v>
      </c>
      <c r="G6" s="141" t="s">
        <v>764</v>
      </c>
      <c r="H6" s="141" t="s">
        <v>765</v>
      </c>
      <c r="I6" s="141"/>
      <c r="J6" s="141" t="s">
        <v>22</v>
      </c>
      <c r="K6" s="141"/>
      <c r="L6" s="69"/>
      <c r="M6" s="141"/>
      <c r="N6" s="59">
        <v>1</v>
      </c>
      <c r="O6" s="59">
        <v>4</v>
      </c>
      <c r="P6" s="105" t="s">
        <v>34</v>
      </c>
      <c r="Q6" s="105" t="s">
        <v>34</v>
      </c>
      <c r="R6" s="105"/>
      <c r="S6" s="90"/>
      <c r="T6" s="90"/>
      <c r="U6" s="93"/>
      <c r="V6" s="96"/>
      <c r="W6" s="96"/>
      <c r="X6" s="29">
        <v>0</v>
      </c>
      <c r="Y6" s="145">
        <v>0</v>
      </c>
      <c r="Z6" s="145">
        <v>0</v>
      </c>
      <c r="AA6" s="145">
        <v>0</v>
      </c>
      <c r="AB6" s="145">
        <v>0</v>
      </c>
      <c r="AC6" s="145">
        <v>0</v>
      </c>
      <c r="AD6" s="145">
        <v>0</v>
      </c>
      <c r="AE6" s="142">
        <f t="shared" si="2"/>
        <v>0</v>
      </c>
      <c r="AF6" s="141"/>
      <c r="AG6" s="67"/>
      <c r="AH6" s="67"/>
      <c r="AI6" s="24"/>
      <c r="AJ6" s="24"/>
      <c r="AK6" s="24"/>
      <c r="AL6" s="71"/>
      <c r="AM6" s="69" t="s">
        <v>766</v>
      </c>
      <c r="AN6" s="141">
        <v>5</v>
      </c>
      <c r="AO6" s="141" t="s">
        <v>756</v>
      </c>
      <c r="AP6" s="141"/>
      <c r="AQ6" s="141"/>
      <c r="AR6" s="141"/>
      <c r="AS6" s="141" t="s">
        <v>757</v>
      </c>
      <c r="AT6" s="141" t="s">
        <v>757</v>
      </c>
      <c r="AU6" s="141"/>
      <c r="AV6" s="141"/>
      <c r="AW6" s="141"/>
    </row>
    <row r="7" spans="1:49" ht="45" hidden="1" customHeight="1">
      <c r="A7" s="153">
        <f t="shared" ref="A7:A48" si="4">A6+1</f>
        <v>4</v>
      </c>
      <c r="B7" s="153" t="s">
        <v>57</v>
      </c>
      <c r="C7" s="153" t="s">
        <v>65</v>
      </c>
      <c r="D7" s="28" t="s">
        <v>665</v>
      </c>
      <c r="E7" s="69"/>
      <c r="F7" s="39">
        <v>1</v>
      </c>
      <c r="G7" s="141" t="s">
        <v>123</v>
      </c>
      <c r="H7" s="141" t="s">
        <v>797</v>
      </c>
      <c r="I7" s="141"/>
      <c r="J7" s="141" t="s">
        <v>14</v>
      </c>
      <c r="K7" s="141" t="s">
        <v>48</v>
      </c>
      <c r="L7" s="69"/>
      <c r="M7" s="141"/>
      <c r="N7" s="59">
        <v>0</v>
      </c>
      <c r="O7" s="59">
        <v>0</v>
      </c>
      <c r="P7" s="105" t="s">
        <v>31</v>
      </c>
      <c r="Q7" s="105" t="s">
        <v>31</v>
      </c>
      <c r="R7" s="105" t="s">
        <v>877</v>
      </c>
      <c r="S7" s="90">
        <v>45952</v>
      </c>
      <c r="T7" s="90">
        <v>45954</v>
      </c>
      <c r="U7" s="93" t="s">
        <v>885</v>
      </c>
      <c r="V7" s="96" t="s">
        <v>878</v>
      </c>
      <c r="W7" s="96" t="s">
        <v>886</v>
      </c>
      <c r="X7" s="29">
        <v>0</v>
      </c>
      <c r="Y7" s="145">
        <v>0</v>
      </c>
      <c r="Z7" s="145">
        <v>0</v>
      </c>
      <c r="AA7" s="145">
        <v>0</v>
      </c>
      <c r="AB7" s="145">
        <v>0</v>
      </c>
      <c r="AC7" s="145">
        <v>0</v>
      </c>
      <c r="AD7" s="145">
        <v>0</v>
      </c>
      <c r="AE7" s="142">
        <f t="shared" si="2"/>
        <v>0</v>
      </c>
      <c r="AF7" s="141"/>
      <c r="AG7" s="67"/>
      <c r="AH7" s="67"/>
      <c r="AI7" s="24"/>
      <c r="AJ7" s="24"/>
      <c r="AK7" s="24"/>
      <c r="AL7" s="71"/>
      <c r="AM7" s="69" t="s">
        <v>814</v>
      </c>
      <c r="AN7" s="141">
        <v>70</v>
      </c>
      <c r="AO7" s="141" t="s">
        <v>812</v>
      </c>
      <c r="AP7" s="141"/>
      <c r="AQ7" s="141"/>
      <c r="AR7" s="141"/>
      <c r="AS7" s="141" t="s">
        <v>757</v>
      </c>
      <c r="AT7" s="141" t="s">
        <v>757</v>
      </c>
      <c r="AU7" s="141"/>
      <c r="AV7" s="141" t="s">
        <v>757</v>
      </c>
      <c r="AW7" s="141" t="s">
        <v>757</v>
      </c>
    </row>
    <row r="8" spans="1:49" ht="45" hidden="1" customHeight="1">
      <c r="A8" s="153">
        <f t="shared" si="4"/>
        <v>5</v>
      </c>
      <c r="B8" s="153" t="s">
        <v>57</v>
      </c>
      <c r="C8" s="153" t="s">
        <v>61</v>
      </c>
      <c r="D8" s="28" t="s">
        <v>611</v>
      </c>
      <c r="E8" s="69" t="s">
        <v>772</v>
      </c>
      <c r="F8" s="39">
        <v>2</v>
      </c>
      <c r="G8" s="141" t="s">
        <v>753</v>
      </c>
      <c r="H8" s="141" t="s">
        <v>770</v>
      </c>
      <c r="I8" s="141"/>
      <c r="J8" s="141" t="s">
        <v>26</v>
      </c>
      <c r="K8" s="141"/>
      <c r="L8" s="69"/>
      <c r="M8" s="141"/>
      <c r="N8" s="59">
        <v>4.5</v>
      </c>
      <c r="O8" s="59">
        <v>4.5</v>
      </c>
      <c r="P8" s="105" t="s">
        <v>34</v>
      </c>
      <c r="Q8" s="105" t="s">
        <v>34</v>
      </c>
      <c r="R8" s="105"/>
      <c r="S8" s="90">
        <v>45909</v>
      </c>
      <c r="T8" s="90">
        <v>45965</v>
      </c>
      <c r="U8" s="93" t="s">
        <v>612</v>
      </c>
      <c r="V8" s="96" t="s">
        <v>613</v>
      </c>
      <c r="W8" s="96" t="s">
        <v>614</v>
      </c>
      <c r="X8" s="29">
        <v>0</v>
      </c>
      <c r="Y8" s="145">
        <v>0</v>
      </c>
      <c r="Z8" s="145">
        <v>0</v>
      </c>
      <c r="AA8" s="145">
        <v>0</v>
      </c>
      <c r="AB8" s="145">
        <v>0</v>
      </c>
      <c r="AC8" s="145">
        <v>0</v>
      </c>
      <c r="AD8" s="145">
        <v>0</v>
      </c>
      <c r="AE8" s="142">
        <f t="shared" si="2"/>
        <v>0</v>
      </c>
      <c r="AF8" s="141"/>
      <c r="AG8" s="67"/>
      <c r="AH8" s="67"/>
      <c r="AI8" s="24"/>
      <c r="AJ8" s="24"/>
      <c r="AK8" s="24"/>
      <c r="AL8" s="71"/>
      <c r="AM8" s="69" t="s">
        <v>773</v>
      </c>
      <c r="AN8" s="141">
        <v>2</v>
      </c>
      <c r="AO8" s="141" t="s">
        <v>756</v>
      </c>
      <c r="AP8" s="141"/>
      <c r="AQ8" s="141"/>
      <c r="AR8" s="141"/>
      <c r="AS8" s="141" t="s">
        <v>757</v>
      </c>
      <c r="AT8" s="141" t="s">
        <v>757</v>
      </c>
      <c r="AU8" s="141"/>
      <c r="AV8" s="141"/>
      <c r="AW8" s="141" t="s">
        <v>757</v>
      </c>
    </row>
    <row r="9" spans="1:49" ht="45" customHeight="1">
      <c r="A9" s="153">
        <f t="shared" si="4"/>
        <v>6</v>
      </c>
      <c r="B9" s="153" t="s">
        <v>57</v>
      </c>
      <c r="C9" s="153" t="s">
        <v>61</v>
      </c>
      <c r="D9" s="28" t="s">
        <v>693</v>
      </c>
      <c r="E9" s="69" t="s">
        <v>775</v>
      </c>
      <c r="F9" s="39">
        <v>2</v>
      </c>
      <c r="G9" s="141" t="s">
        <v>764</v>
      </c>
      <c r="H9" s="141" t="s">
        <v>770</v>
      </c>
      <c r="I9" s="141"/>
      <c r="J9" s="141" t="s">
        <v>26</v>
      </c>
      <c r="K9" s="141"/>
      <c r="L9" s="69"/>
      <c r="M9" s="141"/>
      <c r="N9" s="59">
        <v>3</v>
      </c>
      <c r="O9" s="59">
        <v>4</v>
      </c>
      <c r="P9" s="105" t="s">
        <v>33</v>
      </c>
      <c r="Q9" s="105" t="s">
        <v>33</v>
      </c>
      <c r="R9" s="105"/>
      <c r="S9" s="90">
        <v>45939</v>
      </c>
      <c r="T9" s="90">
        <v>45954</v>
      </c>
      <c r="U9" s="93" t="s">
        <v>694</v>
      </c>
      <c r="V9" s="96" t="s">
        <v>695</v>
      </c>
      <c r="W9" s="96"/>
      <c r="X9" s="29">
        <v>0</v>
      </c>
      <c r="Y9" s="145">
        <v>0</v>
      </c>
      <c r="Z9" s="145">
        <v>0</v>
      </c>
      <c r="AA9" s="145">
        <v>0</v>
      </c>
      <c r="AB9" s="145">
        <v>0</v>
      </c>
      <c r="AC9" s="145">
        <v>0</v>
      </c>
      <c r="AD9" s="145">
        <v>0</v>
      </c>
      <c r="AE9" s="142">
        <f t="shared" si="2"/>
        <v>0</v>
      </c>
      <c r="AF9" s="141"/>
      <c r="AG9" s="67"/>
      <c r="AH9" s="67"/>
      <c r="AI9" s="24"/>
      <c r="AJ9" s="24"/>
      <c r="AK9" s="24"/>
      <c r="AL9" s="71"/>
      <c r="AM9" s="69" t="s">
        <v>776</v>
      </c>
      <c r="AN9" s="141">
        <v>5</v>
      </c>
      <c r="AO9" s="141" t="s">
        <v>761</v>
      </c>
      <c r="AP9" s="141"/>
      <c r="AQ9" s="141"/>
      <c r="AR9" s="141"/>
      <c r="AS9" s="141" t="s">
        <v>757</v>
      </c>
      <c r="AT9" s="141" t="s">
        <v>757</v>
      </c>
      <c r="AU9" s="141"/>
      <c r="AV9" s="141"/>
      <c r="AW9" s="141" t="s">
        <v>757</v>
      </c>
    </row>
    <row r="10" spans="1:49" ht="45" hidden="1" customHeight="1">
      <c r="A10" s="153">
        <f t="shared" si="4"/>
        <v>7</v>
      </c>
      <c r="B10" s="153" t="s">
        <v>57</v>
      </c>
      <c r="C10" s="153" t="s">
        <v>65</v>
      </c>
      <c r="D10" s="28" t="s">
        <v>125</v>
      </c>
      <c r="E10" s="69"/>
      <c r="F10" s="39">
        <v>3</v>
      </c>
      <c r="G10" s="141" t="s">
        <v>123</v>
      </c>
      <c r="H10" s="141" t="s">
        <v>797</v>
      </c>
      <c r="I10" s="141"/>
      <c r="J10" s="141" t="s">
        <v>26</v>
      </c>
      <c r="K10" s="141"/>
      <c r="L10" s="69"/>
      <c r="M10" s="141"/>
      <c r="N10" s="59">
        <v>0</v>
      </c>
      <c r="O10" s="59">
        <v>0</v>
      </c>
      <c r="P10" s="105" t="s">
        <v>31</v>
      </c>
      <c r="Q10" s="105" t="s">
        <v>31</v>
      </c>
      <c r="R10" s="105"/>
      <c r="S10" s="90">
        <v>45944</v>
      </c>
      <c r="T10" s="90">
        <v>45951</v>
      </c>
      <c r="U10" s="93" t="s">
        <v>636</v>
      </c>
      <c r="V10" s="96" t="s">
        <v>637</v>
      </c>
      <c r="W10" s="121" t="s">
        <v>887</v>
      </c>
      <c r="X10" s="29">
        <v>0</v>
      </c>
      <c r="Y10" s="145">
        <v>0</v>
      </c>
      <c r="Z10" s="145">
        <v>0</v>
      </c>
      <c r="AA10" s="145">
        <v>0</v>
      </c>
      <c r="AB10" s="145">
        <v>0</v>
      </c>
      <c r="AC10" s="145">
        <v>0</v>
      </c>
      <c r="AD10" s="145">
        <v>0</v>
      </c>
      <c r="AE10" s="142">
        <f t="shared" si="2"/>
        <v>0</v>
      </c>
      <c r="AF10" s="141"/>
      <c r="AG10" s="67"/>
      <c r="AH10" s="67"/>
      <c r="AI10" s="24"/>
      <c r="AJ10" s="24"/>
      <c r="AK10" s="24"/>
      <c r="AL10" s="71"/>
      <c r="AM10" s="69" t="s">
        <v>819</v>
      </c>
      <c r="AN10" s="141">
        <v>2</v>
      </c>
      <c r="AO10" s="141" t="s">
        <v>761</v>
      </c>
      <c r="AP10" s="141"/>
      <c r="AQ10" s="141"/>
      <c r="AR10" s="141"/>
      <c r="AS10" s="141"/>
      <c r="AT10" s="141" t="s">
        <v>757</v>
      </c>
      <c r="AU10" s="141"/>
      <c r="AV10" s="141"/>
      <c r="AW10" s="141" t="s">
        <v>757</v>
      </c>
    </row>
    <row r="11" spans="1:49" ht="45" customHeight="1">
      <c r="A11" s="153">
        <f t="shared" si="4"/>
        <v>8</v>
      </c>
      <c r="B11" s="153" t="s">
        <v>57</v>
      </c>
      <c r="C11" s="153" t="s">
        <v>61</v>
      </c>
      <c r="D11" s="28" t="s">
        <v>615</v>
      </c>
      <c r="E11" s="69" t="s">
        <v>780</v>
      </c>
      <c r="F11" s="39">
        <v>3</v>
      </c>
      <c r="G11" s="141" t="s">
        <v>764</v>
      </c>
      <c r="H11" s="141" t="s">
        <v>770</v>
      </c>
      <c r="I11" s="141"/>
      <c r="J11" s="141" t="s">
        <v>14</v>
      </c>
      <c r="K11" s="141"/>
      <c r="L11" s="69"/>
      <c r="M11" s="141"/>
      <c r="N11" s="59">
        <v>5</v>
      </c>
      <c r="O11" s="59">
        <v>5</v>
      </c>
      <c r="P11" s="105" t="s">
        <v>34</v>
      </c>
      <c r="Q11" s="105" t="s">
        <v>34</v>
      </c>
      <c r="R11" s="105"/>
      <c r="S11" s="90">
        <v>45933</v>
      </c>
      <c r="T11" s="90">
        <v>45954</v>
      </c>
      <c r="U11" s="93" t="s">
        <v>888</v>
      </c>
      <c r="V11" s="96"/>
      <c r="W11" s="96"/>
      <c r="X11" s="29">
        <v>0</v>
      </c>
      <c r="Y11" s="145">
        <v>0</v>
      </c>
      <c r="Z11" s="145">
        <v>0</v>
      </c>
      <c r="AA11" s="145">
        <v>0</v>
      </c>
      <c r="AB11" s="145">
        <v>0</v>
      </c>
      <c r="AC11" s="145">
        <v>0</v>
      </c>
      <c r="AD11" s="145">
        <v>0</v>
      </c>
      <c r="AE11" s="142">
        <f t="shared" si="2"/>
        <v>0</v>
      </c>
      <c r="AF11" s="141"/>
      <c r="AG11" s="67"/>
      <c r="AH11" s="67"/>
      <c r="AI11" s="24"/>
      <c r="AJ11" s="24"/>
      <c r="AK11" s="24"/>
      <c r="AL11" s="71"/>
      <c r="AM11" s="69" t="s">
        <v>781</v>
      </c>
      <c r="AN11" s="141"/>
      <c r="AO11" s="141"/>
      <c r="AP11" s="141">
        <v>150</v>
      </c>
      <c r="AQ11" s="141"/>
      <c r="AR11" s="141"/>
      <c r="AS11" s="141"/>
      <c r="AT11" s="141" t="s">
        <v>757</v>
      </c>
      <c r="AU11" s="141" t="s">
        <v>757</v>
      </c>
      <c r="AV11" s="141" t="s">
        <v>757</v>
      </c>
      <c r="AW11" s="141"/>
    </row>
    <row r="12" spans="1:49" ht="45" hidden="1" customHeight="1">
      <c r="A12" s="153">
        <f t="shared" si="4"/>
        <v>9</v>
      </c>
      <c r="B12" s="153" t="s">
        <v>57</v>
      </c>
      <c r="C12" s="153" t="s">
        <v>65</v>
      </c>
      <c r="D12" s="28" t="s">
        <v>624</v>
      </c>
      <c r="E12" s="69"/>
      <c r="F12" s="39">
        <v>2</v>
      </c>
      <c r="G12" s="141" t="s">
        <v>123</v>
      </c>
      <c r="H12" s="141" t="s">
        <v>797</v>
      </c>
      <c r="I12" s="141"/>
      <c r="J12" s="141" t="s">
        <v>26</v>
      </c>
      <c r="K12" s="141"/>
      <c r="L12" s="69"/>
      <c r="M12" s="141"/>
      <c r="N12" s="59">
        <v>4</v>
      </c>
      <c r="O12" s="59">
        <v>4</v>
      </c>
      <c r="P12" s="105" t="s">
        <v>34</v>
      </c>
      <c r="Q12" s="105" t="s">
        <v>32</v>
      </c>
      <c r="R12" s="105" t="s">
        <v>889</v>
      </c>
      <c r="S12" s="90">
        <v>45950</v>
      </c>
      <c r="T12" s="90">
        <v>45959</v>
      </c>
      <c r="U12" s="93" t="s">
        <v>625</v>
      </c>
      <c r="V12" s="96" t="s">
        <v>890</v>
      </c>
      <c r="W12" s="96" t="s">
        <v>891</v>
      </c>
      <c r="X12" s="29">
        <v>0</v>
      </c>
      <c r="Y12" s="145">
        <v>0</v>
      </c>
      <c r="Z12" s="145">
        <v>0</v>
      </c>
      <c r="AA12" s="145">
        <v>0</v>
      </c>
      <c r="AB12" s="145">
        <v>0</v>
      </c>
      <c r="AC12" s="145">
        <v>0</v>
      </c>
      <c r="AD12" s="145">
        <v>0</v>
      </c>
      <c r="AE12" s="142">
        <f t="shared" si="2"/>
        <v>0</v>
      </c>
      <c r="AF12" s="141"/>
      <c r="AG12" s="67"/>
      <c r="AH12" s="67"/>
      <c r="AI12" s="24"/>
      <c r="AJ12" s="24"/>
      <c r="AK12" s="24"/>
      <c r="AL12" s="71"/>
      <c r="AM12" s="69" t="s">
        <v>809</v>
      </c>
      <c r="AN12" s="141">
        <v>16</v>
      </c>
      <c r="AO12" s="141" t="s">
        <v>761</v>
      </c>
      <c r="AP12" s="141"/>
      <c r="AQ12" s="141"/>
      <c r="AR12" s="141"/>
      <c r="AS12" s="141"/>
      <c r="AT12" s="141" t="s">
        <v>757</v>
      </c>
      <c r="AU12" s="141"/>
      <c r="AV12" s="141"/>
      <c r="AW12" s="141"/>
    </row>
    <row r="13" spans="1:49" ht="45" hidden="1" customHeight="1">
      <c r="A13" s="153">
        <f t="shared" si="4"/>
        <v>10</v>
      </c>
      <c r="B13" s="153" t="s">
        <v>57</v>
      </c>
      <c r="C13" s="153" t="s">
        <v>65</v>
      </c>
      <c r="D13" s="28" t="s">
        <v>620</v>
      </c>
      <c r="E13" s="69"/>
      <c r="F13" s="39">
        <v>1</v>
      </c>
      <c r="G13" s="141" t="s">
        <v>123</v>
      </c>
      <c r="H13" s="141" t="s">
        <v>811</v>
      </c>
      <c r="I13" s="141"/>
      <c r="J13" s="141" t="s">
        <v>26</v>
      </c>
      <c r="K13" s="141"/>
      <c r="L13" s="69"/>
      <c r="M13" s="141"/>
      <c r="N13" s="59">
        <v>4</v>
      </c>
      <c r="O13" s="59">
        <v>4</v>
      </c>
      <c r="P13" s="105" t="s">
        <v>34</v>
      </c>
      <c r="Q13" s="105" t="s">
        <v>32</v>
      </c>
      <c r="R13" s="105"/>
      <c r="S13" s="90">
        <v>45950</v>
      </c>
      <c r="T13" s="90">
        <v>45957</v>
      </c>
      <c r="U13" s="93" t="s">
        <v>621</v>
      </c>
      <c r="V13" s="122" t="s">
        <v>892</v>
      </c>
      <c r="W13" s="96" t="s">
        <v>623</v>
      </c>
      <c r="X13" s="29">
        <v>0</v>
      </c>
      <c r="Y13" s="145">
        <v>0</v>
      </c>
      <c r="Z13" s="145">
        <v>0</v>
      </c>
      <c r="AA13" s="145">
        <v>0</v>
      </c>
      <c r="AB13" s="145">
        <v>0</v>
      </c>
      <c r="AC13" s="145">
        <v>0</v>
      </c>
      <c r="AD13" s="145">
        <v>0</v>
      </c>
      <c r="AE13" s="142">
        <f t="shared" si="2"/>
        <v>0</v>
      </c>
      <c r="AF13" s="141"/>
      <c r="AG13" s="67"/>
      <c r="AH13" s="67"/>
      <c r="AI13" s="24"/>
      <c r="AJ13" s="24"/>
      <c r="AK13" s="24"/>
      <c r="AL13" s="71"/>
      <c r="AM13" s="69"/>
      <c r="AN13" s="141">
        <v>12</v>
      </c>
      <c r="AO13" s="141" t="s">
        <v>812</v>
      </c>
      <c r="AP13" s="141"/>
      <c r="AQ13" s="141">
        <v>100</v>
      </c>
      <c r="AR13" s="86">
        <v>45901</v>
      </c>
      <c r="AS13" s="141" t="s">
        <v>757</v>
      </c>
      <c r="AT13" s="141" t="s">
        <v>757</v>
      </c>
      <c r="AU13" s="141"/>
      <c r="AV13" s="141" t="s">
        <v>757</v>
      </c>
      <c r="AW13" s="141"/>
    </row>
    <row r="14" spans="1:49" ht="45" customHeight="1">
      <c r="A14" s="153">
        <f t="shared" si="4"/>
        <v>11</v>
      </c>
      <c r="B14" s="153" t="s">
        <v>57</v>
      </c>
      <c r="C14" s="153" t="s">
        <v>61</v>
      </c>
      <c r="D14" s="28" t="s">
        <v>643</v>
      </c>
      <c r="E14" s="69" t="s">
        <v>789</v>
      </c>
      <c r="F14" s="39">
        <v>2</v>
      </c>
      <c r="G14" s="141" t="s">
        <v>764</v>
      </c>
      <c r="H14" s="141" t="s">
        <v>770</v>
      </c>
      <c r="I14" s="141"/>
      <c r="J14" s="141" t="s">
        <v>6</v>
      </c>
      <c r="K14" s="141"/>
      <c r="L14" s="69"/>
      <c r="M14" s="141" t="s">
        <v>880</v>
      </c>
      <c r="N14" s="59">
        <v>3</v>
      </c>
      <c r="O14" s="59">
        <v>3</v>
      </c>
      <c r="P14" s="105" t="s">
        <v>33</v>
      </c>
      <c r="Q14" s="105" t="s">
        <v>33</v>
      </c>
      <c r="R14" s="105"/>
      <c r="S14" s="90">
        <v>45938</v>
      </c>
      <c r="T14" s="90">
        <v>45947</v>
      </c>
      <c r="U14" s="93" t="s">
        <v>893</v>
      </c>
      <c r="V14" s="96" t="s">
        <v>894</v>
      </c>
      <c r="W14" s="96" t="s">
        <v>895</v>
      </c>
      <c r="X14" s="29">
        <v>0</v>
      </c>
      <c r="Y14" s="145">
        <v>0</v>
      </c>
      <c r="Z14" s="145">
        <v>0</v>
      </c>
      <c r="AA14" s="145">
        <v>0</v>
      </c>
      <c r="AB14" s="145">
        <v>0</v>
      </c>
      <c r="AC14" s="145">
        <v>0</v>
      </c>
      <c r="AD14" s="145">
        <v>0</v>
      </c>
      <c r="AE14" s="142">
        <f t="shared" si="2"/>
        <v>0</v>
      </c>
      <c r="AF14" s="141"/>
      <c r="AG14" s="67"/>
      <c r="AH14" s="67"/>
      <c r="AI14" s="24"/>
      <c r="AJ14" s="24"/>
      <c r="AK14" s="24"/>
      <c r="AL14" s="71"/>
      <c r="AM14" s="69" t="s">
        <v>790</v>
      </c>
      <c r="AN14" s="141"/>
      <c r="AO14" s="141"/>
      <c r="AP14" s="141"/>
      <c r="AQ14" s="141">
        <v>35</v>
      </c>
      <c r="AR14" s="86">
        <v>45931</v>
      </c>
      <c r="AS14" s="141" t="s">
        <v>757</v>
      </c>
      <c r="AT14" s="141" t="s">
        <v>757</v>
      </c>
      <c r="AU14" s="141" t="s">
        <v>757</v>
      </c>
      <c r="AV14" s="141" t="s">
        <v>757</v>
      </c>
      <c r="AW14" s="141"/>
    </row>
    <row r="15" spans="1:49" ht="45" customHeight="1">
      <c r="A15" s="153">
        <f t="shared" si="4"/>
        <v>12</v>
      </c>
      <c r="B15" s="153" t="s">
        <v>57</v>
      </c>
      <c r="C15" s="153" t="s">
        <v>61</v>
      </c>
      <c r="D15" s="28" t="s">
        <v>703</v>
      </c>
      <c r="E15" s="69" t="s">
        <v>791</v>
      </c>
      <c r="F15" s="39">
        <v>2</v>
      </c>
      <c r="G15" s="141" t="s">
        <v>764</v>
      </c>
      <c r="H15" s="141" t="s">
        <v>770</v>
      </c>
      <c r="I15" s="141"/>
      <c r="J15" s="141" t="s">
        <v>6</v>
      </c>
      <c r="K15" s="141"/>
      <c r="L15" s="69"/>
      <c r="M15" s="141"/>
      <c r="N15" s="59">
        <v>2</v>
      </c>
      <c r="O15" s="59">
        <v>2</v>
      </c>
      <c r="P15" s="105"/>
      <c r="Q15" s="105"/>
      <c r="R15" s="105"/>
      <c r="S15" s="90">
        <v>45915</v>
      </c>
      <c r="T15" s="90">
        <v>45952</v>
      </c>
      <c r="U15" s="93"/>
      <c r="V15" s="96" t="s">
        <v>704</v>
      </c>
      <c r="W15" s="96"/>
      <c r="X15" s="29">
        <v>0</v>
      </c>
      <c r="Y15" s="145">
        <v>0</v>
      </c>
      <c r="Z15" s="145">
        <v>0</v>
      </c>
      <c r="AA15" s="145">
        <v>0</v>
      </c>
      <c r="AB15" s="145">
        <v>0</v>
      </c>
      <c r="AC15" s="145">
        <v>0</v>
      </c>
      <c r="AD15" s="145">
        <v>0</v>
      </c>
      <c r="AE15" s="142">
        <f t="shared" si="2"/>
        <v>0</v>
      </c>
      <c r="AF15" s="141"/>
      <c r="AG15" s="67"/>
      <c r="AH15" s="67"/>
      <c r="AI15" s="24"/>
      <c r="AJ15" s="24"/>
      <c r="AK15" s="24"/>
      <c r="AL15" s="71"/>
      <c r="AM15" s="69" t="s">
        <v>792</v>
      </c>
      <c r="AN15" s="141"/>
      <c r="AO15" s="141"/>
      <c r="AP15" s="141"/>
      <c r="AQ15" s="141">
        <v>35</v>
      </c>
      <c r="AR15" s="86">
        <v>46023</v>
      </c>
      <c r="AS15" s="141" t="s">
        <v>757</v>
      </c>
      <c r="AT15" s="141" t="s">
        <v>757</v>
      </c>
      <c r="AU15" s="141" t="s">
        <v>757</v>
      </c>
      <c r="AV15" s="141"/>
      <c r="AW15" s="141"/>
    </row>
    <row r="16" spans="1:49" ht="45" customHeight="1">
      <c r="A16" s="153">
        <f t="shared" si="4"/>
        <v>13</v>
      </c>
      <c r="B16" s="153" t="s">
        <v>57</v>
      </c>
      <c r="C16" s="153" t="s">
        <v>61</v>
      </c>
      <c r="D16" s="28" t="s">
        <v>711</v>
      </c>
      <c r="E16" s="69" t="s">
        <v>711</v>
      </c>
      <c r="F16" s="39">
        <v>3</v>
      </c>
      <c r="G16" s="141" t="s">
        <v>764</v>
      </c>
      <c r="H16" s="141" t="s">
        <v>765</v>
      </c>
      <c r="I16" s="141"/>
      <c r="J16" s="141" t="s">
        <v>6</v>
      </c>
      <c r="K16" s="141"/>
      <c r="L16" s="69"/>
      <c r="M16" s="141"/>
      <c r="N16" s="59"/>
      <c r="O16" s="59"/>
      <c r="P16" s="105"/>
      <c r="Q16" s="105"/>
      <c r="R16" s="105"/>
      <c r="S16" s="90">
        <v>45937</v>
      </c>
      <c r="T16" s="90"/>
      <c r="U16" s="93"/>
      <c r="V16" s="110" t="s">
        <v>896</v>
      </c>
      <c r="W16" s="96"/>
      <c r="X16" s="29"/>
      <c r="Y16" s="145"/>
      <c r="Z16" s="145"/>
      <c r="AA16" s="145"/>
      <c r="AB16" s="145"/>
      <c r="AC16" s="145"/>
      <c r="AD16" s="145"/>
      <c r="AE16" s="142"/>
      <c r="AF16" s="141"/>
      <c r="AG16" s="67"/>
      <c r="AH16" s="67"/>
      <c r="AI16" s="24"/>
      <c r="AJ16" s="24"/>
      <c r="AK16" s="24"/>
      <c r="AL16" s="71"/>
      <c r="AM16" s="69"/>
      <c r="AN16" s="141">
        <v>5</v>
      </c>
      <c r="AO16" s="141"/>
      <c r="AP16" s="141"/>
      <c r="AQ16" s="141"/>
      <c r="AR16" s="86"/>
      <c r="AS16" s="141" t="s">
        <v>757</v>
      </c>
      <c r="AT16" s="141" t="s">
        <v>757</v>
      </c>
      <c r="AU16" s="141"/>
      <c r="AV16" s="141"/>
      <c r="AW16" s="141" t="s">
        <v>757</v>
      </c>
    </row>
    <row r="17" spans="1:49" ht="45" hidden="1" customHeight="1">
      <c r="A17" s="153">
        <f t="shared" si="4"/>
        <v>14</v>
      </c>
      <c r="B17" s="153" t="s">
        <v>57</v>
      </c>
      <c r="C17" s="153" t="s">
        <v>65</v>
      </c>
      <c r="D17" s="28" t="s">
        <v>605</v>
      </c>
      <c r="E17" s="69" t="s">
        <v>842</v>
      </c>
      <c r="F17" s="39">
        <v>2</v>
      </c>
      <c r="G17" s="141" t="s">
        <v>123</v>
      </c>
      <c r="H17" s="141" t="s">
        <v>811</v>
      </c>
      <c r="I17" s="141"/>
      <c r="J17" s="141"/>
      <c r="K17" s="21"/>
      <c r="L17" s="69"/>
      <c r="M17" s="141"/>
      <c r="N17" s="59"/>
      <c r="O17" s="59"/>
      <c r="P17" s="105"/>
      <c r="Q17" s="105" t="s">
        <v>31</v>
      </c>
      <c r="R17" s="105" t="s">
        <v>897</v>
      </c>
      <c r="S17" s="90"/>
      <c r="T17" s="90">
        <v>45992</v>
      </c>
      <c r="U17" s="93" t="s">
        <v>606</v>
      </c>
      <c r="V17" s="96" t="s">
        <v>898</v>
      </c>
      <c r="W17" s="96"/>
      <c r="X17" s="29">
        <v>0</v>
      </c>
      <c r="Y17" s="145">
        <v>0</v>
      </c>
      <c r="Z17" s="145">
        <v>0</v>
      </c>
      <c r="AA17" s="145">
        <v>0</v>
      </c>
      <c r="AB17" s="145">
        <v>0</v>
      </c>
      <c r="AC17" s="145">
        <v>0</v>
      </c>
      <c r="AD17" s="145">
        <v>0</v>
      </c>
      <c r="AE17" s="142">
        <f t="shared" ref="AE17:AE25" si="5">AVERAGE(X17:AD17)</f>
        <v>0</v>
      </c>
      <c r="AF17" s="141"/>
      <c r="AG17" s="67"/>
      <c r="AH17" s="67"/>
      <c r="AI17" s="24"/>
      <c r="AJ17" s="24"/>
      <c r="AK17" s="24"/>
      <c r="AL17" s="71"/>
      <c r="AM17" s="69" t="s">
        <v>843</v>
      </c>
      <c r="AN17" s="141"/>
      <c r="AO17" s="141"/>
      <c r="AP17" s="141"/>
      <c r="AQ17" s="141">
        <v>15</v>
      </c>
      <c r="AR17" s="86">
        <v>45901</v>
      </c>
      <c r="AS17" s="141" t="s">
        <v>757</v>
      </c>
      <c r="AT17" s="141"/>
      <c r="AU17" s="141"/>
      <c r="AV17" s="141"/>
      <c r="AW17" s="141"/>
    </row>
    <row r="18" spans="1:49" ht="45" hidden="1" customHeight="1">
      <c r="A18" s="153">
        <f t="shared" si="4"/>
        <v>15</v>
      </c>
      <c r="B18" s="153" t="s">
        <v>57</v>
      </c>
      <c r="C18" s="153" t="s">
        <v>61</v>
      </c>
      <c r="D18" s="28" t="s">
        <v>639</v>
      </c>
      <c r="E18" s="69" t="s">
        <v>796</v>
      </c>
      <c r="F18" s="39">
        <v>3</v>
      </c>
      <c r="G18" s="141" t="s">
        <v>794</v>
      </c>
      <c r="H18" s="141" t="s">
        <v>797</v>
      </c>
      <c r="I18" s="141"/>
      <c r="J18" s="141" t="s">
        <v>6</v>
      </c>
      <c r="K18" s="21"/>
      <c r="L18" s="69"/>
      <c r="M18" s="141"/>
      <c r="N18" s="59"/>
      <c r="O18" s="59"/>
      <c r="P18" s="105"/>
      <c r="Q18" s="105"/>
      <c r="R18" s="105"/>
      <c r="S18" s="90"/>
      <c r="T18" s="90"/>
      <c r="U18" s="93"/>
      <c r="V18" s="96"/>
      <c r="W18" s="96"/>
      <c r="X18" s="29">
        <v>0</v>
      </c>
      <c r="Y18" s="145">
        <v>0</v>
      </c>
      <c r="Z18" s="145">
        <v>0</v>
      </c>
      <c r="AA18" s="145">
        <v>0</v>
      </c>
      <c r="AB18" s="145">
        <v>0</v>
      </c>
      <c r="AC18" s="145">
        <v>0</v>
      </c>
      <c r="AD18" s="145">
        <v>0</v>
      </c>
      <c r="AE18" s="142">
        <f t="shared" si="5"/>
        <v>0</v>
      </c>
      <c r="AF18" s="141"/>
      <c r="AG18" s="67"/>
      <c r="AH18" s="67"/>
      <c r="AI18" s="24"/>
      <c r="AJ18" s="24"/>
      <c r="AK18" s="24"/>
      <c r="AL18" s="71"/>
      <c r="AM18" s="69" t="s">
        <v>798</v>
      </c>
      <c r="AN18" s="141"/>
      <c r="AO18" s="141"/>
      <c r="AP18" s="141"/>
      <c r="AQ18" s="141">
        <v>40</v>
      </c>
      <c r="AR18" s="86">
        <v>45962</v>
      </c>
      <c r="AS18" s="141" t="s">
        <v>757</v>
      </c>
      <c r="AT18" s="141"/>
      <c r="AU18" s="141"/>
      <c r="AV18" s="141"/>
      <c r="AW18" s="141" t="s">
        <v>757</v>
      </c>
    </row>
    <row r="19" spans="1:49" ht="45" customHeight="1">
      <c r="A19" s="153">
        <f t="shared" si="4"/>
        <v>16</v>
      </c>
      <c r="B19" s="153" t="s">
        <v>57</v>
      </c>
      <c r="C19" s="153" t="s">
        <v>61</v>
      </c>
      <c r="D19" s="28" t="s">
        <v>697</v>
      </c>
      <c r="E19" s="69" t="s">
        <v>800</v>
      </c>
      <c r="F19" s="39">
        <v>2</v>
      </c>
      <c r="G19" s="141" t="s">
        <v>764</v>
      </c>
      <c r="H19" s="141" t="s">
        <v>770</v>
      </c>
      <c r="I19" s="141"/>
      <c r="J19" s="141" t="s">
        <v>6</v>
      </c>
      <c r="K19" s="21"/>
      <c r="L19" s="69"/>
      <c r="M19" s="141"/>
      <c r="N19" s="59">
        <v>1</v>
      </c>
      <c r="O19" s="59">
        <v>4</v>
      </c>
      <c r="P19" s="105"/>
      <c r="Q19" s="105"/>
      <c r="R19" s="105"/>
      <c r="S19" s="90">
        <v>45778</v>
      </c>
      <c r="T19" s="90">
        <v>45986</v>
      </c>
      <c r="U19" s="93" t="s">
        <v>899</v>
      </c>
      <c r="V19" s="96" t="s">
        <v>699</v>
      </c>
      <c r="W19" s="96"/>
      <c r="X19" s="29">
        <v>0</v>
      </c>
      <c r="Y19" s="145">
        <v>0</v>
      </c>
      <c r="Z19" s="145">
        <v>0</v>
      </c>
      <c r="AA19" s="145">
        <v>0</v>
      </c>
      <c r="AB19" s="145">
        <v>0</v>
      </c>
      <c r="AC19" s="145">
        <v>0</v>
      </c>
      <c r="AD19" s="145">
        <v>0</v>
      </c>
      <c r="AE19" s="142">
        <f t="shared" si="5"/>
        <v>0</v>
      </c>
      <c r="AF19" s="141"/>
      <c r="AG19" s="67"/>
      <c r="AH19" s="67"/>
      <c r="AI19" s="24"/>
      <c r="AJ19" s="24"/>
      <c r="AK19" s="24"/>
      <c r="AL19" s="71"/>
      <c r="AM19" s="69" t="s">
        <v>801</v>
      </c>
      <c r="AN19" s="141"/>
      <c r="AO19" s="141"/>
      <c r="AP19" s="141"/>
      <c r="AQ19" s="141">
        <v>100</v>
      </c>
      <c r="AR19" s="86">
        <v>46023</v>
      </c>
      <c r="AS19" s="141" t="s">
        <v>757</v>
      </c>
      <c r="AT19" s="141" t="s">
        <v>757</v>
      </c>
      <c r="AU19" s="141"/>
      <c r="AV19" s="141"/>
      <c r="AW19" s="141"/>
    </row>
    <row r="20" spans="1:49" ht="45" hidden="1" customHeight="1">
      <c r="A20" s="153">
        <f t="shared" si="4"/>
        <v>17</v>
      </c>
      <c r="B20" s="153" t="s">
        <v>57</v>
      </c>
      <c r="C20" s="153" t="s">
        <v>65</v>
      </c>
      <c r="D20" s="28" t="s">
        <v>658</v>
      </c>
      <c r="E20" s="69" t="s">
        <v>804</v>
      </c>
      <c r="F20" s="39">
        <v>2</v>
      </c>
      <c r="G20" s="141" t="s">
        <v>150</v>
      </c>
      <c r="H20" s="141" t="s">
        <v>805</v>
      </c>
      <c r="I20" s="141"/>
      <c r="J20" s="141" t="s">
        <v>6</v>
      </c>
      <c r="K20" s="141"/>
      <c r="L20" s="69"/>
      <c r="M20" s="141"/>
      <c r="N20" s="59">
        <v>4</v>
      </c>
      <c r="O20" s="59">
        <v>4</v>
      </c>
      <c r="P20" s="105" t="s">
        <v>34</v>
      </c>
      <c r="Q20" s="105" t="s">
        <v>34</v>
      </c>
      <c r="R20" s="105"/>
      <c r="S20" s="90">
        <v>45933</v>
      </c>
      <c r="T20" s="90">
        <v>45958</v>
      </c>
      <c r="U20" s="93" t="s">
        <v>659</v>
      </c>
      <c r="V20" s="96" t="s">
        <v>660</v>
      </c>
      <c r="W20" s="96" t="s">
        <v>661</v>
      </c>
      <c r="X20" s="29">
        <v>0</v>
      </c>
      <c r="Y20" s="145">
        <v>0</v>
      </c>
      <c r="Z20" s="145">
        <v>0</v>
      </c>
      <c r="AA20" s="145">
        <v>0</v>
      </c>
      <c r="AB20" s="145">
        <v>0</v>
      </c>
      <c r="AC20" s="145">
        <v>0</v>
      </c>
      <c r="AD20" s="145">
        <v>0</v>
      </c>
      <c r="AE20" s="142">
        <f t="shared" si="5"/>
        <v>0</v>
      </c>
      <c r="AF20" s="141"/>
      <c r="AG20" s="67"/>
      <c r="AH20" s="67"/>
      <c r="AI20" s="24"/>
      <c r="AJ20" s="24"/>
      <c r="AK20" s="24"/>
      <c r="AL20" s="71"/>
      <c r="AM20" s="69" t="s">
        <v>806</v>
      </c>
      <c r="AN20" s="141">
        <v>4</v>
      </c>
      <c r="AO20" s="141" t="s">
        <v>761</v>
      </c>
      <c r="AP20" s="141"/>
      <c r="AQ20" s="141"/>
      <c r="AR20" s="141"/>
      <c r="AS20" s="141"/>
      <c r="AT20" s="141" t="s">
        <v>757</v>
      </c>
      <c r="AU20" s="141"/>
      <c r="AV20" s="141" t="s">
        <v>757</v>
      </c>
      <c r="AW20" s="141"/>
    </row>
    <row r="21" spans="1:49" ht="45" hidden="1" customHeight="1">
      <c r="A21" s="153">
        <f t="shared" si="4"/>
        <v>18</v>
      </c>
      <c r="B21" s="153" t="s">
        <v>57</v>
      </c>
      <c r="C21" s="153" t="s">
        <v>65</v>
      </c>
      <c r="D21" s="28" t="s">
        <v>646</v>
      </c>
      <c r="E21" s="69"/>
      <c r="F21" s="39">
        <v>3</v>
      </c>
      <c r="G21" s="141" t="s">
        <v>409</v>
      </c>
      <c r="H21" s="141" t="s">
        <v>805</v>
      </c>
      <c r="I21" s="141"/>
      <c r="J21" s="141" t="s">
        <v>26</v>
      </c>
      <c r="K21" s="141" t="s">
        <v>45</v>
      </c>
      <c r="L21" s="69"/>
      <c r="M21" s="141"/>
      <c r="N21" s="59"/>
      <c r="O21" s="59"/>
      <c r="P21" s="105" t="s">
        <v>32</v>
      </c>
      <c r="Q21" s="105" t="s">
        <v>32</v>
      </c>
      <c r="R21" s="105"/>
      <c r="S21" s="90"/>
      <c r="T21" s="90"/>
      <c r="U21" s="93"/>
      <c r="V21" s="96"/>
      <c r="W21" s="96" t="s">
        <v>647</v>
      </c>
      <c r="X21" s="29">
        <v>0</v>
      </c>
      <c r="Y21" s="145">
        <v>0</v>
      </c>
      <c r="Z21" s="145">
        <v>0</v>
      </c>
      <c r="AA21" s="145">
        <v>0</v>
      </c>
      <c r="AB21" s="145">
        <v>0</v>
      </c>
      <c r="AC21" s="145">
        <v>0</v>
      </c>
      <c r="AD21" s="145">
        <v>0</v>
      </c>
      <c r="AE21" s="142">
        <f t="shared" si="5"/>
        <v>0</v>
      </c>
      <c r="AF21" s="141"/>
      <c r="AG21" s="67"/>
      <c r="AH21" s="67"/>
      <c r="AI21" s="24"/>
      <c r="AJ21" s="24"/>
      <c r="AK21" s="24"/>
      <c r="AL21" s="71"/>
      <c r="AM21" s="69" t="s">
        <v>818</v>
      </c>
      <c r="AN21" s="141">
        <v>2</v>
      </c>
      <c r="AO21" s="141" t="s">
        <v>761</v>
      </c>
      <c r="AP21" s="141"/>
      <c r="AQ21" s="141"/>
      <c r="AR21" s="141"/>
      <c r="AS21" s="141" t="s">
        <v>757</v>
      </c>
      <c r="AT21" s="141" t="s">
        <v>757</v>
      </c>
      <c r="AU21" s="141" t="s">
        <v>757</v>
      </c>
      <c r="AV21" s="141"/>
      <c r="AW21" s="141"/>
    </row>
    <row r="22" spans="1:49" ht="45" hidden="1" customHeight="1">
      <c r="A22" s="153">
        <f t="shared" si="4"/>
        <v>19</v>
      </c>
      <c r="B22" s="153" t="s">
        <v>57</v>
      </c>
      <c r="C22" s="153" t="s">
        <v>65</v>
      </c>
      <c r="D22" s="28" t="s">
        <v>650</v>
      </c>
      <c r="E22" s="69" t="s">
        <v>827</v>
      </c>
      <c r="F22" s="39">
        <v>3</v>
      </c>
      <c r="G22" s="141" t="s">
        <v>150</v>
      </c>
      <c r="H22" s="141" t="s">
        <v>797</v>
      </c>
      <c r="I22" s="141"/>
      <c r="J22" s="141" t="s">
        <v>14</v>
      </c>
      <c r="K22" s="21"/>
      <c r="L22" s="69"/>
      <c r="M22" s="141"/>
      <c r="N22" s="59">
        <v>4</v>
      </c>
      <c r="O22" s="59">
        <v>4</v>
      </c>
      <c r="P22" s="105" t="s">
        <v>34</v>
      </c>
      <c r="Q22" s="105" t="s">
        <v>31</v>
      </c>
      <c r="R22" s="105"/>
      <c r="S22" s="90">
        <v>45937</v>
      </c>
      <c r="T22" s="90">
        <v>45943</v>
      </c>
      <c r="U22" s="93" t="s">
        <v>651</v>
      </c>
      <c r="V22" s="96" t="s">
        <v>652</v>
      </c>
      <c r="W22" s="96"/>
      <c r="X22" s="29">
        <v>0</v>
      </c>
      <c r="Y22" s="145">
        <v>0</v>
      </c>
      <c r="Z22" s="145">
        <v>0</v>
      </c>
      <c r="AA22" s="145">
        <v>0</v>
      </c>
      <c r="AB22" s="145">
        <v>0</v>
      </c>
      <c r="AC22" s="145">
        <v>0</v>
      </c>
      <c r="AD22" s="145">
        <v>0</v>
      </c>
      <c r="AE22" s="142">
        <f t="shared" si="5"/>
        <v>0</v>
      </c>
      <c r="AF22" s="141"/>
      <c r="AG22" s="67"/>
      <c r="AH22" s="67"/>
      <c r="AI22" s="24"/>
      <c r="AJ22" s="24"/>
      <c r="AK22" s="24"/>
      <c r="AL22" s="71"/>
      <c r="AM22" s="69" t="s">
        <v>828</v>
      </c>
      <c r="AN22" s="141"/>
      <c r="AO22" s="141"/>
      <c r="AP22" s="141">
        <v>80</v>
      </c>
      <c r="AQ22" s="141"/>
      <c r="AR22" s="141"/>
      <c r="AS22" s="141"/>
      <c r="AT22" s="141" t="s">
        <v>757</v>
      </c>
      <c r="AU22" s="141" t="s">
        <v>757</v>
      </c>
      <c r="AV22" s="141"/>
      <c r="AW22" s="141"/>
    </row>
    <row r="23" spans="1:49" ht="45" hidden="1" customHeight="1">
      <c r="A23" s="153">
        <f t="shared" si="4"/>
        <v>20</v>
      </c>
      <c r="B23" s="153" t="s">
        <v>57</v>
      </c>
      <c r="C23" s="153" t="s">
        <v>61</v>
      </c>
      <c r="D23" s="28" t="s">
        <v>617</v>
      </c>
      <c r="E23" s="69" t="s">
        <v>775</v>
      </c>
      <c r="F23" s="39">
        <v>2</v>
      </c>
      <c r="G23" s="141" t="s">
        <v>150</v>
      </c>
      <c r="H23" s="141" t="s">
        <v>764</v>
      </c>
      <c r="I23" s="141"/>
      <c r="J23" s="141" t="s">
        <v>26</v>
      </c>
      <c r="K23" s="141"/>
      <c r="L23" s="69"/>
      <c r="M23" s="141"/>
      <c r="N23" s="59">
        <v>4</v>
      </c>
      <c r="O23" s="59">
        <v>3.5</v>
      </c>
      <c r="P23" s="105" t="s">
        <v>32</v>
      </c>
      <c r="Q23" s="105" t="s">
        <v>32</v>
      </c>
      <c r="R23" s="105" t="s">
        <v>879</v>
      </c>
      <c r="S23" s="90">
        <v>45947</v>
      </c>
      <c r="T23" s="90">
        <v>45951</v>
      </c>
      <c r="U23" s="93" t="s">
        <v>618</v>
      </c>
      <c r="V23" s="96" t="s">
        <v>619</v>
      </c>
      <c r="W23" s="96"/>
      <c r="X23" s="29">
        <v>0</v>
      </c>
      <c r="Y23" s="145">
        <v>0</v>
      </c>
      <c r="Z23" s="145">
        <v>0</v>
      </c>
      <c r="AA23" s="145">
        <v>0</v>
      </c>
      <c r="AB23" s="145">
        <v>0</v>
      </c>
      <c r="AC23" s="145">
        <v>0</v>
      </c>
      <c r="AD23" s="145">
        <v>0</v>
      </c>
      <c r="AE23" s="142">
        <f t="shared" si="5"/>
        <v>0</v>
      </c>
      <c r="AF23" s="141"/>
      <c r="AG23" s="67"/>
      <c r="AH23" s="67"/>
      <c r="AI23" s="24"/>
      <c r="AJ23" s="24"/>
      <c r="AK23" s="24"/>
      <c r="AL23" s="71"/>
      <c r="AM23" s="69" t="s">
        <v>778</v>
      </c>
      <c r="AN23" s="141">
        <v>5</v>
      </c>
      <c r="AO23" s="141" t="s">
        <v>761</v>
      </c>
      <c r="AP23" s="141"/>
      <c r="AQ23" s="141"/>
      <c r="AR23" s="141"/>
      <c r="AS23" s="141"/>
      <c r="AT23" s="141" t="s">
        <v>757</v>
      </c>
      <c r="AU23" s="141"/>
      <c r="AV23" s="141"/>
      <c r="AW23" s="141" t="s">
        <v>757</v>
      </c>
    </row>
    <row r="24" spans="1:49" ht="45" hidden="1" customHeight="1">
      <c r="A24" s="153">
        <f t="shared" si="4"/>
        <v>21</v>
      </c>
      <c r="B24" s="153" t="s">
        <v>57</v>
      </c>
      <c r="C24" s="153" t="s">
        <v>65</v>
      </c>
      <c r="D24" s="28" t="s">
        <v>690</v>
      </c>
      <c r="E24" s="69"/>
      <c r="F24" s="39">
        <v>3</v>
      </c>
      <c r="G24" s="141" t="s">
        <v>123</v>
      </c>
      <c r="H24" s="141" t="s">
        <v>816</v>
      </c>
      <c r="I24" s="141"/>
      <c r="J24" s="141"/>
      <c r="K24" s="141" t="s">
        <v>48</v>
      </c>
      <c r="L24" s="69"/>
      <c r="M24" s="141"/>
      <c r="N24" s="59">
        <v>4</v>
      </c>
      <c r="O24" s="59">
        <v>4</v>
      </c>
      <c r="P24" s="105" t="s">
        <v>34</v>
      </c>
      <c r="Q24" s="105" t="s">
        <v>34</v>
      </c>
      <c r="R24" s="105"/>
      <c r="S24" s="90">
        <v>45953</v>
      </c>
      <c r="T24" s="90">
        <v>45957</v>
      </c>
      <c r="U24" s="93" t="s">
        <v>900</v>
      </c>
      <c r="V24" s="96" t="s">
        <v>901</v>
      </c>
      <c r="W24" s="96"/>
      <c r="X24" s="29">
        <v>0</v>
      </c>
      <c r="Y24" s="145">
        <v>0</v>
      </c>
      <c r="Z24" s="145">
        <v>0</v>
      </c>
      <c r="AA24" s="145">
        <v>0</v>
      </c>
      <c r="AB24" s="145">
        <v>0</v>
      </c>
      <c r="AC24" s="145">
        <v>0</v>
      </c>
      <c r="AD24" s="145">
        <v>0</v>
      </c>
      <c r="AE24" s="142">
        <f t="shared" si="5"/>
        <v>0</v>
      </c>
      <c r="AF24" s="141"/>
      <c r="AG24" s="67"/>
      <c r="AH24" s="67"/>
      <c r="AI24" s="24"/>
      <c r="AJ24" s="24"/>
      <c r="AK24" s="24"/>
      <c r="AL24" s="71"/>
      <c r="AM24" s="69" t="s">
        <v>817</v>
      </c>
      <c r="AN24" s="141">
        <v>35</v>
      </c>
      <c r="AO24" s="141" t="s">
        <v>756</v>
      </c>
      <c r="AP24" s="141"/>
      <c r="AQ24" s="141"/>
      <c r="AR24" s="141"/>
      <c r="AS24" s="141"/>
      <c r="AT24" s="141" t="s">
        <v>757</v>
      </c>
      <c r="AU24" s="141"/>
      <c r="AV24" s="141"/>
      <c r="AW24" s="141" t="s">
        <v>757</v>
      </c>
    </row>
    <row r="25" spans="1:49" ht="45" customHeight="1">
      <c r="A25" s="153">
        <f t="shared" si="4"/>
        <v>22</v>
      </c>
      <c r="B25" s="153" t="s">
        <v>57</v>
      </c>
      <c r="C25" s="153" t="s">
        <v>61</v>
      </c>
      <c r="D25" s="28" t="s">
        <v>633</v>
      </c>
      <c r="E25" s="69" t="s">
        <v>787</v>
      </c>
      <c r="F25" s="39">
        <v>3</v>
      </c>
      <c r="G25" s="141" t="s">
        <v>764</v>
      </c>
      <c r="H25" s="141" t="s">
        <v>770</v>
      </c>
      <c r="I25" s="141"/>
      <c r="J25" s="141" t="s">
        <v>14</v>
      </c>
      <c r="K25" s="141"/>
      <c r="L25" s="69"/>
      <c r="M25" s="141"/>
      <c r="N25" s="59">
        <v>4</v>
      </c>
      <c r="O25" s="59">
        <v>2</v>
      </c>
      <c r="P25" s="105" t="s">
        <v>34</v>
      </c>
      <c r="Q25" s="105" t="s">
        <v>31</v>
      </c>
      <c r="R25" s="105" t="s">
        <v>902</v>
      </c>
      <c r="S25" s="90">
        <v>45951</v>
      </c>
      <c r="T25" s="90">
        <v>45958</v>
      </c>
      <c r="U25" s="93" t="s">
        <v>903</v>
      </c>
      <c r="V25" s="96"/>
      <c r="W25" s="96"/>
      <c r="X25" s="29">
        <v>0</v>
      </c>
      <c r="Y25" s="145">
        <v>0</v>
      </c>
      <c r="Z25" s="145">
        <v>0</v>
      </c>
      <c r="AA25" s="145">
        <v>0</v>
      </c>
      <c r="AB25" s="145">
        <v>0</v>
      </c>
      <c r="AC25" s="145">
        <v>0</v>
      </c>
      <c r="AD25" s="145">
        <v>0</v>
      </c>
      <c r="AE25" s="142">
        <f t="shared" si="5"/>
        <v>0</v>
      </c>
      <c r="AF25" s="141"/>
      <c r="AG25" s="67"/>
      <c r="AH25" s="67"/>
      <c r="AI25" s="24"/>
      <c r="AJ25" s="24"/>
      <c r="AK25" s="24"/>
      <c r="AL25" s="71"/>
      <c r="AM25" s="69" t="s">
        <v>788</v>
      </c>
      <c r="AN25" s="141"/>
      <c r="AO25" s="141"/>
      <c r="AP25" s="141">
        <v>35</v>
      </c>
      <c r="AQ25" s="141"/>
      <c r="AR25" s="141"/>
      <c r="AS25" s="141"/>
      <c r="AT25" s="141" t="s">
        <v>757</v>
      </c>
      <c r="AU25" s="141" t="s">
        <v>757</v>
      </c>
      <c r="AV25" s="141" t="s">
        <v>757</v>
      </c>
      <c r="AW25" s="141"/>
    </row>
    <row r="26" spans="1:49" ht="45" hidden="1" customHeight="1">
      <c r="A26" s="153">
        <f t="shared" si="4"/>
        <v>23</v>
      </c>
      <c r="B26" s="153" t="s">
        <v>57</v>
      </c>
      <c r="C26" s="153" t="s">
        <v>61</v>
      </c>
      <c r="D26" s="28" t="s">
        <v>904</v>
      </c>
      <c r="E26" s="69" t="s">
        <v>905</v>
      </c>
      <c r="F26" s="39">
        <v>1</v>
      </c>
      <c r="G26" s="141" t="s">
        <v>753</v>
      </c>
      <c r="H26" s="141" t="s">
        <v>754</v>
      </c>
      <c r="I26" s="141"/>
      <c r="J26" s="141"/>
      <c r="K26" s="141"/>
      <c r="L26" s="69"/>
      <c r="M26" s="141"/>
      <c r="N26" s="59"/>
      <c r="O26" s="59"/>
      <c r="P26" s="105" t="s">
        <v>34</v>
      </c>
      <c r="Q26" s="105" t="s">
        <v>34</v>
      </c>
      <c r="R26" s="105"/>
      <c r="S26" s="90"/>
      <c r="T26" s="90"/>
      <c r="U26" s="93"/>
      <c r="V26" s="96"/>
      <c r="W26" s="96"/>
      <c r="X26" s="29"/>
      <c r="Y26" s="145"/>
      <c r="Z26" s="145"/>
      <c r="AA26" s="145"/>
      <c r="AB26" s="145"/>
      <c r="AC26" s="145"/>
      <c r="AD26" s="145"/>
      <c r="AE26" s="142"/>
      <c r="AF26" s="141"/>
      <c r="AG26" s="67"/>
      <c r="AH26" s="67"/>
      <c r="AI26" s="24"/>
      <c r="AJ26" s="24"/>
      <c r="AK26" s="24"/>
      <c r="AL26" s="71"/>
      <c r="AM26" s="69"/>
      <c r="AN26" s="141"/>
      <c r="AO26" s="141"/>
      <c r="AP26" s="141"/>
      <c r="AQ26" s="141"/>
      <c r="AR26" s="141"/>
      <c r="AS26" s="141"/>
      <c r="AT26" s="141"/>
      <c r="AU26" s="141"/>
      <c r="AV26" s="141"/>
      <c r="AW26" s="141"/>
    </row>
    <row r="27" spans="1:49" ht="45" customHeight="1">
      <c r="A27" s="153">
        <f t="shared" si="4"/>
        <v>24</v>
      </c>
      <c r="B27" s="153" t="s">
        <v>57</v>
      </c>
      <c r="C27" s="153" t="s">
        <v>61</v>
      </c>
      <c r="D27" s="28" t="s">
        <v>906</v>
      </c>
      <c r="E27" s="69" t="s">
        <v>907</v>
      </c>
      <c r="F27" s="39">
        <v>1</v>
      </c>
      <c r="G27" s="141" t="s">
        <v>764</v>
      </c>
      <c r="H27" s="141"/>
      <c r="I27" s="141"/>
      <c r="J27" s="141"/>
      <c r="K27" s="141"/>
      <c r="L27" s="69"/>
      <c r="M27" s="141"/>
      <c r="N27" s="59"/>
      <c r="O27" s="59"/>
      <c r="P27" s="105"/>
      <c r="Q27" s="105"/>
      <c r="R27" s="105"/>
      <c r="S27" s="90"/>
      <c r="T27" s="90">
        <v>45976</v>
      </c>
      <c r="U27" s="93"/>
      <c r="V27" s="96" t="s">
        <v>908</v>
      </c>
      <c r="W27" s="96"/>
      <c r="X27" s="29"/>
      <c r="Y27" s="145"/>
      <c r="Z27" s="145"/>
      <c r="AA27" s="145"/>
      <c r="AB27" s="145"/>
      <c r="AC27" s="145"/>
      <c r="AD27" s="145"/>
      <c r="AE27" s="142"/>
      <c r="AF27" s="141"/>
      <c r="AG27" s="67"/>
      <c r="AH27" s="67"/>
      <c r="AI27" s="24"/>
      <c r="AJ27" s="24"/>
      <c r="AK27" s="24"/>
      <c r="AL27" s="71"/>
      <c r="AM27" s="69"/>
      <c r="AN27" s="141"/>
      <c r="AO27" s="141"/>
      <c r="AP27" s="141"/>
      <c r="AQ27" s="141"/>
      <c r="AR27" s="141"/>
      <c r="AS27" s="141"/>
      <c r="AT27" s="141"/>
      <c r="AU27" s="141"/>
      <c r="AV27" s="141"/>
      <c r="AW27" s="141"/>
    </row>
    <row r="28" spans="1:49" ht="45" hidden="1" customHeight="1">
      <c r="A28" s="153">
        <f t="shared" si="4"/>
        <v>25</v>
      </c>
      <c r="B28" s="153" t="s">
        <v>57</v>
      </c>
      <c r="C28" s="153" t="s">
        <v>61</v>
      </c>
      <c r="D28" s="28" t="s">
        <v>630</v>
      </c>
      <c r="E28" s="69" t="s">
        <v>793</v>
      </c>
      <c r="F28" s="39">
        <v>1</v>
      </c>
      <c r="G28" s="141" t="s">
        <v>794</v>
      </c>
      <c r="H28" s="141" t="s">
        <v>765</v>
      </c>
      <c r="I28" s="141"/>
      <c r="J28" s="141" t="s">
        <v>6</v>
      </c>
      <c r="K28" s="21"/>
      <c r="L28" s="69"/>
      <c r="M28" s="141"/>
      <c r="N28" s="59">
        <v>2</v>
      </c>
      <c r="O28" s="59">
        <v>4</v>
      </c>
      <c r="P28" s="105" t="s">
        <v>32</v>
      </c>
      <c r="Q28" s="105" t="s">
        <v>32</v>
      </c>
      <c r="R28" s="105"/>
      <c r="S28" s="90">
        <v>45952</v>
      </c>
      <c r="T28" s="90">
        <v>45952</v>
      </c>
      <c r="U28" s="93" t="s">
        <v>631</v>
      </c>
      <c r="V28" s="96" t="s">
        <v>632</v>
      </c>
      <c r="W28" s="96"/>
      <c r="X28" s="29">
        <v>0</v>
      </c>
      <c r="Y28" s="145">
        <v>0</v>
      </c>
      <c r="Z28" s="145">
        <v>0</v>
      </c>
      <c r="AA28" s="145">
        <v>0</v>
      </c>
      <c r="AB28" s="145">
        <v>0</v>
      </c>
      <c r="AC28" s="145">
        <v>0</v>
      </c>
      <c r="AD28" s="145">
        <v>0</v>
      </c>
      <c r="AE28" s="142">
        <f t="shared" ref="AE28:AE35" si="6">AVERAGE(X28:AD28)</f>
        <v>0</v>
      </c>
      <c r="AF28" s="141"/>
      <c r="AG28" s="67"/>
      <c r="AH28" s="67"/>
      <c r="AI28" s="24"/>
      <c r="AJ28" s="24"/>
      <c r="AK28" s="24"/>
      <c r="AL28" s="71"/>
      <c r="AM28" s="69" t="s">
        <v>795</v>
      </c>
      <c r="AN28" s="141"/>
      <c r="AO28" s="141"/>
      <c r="AP28" s="141"/>
      <c r="AQ28" s="141">
        <v>40</v>
      </c>
      <c r="AR28" s="86">
        <v>45931</v>
      </c>
      <c r="AS28" s="141" t="s">
        <v>757</v>
      </c>
      <c r="AT28" s="141"/>
      <c r="AU28" s="141"/>
      <c r="AV28" s="141"/>
      <c r="AW28" s="141" t="s">
        <v>757</v>
      </c>
    </row>
    <row r="29" spans="1:49" ht="45" hidden="1" customHeight="1">
      <c r="A29" s="153">
        <f t="shared" si="4"/>
        <v>26</v>
      </c>
      <c r="B29" s="153" t="s">
        <v>57</v>
      </c>
      <c r="C29" s="153" t="s">
        <v>65</v>
      </c>
      <c r="D29" s="28" t="s">
        <v>143</v>
      </c>
      <c r="E29" s="69" t="s">
        <v>820</v>
      </c>
      <c r="F29" s="39">
        <v>1</v>
      </c>
      <c r="G29" s="141" t="s">
        <v>794</v>
      </c>
      <c r="H29" s="141" t="s">
        <v>765</v>
      </c>
      <c r="I29" s="141"/>
      <c r="J29" s="141"/>
      <c r="K29" s="21"/>
      <c r="L29" s="69"/>
      <c r="M29" s="141"/>
      <c r="N29" s="59">
        <v>3</v>
      </c>
      <c r="O29" s="59">
        <v>3</v>
      </c>
      <c r="P29" s="105"/>
      <c r="Q29" s="105"/>
      <c r="R29" s="105"/>
      <c r="S29" s="90"/>
      <c r="T29" s="90"/>
      <c r="U29" s="93"/>
      <c r="V29" s="96"/>
      <c r="W29" s="96"/>
      <c r="X29" s="29">
        <v>0</v>
      </c>
      <c r="Y29" s="145">
        <v>0</v>
      </c>
      <c r="Z29" s="145">
        <v>0</v>
      </c>
      <c r="AA29" s="145">
        <v>0</v>
      </c>
      <c r="AB29" s="145">
        <v>0</v>
      </c>
      <c r="AC29" s="145">
        <v>0</v>
      </c>
      <c r="AD29" s="145">
        <v>0</v>
      </c>
      <c r="AE29" s="142">
        <f t="shared" si="6"/>
        <v>0</v>
      </c>
      <c r="AF29" s="141"/>
      <c r="AG29" s="67"/>
      <c r="AH29" s="67"/>
      <c r="AI29" s="24"/>
      <c r="AJ29" s="24"/>
      <c r="AK29" s="24"/>
      <c r="AL29" s="71"/>
      <c r="AM29" s="69" t="s">
        <v>821</v>
      </c>
      <c r="AN29" s="141">
        <v>2</v>
      </c>
      <c r="AO29" s="141" t="s">
        <v>761</v>
      </c>
      <c r="AP29" s="141"/>
      <c r="AQ29" s="141">
        <v>100</v>
      </c>
      <c r="AR29" s="86">
        <v>45931</v>
      </c>
      <c r="AS29" s="141" t="s">
        <v>757</v>
      </c>
      <c r="AT29" s="141" t="s">
        <v>757</v>
      </c>
      <c r="AU29" s="141"/>
      <c r="AV29" s="141"/>
      <c r="AW29" s="141" t="s">
        <v>757</v>
      </c>
    </row>
    <row r="30" spans="1:49" ht="45" hidden="1" customHeight="1">
      <c r="A30" s="153">
        <f t="shared" si="4"/>
        <v>27</v>
      </c>
      <c r="B30" s="153" t="s">
        <v>57</v>
      </c>
      <c r="C30" s="153" t="s">
        <v>65</v>
      </c>
      <c r="D30" s="28" t="s">
        <v>655</v>
      </c>
      <c r="E30" s="69" t="s">
        <v>824</v>
      </c>
      <c r="F30" s="39">
        <v>2</v>
      </c>
      <c r="G30" s="141" t="s">
        <v>123</v>
      </c>
      <c r="H30" s="141" t="s">
        <v>811</v>
      </c>
      <c r="I30" s="141"/>
      <c r="J30" s="141"/>
      <c r="K30" s="141"/>
      <c r="L30" s="69"/>
      <c r="M30" s="141"/>
      <c r="N30" s="59">
        <v>5</v>
      </c>
      <c r="O30" s="59">
        <v>5</v>
      </c>
      <c r="P30" s="105" t="s">
        <v>33</v>
      </c>
      <c r="Q30" s="105" t="s">
        <v>33</v>
      </c>
      <c r="R30" s="105"/>
      <c r="S30" s="90">
        <v>45933</v>
      </c>
      <c r="T30" s="90">
        <v>45947</v>
      </c>
      <c r="U30" s="93" t="s">
        <v>656</v>
      </c>
      <c r="V30" s="96" t="s">
        <v>657</v>
      </c>
      <c r="W30" s="96"/>
      <c r="X30" s="29">
        <v>0</v>
      </c>
      <c r="Y30" s="145">
        <v>0</v>
      </c>
      <c r="Z30" s="145">
        <v>0</v>
      </c>
      <c r="AA30" s="145">
        <v>0</v>
      </c>
      <c r="AB30" s="145">
        <v>0</v>
      </c>
      <c r="AC30" s="145">
        <v>0</v>
      </c>
      <c r="AD30" s="145">
        <v>0</v>
      </c>
      <c r="AE30" s="142">
        <f t="shared" si="6"/>
        <v>0</v>
      </c>
      <c r="AF30" s="141"/>
      <c r="AG30" s="67"/>
      <c r="AH30" s="67"/>
      <c r="AI30" s="24"/>
      <c r="AJ30" s="24"/>
      <c r="AK30" s="24"/>
      <c r="AL30" s="71"/>
      <c r="AM30" s="69" t="s">
        <v>825</v>
      </c>
      <c r="AN30" s="141">
        <v>4</v>
      </c>
      <c r="AO30" s="141" t="s">
        <v>756</v>
      </c>
      <c r="AP30" s="141"/>
      <c r="AQ30" s="141"/>
      <c r="AR30" s="141"/>
      <c r="AS30" s="141" t="s">
        <v>757</v>
      </c>
      <c r="AT30" s="141" t="s">
        <v>757</v>
      </c>
      <c r="AU30" s="141"/>
      <c r="AV30" s="141"/>
      <c r="AW30" s="141" t="s">
        <v>757</v>
      </c>
    </row>
    <row r="31" spans="1:49" ht="45" hidden="1" customHeight="1">
      <c r="A31" s="153">
        <f t="shared" si="4"/>
        <v>28</v>
      </c>
      <c r="B31" s="153" t="s">
        <v>57</v>
      </c>
      <c r="C31" s="153" t="s">
        <v>61</v>
      </c>
      <c r="D31" s="28" t="s">
        <v>677</v>
      </c>
      <c r="E31" s="69" t="s">
        <v>769</v>
      </c>
      <c r="F31" s="39">
        <v>2</v>
      </c>
      <c r="G31" s="141" t="s">
        <v>753</v>
      </c>
      <c r="H31" s="141" t="s">
        <v>770</v>
      </c>
      <c r="I31" s="141"/>
      <c r="J31" s="141" t="s">
        <v>26</v>
      </c>
      <c r="K31" s="141"/>
      <c r="L31" s="69"/>
      <c r="M31" s="141"/>
      <c r="N31" s="59">
        <v>2</v>
      </c>
      <c r="O31" s="59">
        <v>2</v>
      </c>
      <c r="P31" s="105" t="s">
        <v>31</v>
      </c>
      <c r="Q31" s="105" t="s">
        <v>31</v>
      </c>
      <c r="R31" s="105" t="s">
        <v>881</v>
      </c>
      <c r="S31" s="90">
        <v>45922</v>
      </c>
      <c r="T31" s="90"/>
      <c r="U31" s="93" t="s">
        <v>678</v>
      </c>
      <c r="V31" s="96" t="s">
        <v>679</v>
      </c>
      <c r="W31" s="96"/>
      <c r="X31" s="29">
        <v>0</v>
      </c>
      <c r="Y31" s="145">
        <v>0</v>
      </c>
      <c r="Z31" s="145">
        <v>0</v>
      </c>
      <c r="AA31" s="145">
        <v>0</v>
      </c>
      <c r="AB31" s="145">
        <v>0</v>
      </c>
      <c r="AC31" s="145">
        <v>0</v>
      </c>
      <c r="AD31" s="145">
        <v>0</v>
      </c>
      <c r="AE31" s="142">
        <f t="shared" si="6"/>
        <v>0</v>
      </c>
      <c r="AF31" s="141"/>
      <c r="AG31" s="67"/>
      <c r="AH31" s="67"/>
      <c r="AI31" s="24"/>
      <c r="AJ31" s="24"/>
      <c r="AK31" s="24"/>
      <c r="AL31" s="71"/>
      <c r="AM31" s="69" t="s">
        <v>771</v>
      </c>
      <c r="AN31" s="141">
        <v>5</v>
      </c>
      <c r="AO31" s="141" t="s">
        <v>761</v>
      </c>
      <c r="AP31" s="141"/>
      <c r="AQ31" s="141"/>
      <c r="AR31" s="141"/>
      <c r="AS31" s="141" t="s">
        <v>757</v>
      </c>
      <c r="AT31" s="141" t="s">
        <v>757</v>
      </c>
      <c r="AU31" s="141"/>
      <c r="AV31" s="141"/>
      <c r="AW31" s="141"/>
    </row>
    <row r="32" spans="1:49" ht="45" hidden="1" customHeight="1">
      <c r="A32" s="153">
        <f t="shared" si="4"/>
        <v>29</v>
      </c>
      <c r="B32" s="153" t="s">
        <v>57</v>
      </c>
      <c r="C32" s="153" t="s">
        <v>65</v>
      </c>
      <c r="D32" s="28" t="s">
        <v>707</v>
      </c>
      <c r="E32" s="69" t="s">
        <v>829</v>
      </c>
      <c r="F32" s="39">
        <v>1</v>
      </c>
      <c r="G32" s="141" t="s">
        <v>794</v>
      </c>
      <c r="H32" s="141" t="s">
        <v>797</v>
      </c>
      <c r="I32" s="141"/>
      <c r="J32" s="141"/>
      <c r="K32" s="141"/>
      <c r="L32" s="69"/>
      <c r="M32" s="141">
        <v>300</v>
      </c>
      <c r="N32" s="59"/>
      <c r="O32" s="59"/>
      <c r="P32" s="105"/>
      <c r="Q32" s="105"/>
      <c r="R32" s="105"/>
      <c r="S32" s="90"/>
      <c r="T32" s="90"/>
      <c r="U32" s="93"/>
      <c r="V32" s="96"/>
      <c r="W32" s="96"/>
      <c r="X32" s="29">
        <v>0</v>
      </c>
      <c r="Y32" s="145">
        <v>0</v>
      </c>
      <c r="Z32" s="145">
        <v>0</v>
      </c>
      <c r="AA32" s="145">
        <v>0</v>
      </c>
      <c r="AB32" s="145">
        <v>0</v>
      </c>
      <c r="AC32" s="145">
        <v>0</v>
      </c>
      <c r="AD32" s="145">
        <v>0</v>
      </c>
      <c r="AE32" s="142">
        <f t="shared" si="6"/>
        <v>0</v>
      </c>
      <c r="AF32" s="141"/>
      <c r="AG32" s="67"/>
      <c r="AH32" s="67"/>
      <c r="AI32" s="24"/>
      <c r="AJ32" s="24"/>
      <c r="AK32" s="24"/>
      <c r="AL32" s="71"/>
      <c r="AM32" s="69" t="s">
        <v>830</v>
      </c>
      <c r="AN32" s="141">
        <v>10</v>
      </c>
      <c r="AO32" s="141" t="s">
        <v>756</v>
      </c>
      <c r="AP32" s="141">
        <v>300</v>
      </c>
      <c r="AQ32" s="141"/>
      <c r="AR32" s="86">
        <v>45901</v>
      </c>
      <c r="AS32" s="141" t="s">
        <v>757</v>
      </c>
      <c r="AT32" s="141"/>
      <c r="AU32" s="141"/>
      <c r="AV32" s="141"/>
      <c r="AW32" s="141"/>
    </row>
    <row r="33" spans="1:49" ht="45" hidden="1" customHeight="1">
      <c r="A33" s="153">
        <f t="shared" si="4"/>
        <v>30</v>
      </c>
      <c r="B33" s="153" t="s">
        <v>57</v>
      </c>
      <c r="C33" s="153" t="s">
        <v>65</v>
      </c>
      <c r="D33" s="28" t="s">
        <v>688</v>
      </c>
      <c r="E33" s="69" t="s">
        <v>832</v>
      </c>
      <c r="F33" s="39">
        <v>1</v>
      </c>
      <c r="G33" s="141" t="s">
        <v>123</v>
      </c>
      <c r="H33" s="141" t="s">
        <v>805</v>
      </c>
      <c r="I33" s="141"/>
      <c r="J33" s="141"/>
      <c r="K33" s="141"/>
      <c r="L33" s="69"/>
      <c r="M33" s="141"/>
      <c r="N33" s="59"/>
      <c r="O33" s="59"/>
      <c r="P33" s="105"/>
      <c r="Q33" s="105"/>
      <c r="R33" s="105"/>
      <c r="S33" s="90">
        <v>45936</v>
      </c>
      <c r="T33" s="90"/>
      <c r="U33" s="93" t="s">
        <v>689</v>
      </c>
      <c r="V33" s="96"/>
      <c r="W33" s="96"/>
      <c r="X33" s="29">
        <v>0</v>
      </c>
      <c r="Y33" s="145">
        <v>0</v>
      </c>
      <c r="Z33" s="145">
        <v>0</v>
      </c>
      <c r="AA33" s="145">
        <v>0</v>
      </c>
      <c r="AB33" s="145">
        <v>0</v>
      </c>
      <c r="AC33" s="145">
        <v>0</v>
      </c>
      <c r="AD33" s="145">
        <v>0</v>
      </c>
      <c r="AE33" s="142">
        <f t="shared" si="6"/>
        <v>0</v>
      </c>
      <c r="AF33" s="141"/>
      <c r="AG33" s="67"/>
      <c r="AH33" s="67"/>
      <c r="AI33" s="24"/>
      <c r="AJ33" s="24"/>
      <c r="AK33" s="24"/>
      <c r="AL33" s="71"/>
      <c r="AM33" s="69" t="s">
        <v>833</v>
      </c>
      <c r="AN33" s="141"/>
      <c r="AO33" s="141"/>
      <c r="AP33" s="141"/>
      <c r="AQ33" s="141">
        <v>400</v>
      </c>
      <c r="AR33" s="86">
        <v>45931</v>
      </c>
      <c r="AS33" s="141" t="s">
        <v>757</v>
      </c>
      <c r="AT33" s="141" t="s">
        <v>757</v>
      </c>
      <c r="AU33" s="141"/>
      <c r="AV33" s="141"/>
      <c r="AW33" s="141" t="s">
        <v>757</v>
      </c>
    </row>
    <row r="34" spans="1:49" ht="45" hidden="1" customHeight="1">
      <c r="A34" s="153">
        <f t="shared" si="4"/>
        <v>31</v>
      </c>
      <c r="B34" s="153" t="s">
        <v>57</v>
      </c>
      <c r="C34" s="153" t="s">
        <v>65</v>
      </c>
      <c r="D34" s="28" t="s">
        <v>696</v>
      </c>
      <c r="E34" s="69" t="s">
        <v>834</v>
      </c>
      <c r="F34" s="39">
        <v>2</v>
      </c>
      <c r="G34" s="141" t="s">
        <v>835</v>
      </c>
      <c r="H34" s="141" t="s">
        <v>811</v>
      </c>
      <c r="I34" s="141"/>
      <c r="J34" s="141"/>
      <c r="K34" s="141"/>
      <c r="L34" s="69"/>
      <c r="M34" s="141"/>
      <c r="N34" s="59"/>
      <c r="O34" s="59"/>
      <c r="P34" s="105"/>
      <c r="Q34" s="105"/>
      <c r="R34" s="105"/>
      <c r="S34" s="90"/>
      <c r="T34" s="90"/>
      <c r="U34" s="93"/>
      <c r="V34" s="96"/>
      <c r="W34" s="96"/>
      <c r="X34" s="29">
        <v>0</v>
      </c>
      <c r="Y34" s="145">
        <v>0</v>
      </c>
      <c r="Z34" s="145">
        <v>0</v>
      </c>
      <c r="AA34" s="145">
        <v>0</v>
      </c>
      <c r="AB34" s="145">
        <v>0</v>
      </c>
      <c r="AC34" s="145">
        <v>0</v>
      </c>
      <c r="AD34" s="145">
        <v>0</v>
      </c>
      <c r="AE34" s="142">
        <f t="shared" si="6"/>
        <v>0</v>
      </c>
      <c r="AF34" s="141"/>
      <c r="AG34" s="67"/>
      <c r="AH34" s="67"/>
      <c r="AI34" s="24"/>
      <c r="AJ34" s="24"/>
      <c r="AK34" s="24"/>
      <c r="AL34" s="71"/>
      <c r="AM34" s="69" t="s">
        <v>836</v>
      </c>
      <c r="AN34" s="141"/>
      <c r="AO34" s="141"/>
      <c r="AP34" s="141"/>
      <c r="AQ34" s="141">
        <v>100</v>
      </c>
      <c r="AR34" s="86">
        <v>45931</v>
      </c>
      <c r="AS34" s="141"/>
      <c r="AT34" s="141" t="s">
        <v>757</v>
      </c>
      <c r="AU34" s="141"/>
      <c r="AV34" s="141"/>
      <c r="AW34" s="141" t="s">
        <v>757</v>
      </c>
    </row>
    <row r="35" spans="1:49" ht="45" hidden="1" customHeight="1">
      <c r="A35" s="153">
        <f t="shared" si="4"/>
        <v>32</v>
      </c>
      <c r="B35" s="153" t="s">
        <v>57</v>
      </c>
      <c r="C35" s="153" t="s">
        <v>65</v>
      </c>
      <c r="D35" s="28" t="s">
        <v>671</v>
      </c>
      <c r="E35" s="69" t="s">
        <v>837</v>
      </c>
      <c r="F35" s="39">
        <v>2</v>
      </c>
      <c r="G35" s="141" t="s">
        <v>753</v>
      </c>
      <c r="H35" s="141" t="s">
        <v>805</v>
      </c>
      <c r="I35" s="141"/>
      <c r="J35" s="141"/>
      <c r="K35" s="141"/>
      <c r="L35" s="69"/>
      <c r="M35" s="141"/>
      <c r="N35" s="59">
        <v>3</v>
      </c>
      <c r="O35" s="59">
        <v>3</v>
      </c>
      <c r="P35" s="105" t="s">
        <v>35</v>
      </c>
      <c r="Q35" s="105" t="s">
        <v>35</v>
      </c>
      <c r="R35" s="105"/>
      <c r="S35" s="90"/>
      <c r="T35" s="90"/>
      <c r="U35" s="93" t="s">
        <v>672</v>
      </c>
      <c r="V35" s="96" t="s">
        <v>673</v>
      </c>
      <c r="W35" s="96"/>
      <c r="X35" s="29">
        <v>0</v>
      </c>
      <c r="Y35" s="145">
        <v>0</v>
      </c>
      <c r="Z35" s="145">
        <v>0</v>
      </c>
      <c r="AA35" s="145">
        <v>0</v>
      </c>
      <c r="AB35" s="145">
        <v>0</v>
      </c>
      <c r="AC35" s="145">
        <v>0</v>
      </c>
      <c r="AD35" s="145">
        <v>0</v>
      </c>
      <c r="AE35" s="142">
        <f t="shared" si="6"/>
        <v>0</v>
      </c>
      <c r="AF35" s="141"/>
      <c r="AG35" s="67"/>
      <c r="AH35" s="67"/>
      <c r="AI35" s="24"/>
      <c r="AJ35" s="24"/>
      <c r="AK35" s="24"/>
      <c r="AL35" s="71"/>
      <c r="AM35" s="69" t="s">
        <v>838</v>
      </c>
      <c r="AN35" s="141"/>
      <c r="AO35" s="141"/>
      <c r="AP35" s="141"/>
      <c r="AQ35" s="141">
        <v>60</v>
      </c>
      <c r="AR35" s="86">
        <v>45962</v>
      </c>
      <c r="AS35" s="141" t="s">
        <v>757</v>
      </c>
      <c r="AT35" s="141" t="s">
        <v>757</v>
      </c>
      <c r="AU35" s="141"/>
      <c r="AV35" s="141"/>
      <c r="AW35" s="141"/>
    </row>
    <row r="36" spans="1:49" ht="45" hidden="1" customHeight="1">
      <c r="A36" s="153">
        <f t="shared" si="4"/>
        <v>33</v>
      </c>
      <c r="B36" s="153" t="s">
        <v>57</v>
      </c>
      <c r="C36" s="153" t="s">
        <v>65</v>
      </c>
      <c r="D36" s="28" t="s">
        <v>909</v>
      </c>
      <c r="E36" s="69" t="s">
        <v>910</v>
      </c>
      <c r="F36" s="39"/>
      <c r="G36" s="141" t="s">
        <v>123</v>
      </c>
      <c r="H36" s="141" t="s">
        <v>911</v>
      </c>
      <c r="I36" s="141"/>
      <c r="J36" s="141"/>
      <c r="K36" s="141"/>
      <c r="L36" s="69"/>
      <c r="M36" s="141"/>
      <c r="N36" s="59"/>
      <c r="O36" s="59"/>
      <c r="P36" s="105"/>
      <c r="Q36" s="105"/>
      <c r="R36" s="105"/>
      <c r="S36" s="90"/>
      <c r="T36" s="90">
        <v>45958</v>
      </c>
      <c r="U36" s="93" t="s">
        <v>912</v>
      </c>
      <c r="V36" s="96" t="s">
        <v>913</v>
      </c>
      <c r="W36" s="96"/>
      <c r="X36" s="29"/>
      <c r="Y36" s="145"/>
      <c r="Z36" s="145"/>
      <c r="AA36" s="145"/>
      <c r="AB36" s="145"/>
      <c r="AC36" s="145"/>
      <c r="AD36" s="145"/>
      <c r="AE36" s="142"/>
      <c r="AF36" s="141"/>
      <c r="AG36" s="67"/>
      <c r="AH36" s="67"/>
      <c r="AI36" s="24"/>
      <c r="AJ36" s="24"/>
      <c r="AK36" s="24"/>
      <c r="AL36" s="71"/>
      <c r="AM36" s="69" t="s">
        <v>914</v>
      </c>
      <c r="AN36" s="141"/>
      <c r="AO36" s="141"/>
      <c r="AP36" s="141"/>
      <c r="AQ36" s="141"/>
      <c r="AR36" s="86"/>
      <c r="AS36" s="141"/>
      <c r="AT36" s="141"/>
      <c r="AU36" s="141"/>
      <c r="AV36" s="141"/>
      <c r="AW36" s="141"/>
    </row>
    <row r="37" spans="1:49" ht="45" hidden="1" customHeight="1">
      <c r="A37" s="153">
        <f t="shared" si="4"/>
        <v>34</v>
      </c>
      <c r="B37" s="153" t="s">
        <v>57</v>
      </c>
      <c r="C37" s="153" t="s">
        <v>65</v>
      </c>
      <c r="D37" s="28" t="s">
        <v>915</v>
      </c>
      <c r="E37" s="69" t="s">
        <v>916</v>
      </c>
      <c r="F37" s="39"/>
      <c r="G37" s="141" t="s">
        <v>123</v>
      </c>
      <c r="H37" s="141"/>
      <c r="I37" s="141"/>
      <c r="J37" s="141"/>
      <c r="K37" s="141"/>
      <c r="L37" s="69"/>
      <c r="M37" s="141"/>
      <c r="N37" s="59"/>
      <c r="O37" s="59"/>
      <c r="P37" s="105"/>
      <c r="Q37" s="105"/>
      <c r="R37" s="105"/>
      <c r="S37" s="90">
        <v>45952</v>
      </c>
      <c r="T37" s="90">
        <v>45976</v>
      </c>
      <c r="U37" s="93" t="s">
        <v>917</v>
      </c>
      <c r="V37" s="96" t="s">
        <v>918</v>
      </c>
      <c r="W37" s="96"/>
      <c r="X37" s="29"/>
      <c r="Y37" s="145"/>
      <c r="Z37" s="145"/>
      <c r="AA37" s="145"/>
      <c r="AB37" s="145"/>
      <c r="AC37" s="145"/>
      <c r="AD37" s="145"/>
      <c r="AE37" s="142"/>
      <c r="AF37" s="141"/>
      <c r="AG37" s="67"/>
      <c r="AH37" s="67"/>
      <c r="AI37" s="24"/>
      <c r="AJ37" s="24"/>
      <c r="AK37" s="24"/>
      <c r="AL37" s="71"/>
      <c r="AM37" s="69" t="s">
        <v>919</v>
      </c>
      <c r="AN37" s="141"/>
      <c r="AO37" s="141"/>
      <c r="AP37" s="141"/>
      <c r="AQ37" s="141"/>
      <c r="AR37" s="86"/>
      <c r="AS37" s="141"/>
      <c r="AT37" s="141"/>
      <c r="AU37" s="141"/>
      <c r="AV37" s="141"/>
      <c r="AW37" s="141"/>
    </row>
    <row r="38" spans="1:49" ht="45" hidden="1" customHeight="1">
      <c r="A38" s="153">
        <f t="shared" si="4"/>
        <v>35</v>
      </c>
      <c r="B38" s="153" t="s">
        <v>57</v>
      </c>
      <c r="C38" s="153" t="s">
        <v>65</v>
      </c>
      <c r="D38" s="28" t="s">
        <v>667</v>
      </c>
      <c r="E38" s="69" t="s">
        <v>839</v>
      </c>
      <c r="F38" s="39">
        <v>2</v>
      </c>
      <c r="G38" s="141" t="s">
        <v>123</v>
      </c>
      <c r="H38" s="141" t="s">
        <v>797</v>
      </c>
      <c r="I38" s="141"/>
      <c r="J38" s="141"/>
      <c r="K38" s="141"/>
      <c r="L38" s="69"/>
      <c r="M38" s="141"/>
      <c r="N38" s="59">
        <v>4</v>
      </c>
      <c r="O38" s="59">
        <v>4</v>
      </c>
      <c r="P38" s="105" t="s">
        <v>33</v>
      </c>
      <c r="Q38" s="105" t="s">
        <v>33</v>
      </c>
      <c r="R38" s="105"/>
      <c r="S38" s="90">
        <v>45936</v>
      </c>
      <c r="T38" s="90">
        <v>45962</v>
      </c>
      <c r="U38" s="93" t="s">
        <v>668</v>
      </c>
      <c r="V38" s="93" t="s">
        <v>669</v>
      </c>
      <c r="W38" s="96"/>
      <c r="X38" s="29">
        <v>0</v>
      </c>
      <c r="Y38" s="145">
        <v>0</v>
      </c>
      <c r="Z38" s="145">
        <v>0</v>
      </c>
      <c r="AA38" s="145">
        <v>0</v>
      </c>
      <c r="AB38" s="145">
        <v>0</v>
      </c>
      <c r="AC38" s="145">
        <v>0</v>
      </c>
      <c r="AD38" s="145">
        <v>0</v>
      </c>
      <c r="AE38" s="142">
        <f t="shared" ref="AE38:AE69" si="7">AVERAGE(X38:AD38)</f>
        <v>0</v>
      </c>
      <c r="AF38" s="141"/>
      <c r="AG38" s="67"/>
      <c r="AH38" s="67"/>
      <c r="AI38" s="24"/>
      <c r="AJ38" s="24"/>
      <c r="AK38" s="24"/>
      <c r="AL38" s="71"/>
      <c r="AM38" s="69" t="s">
        <v>840</v>
      </c>
      <c r="AN38" s="141"/>
      <c r="AO38" s="141"/>
      <c r="AP38" s="141"/>
      <c r="AQ38" s="141">
        <v>15</v>
      </c>
      <c r="AR38" s="86">
        <v>45992</v>
      </c>
      <c r="AS38" s="141" t="s">
        <v>757</v>
      </c>
      <c r="AT38" s="141"/>
      <c r="AU38" s="141"/>
      <c r="AV38" s="141"/>
      <c r="AW38" s="141"/>
    </row>
    <row r="39" spans="1:49" ht="45" hidden="1" customHeight="1">
      <c r="A39" s="153">
        <f t="shared" si="4"/>
        <v>36</v>
      </c>
      <c r="B39" s="153" t="s">
        <v>57</v>
      </c>
      <c r="C39" s="153" t="s">
        <v>61</v>
      </c>
      <c r="D39" s="28" t="s">
        <v>246</v>
      </c>
      <c r="E39" s="69" t="s">
        <v>784</v>
      </c>
      <c r="F39" s="39">
        <v>2</v>
      </c>
      <c r="G39" s="141" t="s">
        <v>150</v>
      </c>
      <c r="H39" s="141" t="s">
        <v>753</v>
      </c>
      <c r="I39" s="141"/>
      <c r="J39" s="141" t="s">
        <v>14</v>
      </c>
      <c r="K39" s="141"/>
      <c r="L39" s="69"/>
      <c r="M39" s="141"/>
      <c r="N39" s="59">
        <v>1</v>
      </c>
      <c r="O39" s="59">
        <v>1</v>
      </c>
      <c r="P39" s="105" t="s">
        <v>31</v>
      </c>
      <c r="Q39" s="105" t="s">
        <v>31</v>
      </c>
      <c r="R39" s="105" t="s">
        <v>882</v>
      </c>
      <c r="S39" s="90">
        <v>45952</v>
      </c>
      <c r="T39" s="90">
        <v>45954</v>
      </c>
      <c r="U39" s="93" t="s">
        <v>700</v>
      </c>
      <c r="V39" s="96" t="s">
        <v>701</v>
      </c>
      <c r="W39" s="96" t="s">
        <v>702</v>
      </c>
      <c r="X39" s="29">
        <v>0</v>
      </c>
      <c r="Y39" s="145">
        <v>0</v>
      </c>
      <c r="Z39" s="145">
        <v>0</v>
      </c>
      <c r="AA39" s="145">
        <v>0</v>
      </c>
      <c r="AB39" s="145">
        <v>0</v>
      </c>
      <c r="AC39" s="145">
        <v>0</v>
      </c>
      <c r="AD39" s="145">
        <v>0</v>
      </c>
      <c r="AE39" s="142">
        <f t="shared" si="7"/>
        <v>0</v>
      </c>
      <c r="AF39" s="141"/>
      <c r="AG39" s="67"/>
      <c r="AH39" s="67"/>
      <c r="AI39" s="24"/>
      <c r="AJ39" s="24"/>
      <c r="AK39" s="24"/>
      <c r="AL39" s="71"/>
      <c r="AM39" s="69" t="s">
        <v>785</v>
      </c>
      <c r="AN39" s="141"/>
      <c r="AO39" s="141"/>
      <c r="AP39" s="141">
        <v>5</v>
      </c>
      <c r="AQ39" s="141">
        <v>10</v>
      </c>
      <c r="AR39" s="141"/>
      <c r="AS39" s="141"/>
      <c r="AT39" s="141" t="s">
        <v>757</v>
      </c>
      <c r="AU39" s="141"/>
      <c r="AV39" s="141" t="s">
        <v>757</v>
      </c>
      <c r="AW39" s="141" t="s">
        <v>757</v>
      </c>
    </row>
    <row r="40" spans="1:49" ht="45" hidden="1" customHeight="1">
      <c r="A40" s="153">
        <f t="shared" si="4"/>
        <v>37</v>
      </c>
      <c r="B40" s="153" t="s">
        <v>57</v>
      </c>
      <c r="C40" s="153" t="s">
        <v>63</v>
      </c>
      <c r="D40" s="28" t="s">
        <v>152</v>
      </c>
      <c r="E40" s="69" t="s">
        <v>845</v>
      </c>
      <c r="F40" s="39">
        <v>3</v>
      </c>
      <c r="G40" s="141" t="s">
        <v>753</v>
      </c>
      <c r="H40" s="141" t="s">
        <v>210</v>
      </c>
      <c r="I40" s="141"/>
      <c r="J40" s="141"/>
      <c r="K40" s="141"/>
      <c r="L40" s="69"/>
      <c r="M40" s="141"/>
      <c r="N40" s="59">
        <v>2</v>
      </c>
      <c r="O40" s="59">
        <v>4</v>
      </c>
      <c r="P40" s="105" t="s">
        <v>35</v>
      </c>
      <c r="Q40" s="105" t="s">
        <v>35</v>
      </c>
      <c r="R40" s="105"/>
      <c r="S40" s="90">
        <v>45951</v>
      </c>
      <c r="T40" s="90">
        <v>45960</v>
      </c>
      <c r="U40" s="93" t="s">
        <v>686</v>
      </c>
      <c r="V40" s="96" t="s">
        <v>687</v>
      </c>
      <c r="W40" s="96"/>
      <c r="X40" s="29">
        <v>0</v>
      </c>
      <c r="Y40" s="145">
        <v>0</v>
      </c>
      <c r="Z40" s="145">
        <v>0</v>
      </c>
      <c r="AA40" s="145">
        <v>0</v>
      </c>
      <c r="AB40" s="145">
        <v>0</v>
      </c>
      <c r="AC40" s="145">
        <v>0</v>
      </c>
      <c r="AD40" s="145">
        <v>0</v>
      </c>
      <c r="AE40" s="142">
        <f t="shared" si="7"/>
        <v>0</v>
      </c>
      <c r="AF40" s="141"/>
      <c r="AG40" s="67"/>
      <c r="AH40" s="67"/>
      <c r="AI40" s="24"/>
      <c r="AJ40" s="24"/>
      <c r="AK40" s="24"/>
      <c r="AL40" s="71"/>
      <c r="AM40" s="69" t="s">
        <v>846</v>
      </c>
      <c r="AN40" s="141">
        <v>15</v>
      </c>
      <c r="AO40" s="141" t="s">
        <v>761</v>
      </c>
      <c r="AP40" s="141"/>
      <c r="AQ40" s="141"/>
      <c r="AR40" s="141"/>
      <c r="AS40" s="141"/>
      <c r="AT40" s="141" t="s">
        <v>757</v>
      </c>
      <c r="AU40" s="141"/>
      <c r="AV40" s="141"/>
      <c r="AW40" s="141"/>
    </row>
    <row r="41" spans="1:49" ht="45" hidden="1" customHeight="1">
      <c r="A41" s="153">
        <f t="shared" si="4"/>
        <v>38</v>
      </c>
      <c r="B41" s="153" t="s">
        <v>57</v>
      </c>
      <c r="C41" s="153" t="s">
        <v>63</v>
      </c>
      <c r="D41" s="28" t="s">
        <v>674</v>
      </c>
      <c r="E41" s="69"/>
      <c r="F41" s="39">
        <v>3</v>
      </c>
      <c r="G41" s="141" t="s">
        <v>150</v>
      </c>
      <c r="H41" s="141" t="s">
        <v>805</v>
      </c>
      <c r="I41" s="141"/>
      <c r="J41" s="141"/>
      <c r="K41" s="21"/>
      <c r="L41" s="69"/>
      <c r="M41" s="141"/>
      <c r="N41" s="59">
        <v>4</v>
      </c>
      <c r="O41" s="59">
        <v>4</v>
      </c>
      <c r="P41" s="105" t="s">
        <v>33</v>
      </c>
      <c r="Q41" s="105" t="s">
        <v>33</v>
      </c>
      <c r="R41" s="105"/>
      <c r="S41" s="90">
        <v>45946</v>
      </c>
      <c r="T41" s="90">
        <v>45947</v>
      </c>
      <c r="U41" s="93" t="s">
        <v>675</v>
      </c>
      <c r="V41" s="93" t="s">
        <v>676</v>
      </c>
      <c r="W41" s="96"/>
      <c r="X41" s="29">
        <v>0</v>
      </c>
      <c r="Y41" s="145">
        <v>0</v>
      </c>
      <c r="Z41" s="145">
        <v>0</v>
      </c>
      <c r="AA41" s="145">
        <v>0</v>
      </c>
      <c r="AB41" s="145">
        <v>0</v>
      </c>
      <c r="AC41" s="145">
        <v>0</v>
      </c>
      <c r="AD41" s="145">
        <v>0</v>
      </c>
      <c r="AE41" s="142">
        <f t="shared" si="7"/>
        <v>0</v>
      </c>
      <c r="AF41" s="141"/>
      <c r="AG41" s="67"/>
      <c r="AH41" s="67"/>
      <c r="AI41" s="24"/>
      <c r="AJ41" s="24"/>
      <c r="AK41" s="24"/>
      <c r="AL41" s="71"/>
      <c r="AM41" s="69" t="s">
        <v>849</v>
      </c>
      <c r="AN41" s="141">
        <v>4</v>
      </c>
      <c r="AO41" s="141" t="s">
        <v>756</v>
      </c>
      <c r="AP41" s="141"/>
      <c r="AQ41" s="141">
        <v>100</v>
      </c>
      <c r="AR41" s="86">
        <v>45901</v>
      </c>
      <c r="AS41" s="141" t="s">
        <v>757</v>
      </c>
      <c r="AT41" s="141" t="s">
        <v>757</v>
      </c>
      <c r="AU41" s="141" t="s">
        <v>757</v>
      </c>
      <c r="AV41" s="141" t="s">
        <v>757</v>
      </c>
      <c r="AW41" s="141" t="s">
        <v>757</v>
      </c>
    </row>
    <row r="42" spans="1:49" ht="45" hidden="1" customHeight="1">
      <c r="A42" s="153">
        <f t="shared" si="4"/>
        <v>39</v>
      </c>
      <c r="B42" s="153" t="s">
        <v>57</v>
      </c>
      <c r="C42" s="153" t="s">
        <v>63</v>
      </c>
      <c r="D42" s="28" t="s">
        <v>154</v>
      </c>
      <c r="E42" s="69" t="s">
        <v>851</v>
      </c>
      <c r="F42" s="39">
        <v>1</v>
      </c>
      <c r="G42" s="141" t="s">
        <v>150</v>
      </c>
      <c r="H42" s="141" t="s">
        <v>765</v>
      </c>
      <c r="I42" s="141"/>
      <c r="J42" s="141"/>
      <c r="K42" s="141"/>
      <c r="L42" s="69"/>
      <c r="M42" s="141"/>
      <c r="N42" s="59">
        <v>5</v>
      </c>
      <c r="O42" s="59">
        <v>5</v>
      </c>
      <c r="P42" s="105" t="s">
        <v>34</v>
      </c>
      <c r="Q42" s="105" t="s">
        <v>34</v>
      </c>
      <c r="R42" s="105"/>
      <c r="S42" s="90">
        <v>45936</v>
      </c>
      <c r="T42" s="90">
        <v>45940</v>
      </c>
      <c r="U42" s="93" t="s">
        <v>640</v>
      </c>
      <c r="V42" s="96" t="s">
        <v>641</v>
      </c>
      <c r="W42" s="96" t="s">
        <v>920</v>
      </c>
      <c r="X42" s="29">
        <v>0</v>
      </c>
      <c r="Y42" s="145">
        <v>0</v>
      </c>
      <c r="Z42" s="145">
        <v>0</v>
      </c>
      <c r="AA42" s="145">
        <v>0</v>
      </c>
      <c r="AB42" s="145">
        <v>0</v>
      </c>
      <c r="AC42" s="145">
        <v>0</v>
      </c>
      <c r="AD42" s="145">
        <v>0</v>
      </c>
      <c r="AE42" s="142">
        <f t="shared" si="7"/>
        <v>0</v>
      </c>
      <c r="AF42" s="141"/>
      <c r="AG42" s="67"/>
      <c r="AH42" s="67"/>
      <c r="AI42" s="24"/>
      <c r="AJ42" s="24"/>
      <c r="AK42" s="24"/>
      <c r="AL42" s="71"/>
      <c r="AM42" s="69" t="s">
        <v>852</v>
      </c>
      <c r="AN42" s="141">
        <v>5</v>
      </c>
      <c r="AO42" s="141" t="s">
        <v>756</v>
      </c>
      <c r="AP42" s="141"/>
      <c r="AQ42" s="141"/>
      <c r="AR42" s="141"/>
      <c r="AS42" s="141" t="s">
        <v>757</v>
      </c>
      <c r="AT42" s="141" t="s">
        <v>757</v>
      </c>
      <c r="AU42" s="141" t="s">
        <v>757</v>
      </c>
      <c r="AV42" s="141"/>
      <c r="AW42" s="141" t="s">
        <v>757</v>
      </c>
    </row>
    <row r="43" spans="1:49" ht="45" hidden="1" customHeight="1">
      <c r="A43" s="153">
        <f t="shared" si="4"/>
        <v>40</v>
      </c>
      <c r="B43" s="153" t="s">
        <v>57</v>
      </c>
      <c r="C43" s="153" t="s">
        <v>63</v>
      </c>
      <c r="D43" s="28" t="s">
        <v>141</v>
      </c>
      <c r="E43" s="69"/>
      <c r="F43" s="39">
        <v>1</v>
      </c>
      <c r="G43" s="141" t="s">
        <v>150</v>
      </c>
      <c r="H43" s="141" t="s">
        <v>210</v>
      </c>
      <c r="I43" s="141"/>
      <c r="J43" s="141" t="s">
        <v>26</v>
      </c>
      <c r="K43" s="141"/>
      <c r="L43" s="69"/>
      <c r="M43" s="141"/>
      <c r="N43" s="59">
        <v>0</v>
      </c>
      <c r="O43" s="59">
        <v>0</v>
      </c>
      <c r="P43" s="105" t="s">
        <v>31</v>
      </c>
      <c r="Q43" s="105" t="s">
        <v>31</v>
      </c>
      <c r="R43" s="105" t="s">
        <v>921</v>
      </c>
      <c r="S43" s="90">
        <v>45945</v>
      </c>
      <c r="T43" s="90">
        <v>45961</v>
      </c>
      <c r="U43" s="93"/>
      <c r="V43" s="96" t="s">
        <v>638</v>
      </c>
      <c r="W43" s="96" t="s">
        <v>922</v>
      </c>
      <c r="X43" s="29">
        <v>0</v>
      </c>
      <c r="Y43" s="145">
        <v>0</v>
      </c>
      <c r="Z43" s="145">
        <v>0</v>
      </c>
      <c r="AA43" s="145">
        <v>0</v>
      </c>
      <c r="AB43" s="145">
        <v>0</v>
      </c>
      <c r="AC43" s="145">
        <v>0</v>
      </c>
      <c r="AD43" s="145">
        <v>0</v>
      </c>
      <c r="AE43" s="142">
        <f t="shared" si="7"/>
        <v>0</v>
      </c>
      <c r="AF43" s="141"/>
      <c r="AG43" s="67"/>
      <c r="AH43" s="67"/>
      <c r="AI43" s="24"/>
      <c r="AJ43" s="24"/>
      <c r="AK43" s="24"/>
      <c r="AL43" s="71"/>
      <c r="AM43" s="69" t="s">
        <v>854</v>
      </c>
      <c r="AN43" s="141">
        <v>2</v>
      </c>
      <c r="AO43" s="141" t="s">
        <v>855</v>
      </c>
      <c r="AP43" s="141"/>
      <c r="AQ43" s="141">
        <v>50</v>
      </c>
      <c r="AR43" s="86">
        <v>45962</v>
      </c>
      <c r="AS43" s="141" t="s">
        <v>757</v>
      </c>
      <c r="AT43" s="141" t="s">
        <v>757</v>
      </c>
      <c r="AU43" s="141" t="s">
        <v>757</v>
      </c>
      <c r="AV43" s="141"/>
      <c r="AW43" s="141"/>
    </row>
    <row r="44" spans="1:49" ht="45" hidden="1" customHeight="1">
      <c r="A44" s="153">
        <f t="shared" si="4"/>
        <v>41</v>
      </c>
      <c r="B44" s="153" t="s">
        <v>57</v>
      </c>
      <c r="C44" s="153" t="s">
        <v>63</v>
      </c>
      <c r="D44" s="28" t="s">
        <v>608</v>
      </c>
      <c r="E44" s="69"/>
      <c r="F44" s="39">
        <v>1</v>
      </c>
      <c r="G44" s="141" t="s">
        <v>150</v>
      </c>
      <c r="H44" s="141" t="s">
        <v>765</v>
      </c>
      <c r="I44" s="141"/>
      <c r="J44" s="141" t="s">
        <v>26</v>
      </c>
      <c r="K44" s="141"/>
      <c r="L44" s="69"/>
      <c r="M44" s="141"/>
      <c r="N44" s="59">
        <v>0</v>
      </c>
      <c r="O44" s="59">
        <v>0</v>
      </c>
      <c r="P44" s="105" t="s">
        <v>31</v>
      </c>
      <c r="Q44" s="105" t="s">
        <v>31</v>
      </c>
      <c r="R44" s="105" t="s">
        <v>883</v>
      </c>
      <c r="S44" s="90">
        <v>45938</v>
      </c>
      <c r="T44" s="90">
        <v>45954</v>
      </c>
      <c r="U44" s="93" t="s">
        <v>609</v>
      </c>
      <c r="V44" s="96" t="s">
        <v>610</v>
      </c>
      <c r="W44" s="96"/>
      <c r="X44" s="29">
        <v>0</v>
      </c>
      <c r="Y44" s="145">
        <v>0</v>
      </c>
      <c r="Z44" s="145">
        <v>0</v>
      </c>
      <c r="AA44" s="145">
        <v>0</v>
      </c>
      <c r="AB44" s="145">
        <v>0</v>
      </c>
      <c r="AC44" s="145">
        <v>0</v>
      </c>
      <c r="AD44" s="145">
        <v>0</v>
      </c>
      <c r="AE44" s="142">
        <f t="shared" si="7"/>
        <v>0</v>
      </c>
      <c r="AF44" s="141"/>
      <c r="AG44" s="67"/>
      <c r="AH44" s="67"/>
      <c r="AI44" s="24"/>
      <c r="AJ44" s="24"/>
      <c r="AK44" s="24"/>
      <c r="AL44" s="71"/>
      <c r="AM44" s="69" t="s">
        <v>857</v>
      </c>
      <c r="AN44" s="141">
        <v>5</v>
      </c>
      <c r="AO44" s="141" t="s">
        <v>761</v>
      </c>
      <c r="AP44" s="141"/>
      <c r="AQ44" s="141">
        <v>80</v>
      </c>
      <c r="AR44" s="86">
        <v>45931</v>
      </c>
      <c r="AS44" s="141" t="s">
        <v>757</v>
      </c>
      <c r="AT44" s="141" t="s">
        <v>757</v>
      </c>
      <c r="AU44" s="141"/>
      <c r="AV44" s="141"/>
      <c r="AW44" s="141" t="s">
        <v>757</v>
      </c>
    </row>
    <row r="45" spans="1:49" ht="45" hidden="1" customHeight="1">
      <c r="A45" s="153">
        <f t="shared" si="4"/>
        <v>42</v>
      </c>
      <c r="B45" s="153" t="s">
        <v>57</v>
      </c>
      <c r="C45" s="153" t="s">
        <v>63</v>
      </c>
      <c r="D45" s="28" t="s">
        <v>683</v>
      </c>
      <c r="E45" s="69"/>
      <c r="F45" s="39">
        <v>1</v>
      </c>
      <c r="G45" s="141" t="s">
        <v>150</v>
      </c>
      <c r="H45" s="141" t="s">
        <v>765</v>
      </c>
      <c r="I45" s="141"/>
      <c r="J45" s="141"/>
      <c r="K45" s="141"/>
      <c r="L45" s="69"/>
      <c r="M45" s="141"/>
      <c r="N45" s="59">
        <v>5</v>
      </c>
      <c r="O45" s="59">
        <v>5</v>
      </c>
      <c r="P45" s="105" t="s">
        <v>33</v>
      </c>
      <c r="Q45" s="105" t="s">
        <v>33</v>
      </c>
      <c r="R45" s="105"/>
      <c r="S45" s="90">
        <v>45959</v>
      </c>
      <c r="T45" s="90"/>
      <c r="U45" s="93"/>
      <c r="V45" s="96" t="s">
        <v>684</v>
      </c>
      <c r="W45" s="96" t="s">
        <v>685</v>
      </c>
      <c r="X45" s="29">
        <v>0</v>
      </c>
      <c r="Y45" s="145">
        <v>0</v>
      </c>
      <c r="Z45" s="145">
        <v>0</v>
      </c>
      <c r="AA45" s="145">
        <v>0</v>
      </c>
      <c r="AB45" s="145">
        <v>0</v>
      </c>
      <c r="AC45" s="145">
        <v>0</v>
      </c>
      <c r="AD45" s="145">
        <v>0</v>
      </c>
      <c r="AE45" s="142">
        <f t="shared" si="7"/>
        <v>0</v>
      </c>
      <c r="AF45" s="141"/>
      <c r="AG45" s="67"/>
      <c r="AH45" s="67"/>
      <c r="AI45" s="24"/>
      <c r="AJ45" s="24"/>
      <c r="AK45" s="24"/>
      <c r="AL45" s="71"/>
      <c r="AM45" s="69" t="s">
        <v>858</v>
      </c>
      <c r="AN45" s="141">
        <v>5</v>
      </c>
      <c r="AO45" s="141" t="s">
        <v>756</v>
      </c>
      <c r="AP45" s="141"/>
      <c r="AQ45" s="141">
        <v>250</v>
      </c>
      <c r="AR45" s="86">
        <v>45931</v>
      </c>
      <c r="AS45" s="141" t="s">
        <v>757</v>
      </c>
      <c r="AT45" s="141" t="s">
        <v>757</v>
      </c>
      <c r="AU45" s="141"/>
      <c r="AV45" s="141"/>
      <c r="AW45" s="141"/>
    </row>
    <row r="46" spans="1:49" ht="45" hidden="1" customHeight="1">
      <c r="A46" s="153">
        <f t="shared" si="4"/>
        <v>43</v>
      </c>
      <c r="B46" s="153" t="s">
        <v>57</v>
      </c>
      <c r="C46" s="153" t="s">
        <v>63</v>
      </c>
      <c r="D46" s="28" t="s">
        <v>680</v>
      </c>
      <c r="E46" s="69"/>
      <c r="F46" s="39">
        <v>1</v>
      </c>
      <c r="G46" s="141" t="s">
        <v>150</v>
      </c>
      <c r="H46" s="141" t="s">
        <v>765</v>
      </c>
      <c r="I46" s="141"/>
      <c r="J46" s="141"/>
      <c r="K46" s="141"/>
      <c r="L46" s="69"/>
      <c r="M46" s="141"/>
      <c r="N46" s="59">
        <v>5</v>
      </c>
      <c r="O46" s="59">
        <v>5</v>
      </c>
      <c r="P46" s="105" t="s">
        <v>33</v>
      </c>
      <c r="Q46" s="105" t="s">
        <v>33</v>
      </c>
      <c r="R46" s="105"/>
      <c r="S46" s="90">
        <v>45943</v>
      </c>
      <c r="T46" s="90">
        <v>45957</v>
      </c>
      <c r="U46" s="93" t="s">
        <v>681</v>
      </c>
      <c r="V46" s="95" t="s">
        <v>682</v>
      </c>
      <c r="W46" s="95"/>
      <c r="X46" s="29">
        <v>0</v>
      </c>
      <c r="Y46" s="145">
        <v>0</v>
      </c>
      <c r="Z46" s="145">
        <v>0</v>
      </c>
      <c r="AA46" s="145">
        <v>0</v>
      </c>
      <c r="AB46" s="145">
        <v>0</v>
      </c>
      <c r="AC46" s="145">
        <v>0</v>
      </c>
      <c r="AD46" s="145">
        <v>0</v>
      </c>
      <c r="AE46" s="142">
        <f t="shared" si="7"/>
        <v>0</v>
      </c>
      <c r="AF46" s="141"/>
      <c r="AG46" s="67"/>
      <c r="AH46" s="67"/>
      <c r="AI46" s="24"/>
      <c r="AJ46" s="24"/>
      <c r="AK46" s="24"/>
      <c r="AL46" s="71"/>
      <c r="AM46" s="69" t="s">
        <v>860</v>
      </c>
      <c r="AN46" s="141">
        <v>5</v>
      </c>
      <c r="AO46" s="141" t="s">
        <v>756</v>
      </c>
      <c r="AP46" s="141"/>
      <c r="AQ46" s="141"/>
      <c r="AR46" s="141"/>
      <c r="AS46" s="141"/>
      <c r="AT46" s="141"/>
      <c r="AU46" s="141"/>
      <c r="AV46" s="141"/>
      <c r="AW46" s="141" t="s">
        <v>757</v>
      </c>
    </row>
    <row r="47" spans="1:49" ht="45" hidden="1" customHeight="1">
      <c r="A47" s="153">
        <f t="shared" si="4"/>
        <v>44</v>
      </c>
      <c r="B47" s="153" t="s">
        <v>57</v>
      </c>
      <c r="C47" s="153" t="s">
        <v>63</v>
      </c>
      <c r="D47" s="28" t="s">
        <v>705</v>
      </c>
      <c r="E47" s="69"/>
      <c r="F47" s="39">
        <v>2</v>
      </c>
      <c r="G47" s="141" t="s">
        <v>409</v>
      </c>
      <c r="H47" s="141" t="s">
        <v>861</v>
      </c>
      <c r="I47" s="141"/>
      <c r="J47" s="141"/>
      <c r="K47" s="141"/>
      <c r="L47" s="69"/>
      <c r="M47" s="141"/>
      <c r="N47" s="59"/>
      <c r="O47" s="59"/>
      <c r="P47" s="105" t="s">
        <v>33</v>
      </c>
      <c r="Q47" s="105" t="s">
        <v>33</v>
      </c>
      <c r="R47" s="105"/>
      <c r="S47" s="90"/>
      <c r="T47" s="90"/>
      <c r="U47" s="93"/>
      <c r="V47" s="96" t="s">
        <v>706</v>
      </c>
      <c r="W47" s="96"/>
      <c r="X47" s="29">
        <v>0</v>
      </c>
      <c r="Y47" s="145">
        <v>0</v>
      </c>
      <c r="Z47" s="145">
        <v>0</v>
      </c>
      <c r="AA47" s="145">
        <v>0</v>
      </c>
      <c r="AB47" s="145">
        <v>0</v>
      </c>
      <c r="AC47" s="145">
        <v>0</v>
      </c>
      <c r="AD47" s="145">
        <v>0</v>
      </c>
      <c r="AE47" s="142">
        <f t="shared" si="7"/>
        <v>0</v>
      </c>
      <c r="AF47" s="141"/>
      <c r="AG47" s="67"/>
      <c r="AH47" s="67"/>
      <c r="AI47" s="24"/>
      <c r="AJ47" s="24"/>
      <c r="AK47" s="24"/>
      <c r="AL47" s="71"/>
      <c r="AM47" s="69" t="s">
        <v>862</v>
      </c>
      <c r="AN47" s="141">
        <v>10</v>
      </c>
      <c r="AO47" s="141" t="s">
        <v>761</v>
      </c>
      <c r="AP47" s="141"/>
      <c r="AQ47" s="141"/>
      <c r="AR47" s="141"/>
      <c r="AS47" s="141" t="s">
        <v>757</v>
      </c>
      <c r="AT47" s="141" t="s">
        <v>757</v>
      </c>
      <c r="AU47" s="141" t="s">
        <v>757</v>
      </c>
      <c r="AV47" s="141"/>
      <c r="AW47" s="141"/>
    </row>
    <row r="48" spans="1:49" ht="45" hidden="1" customHeight="1">
      <c r="A48" s="153">
        <f t="shared" si="4"/>
        <v>45</v>
      </c>
      <c r="B48" s="153" t="s">
        <v>57</v>
      </c>
      <c r="C48" s="153" t="s">
        <v>63</v>
      </c>
      <c r="D48" s="28" t="s">
        <v>713</v>
      </c>
      <c r="E48" s="69"/>
      <c r="F48" s="39">
        <v>1</v>
      </c>
      <c r="G48" s="141" t="s">
        <v>150</v>
      </c>
      <c r="H48" s="141" t="s">
        <v>764</v>
      </c>
      <c r="I48" s="141"/>
      <c r="J48" s="141" t="s">
        <v>26</v>
      </c>
      <c r="K48" s="141"/>
      <c r="L48" s="69"/>
      <c r="M48" s="141"/>
      <c r="N48" s="59">
        <v>4</v>
      </c>
      <c r="O48" s="59">
        <v>4</v>
      </c>
      <c r="P48" s="105" t="s">
        <v>34</v>
      </c>
      <c r="Q48" s="105" t="s">
        <v>32</v>
      </c>
      <c r="R48" s="105"/>
      <c r="S48" s="90"/>
      <c r="T48" s="90">
        <v>45925</v>
      </c>
      <c r="U48" s="93" t="s">
        <v>714</v>
      </c>
      <c r="V48" s="96" t="s">
        <v>715</v>
      </c>
      <c r="W48" s="96"/>
      <c r="X48" s="29">
        <v>0</v>
      </c>
      <c r="Y48" s="145">
        <v>0</v>
      </c>
      <c r="Z48" s="145">
        <v>0</v>
      </c>
      <c r="AA48" s="145">
        <v>0</v>
      </c>
      <c r="AB48" s="145">
        <v>0</v>
      </c>
      <c r="AC48" s="145">
        <v>0</v>
      </c>
      <c r="AD48" s="145">
        <v>0</v>
      </c>
      <c r="AE48" s="142">
        <f t="shared" si="7"/>
        <v>0</v>
      </c>
      <c r="AF48" s="141"/>
      <c r="AG48" s="67"/>
      <c r="AH48" s="67"/>
      <c r="AI48" s="24"/>
      <c r="AJ48" s="24"/>
      <c r="AK48" s="24"/>
      <c r="AL48" s="71"/>
      <c r="AM48" s="69" t="s">
        <v>864</v>
      </c>
      <c r="AN48" s="141"/>
      <c r="AO48" s="141"/>
      <c r="AP48" s="141"/>
      <c r="AQ48" s="141">
        <v>50</v>
      </c>
      <c r="AR48" s="86">
        <v>45901</v>
      </c>
      <c r="AS48" s="141" t="s">
        <v>757</v>
      </c>
      <c r="AT48" s="141" t="s">
        <v>757</v>
      </c>
      <c r="AU48" s="141"/>
      <c r="AV48" s="141"/>
      <c r="AW48" s="141" t="s">
        <v>757</v>
      </c>
    </row>
    <row r="49" spans="1:49" ht="45" hidden="1" customHeight="1">
      <c r="A49" s="153">
        <f t="shared" ref="A49:A80" si="8">A48+1</f>
        <v>46</v>
      </c>
      <c r="B49" s="153" t="s">
        <v>57</v>
      </c>
      <c r="C49" s="153" t="s">
        <v>63</v>
      </c>
      <c r="D49" s="28" t="s">
        <v>648</v>
      </c>
      <c r="E49" s="69"/>
      <c r="F49" s="39">
        <v>2</v>
      </c>
      <c r="G49" s="141" t="s">
        <v>150</v>
      </c>
      <c r="H49" s="141" t="s">
        <v>805</v>
      </c>
      <c r="I49" s="141"/>
      <c r="J49" s="141"/>
      <c r="K49" s="141"/>
      <c r="L49" s="69"/>
      <c r="M49" s="141"/>
      <c r="N49" s="59"/>
      <c r="O49" s="59"/>
      <c r="P49" s="105" t="s">
        <v>33</v>
      </c>
      <c r="Q49" s="105" t="s">
        <v>33</v>
      </c>
      <c r="R49" s="105"/>
      <c r="S49" s="90">
        <v>45925</v>
      </c>
      <c r="T49" s="90">
        <v>45925</v>
      </c>
      <c r="U49" s="93"/>
      <c r="V49" s="96" t="s">
        <v>649</v>
      </c>
      <c r="W49" s="96"/>
      <c r="X49" s="29">
        <v>0</v>
      </c>
      <c r="Y49" s="145">
        <v>0</v>
      </c>
      <c r="Z49" s="145">
        <v>0</v>
      </c>
      <c r="AA49" s="145">
        <v>0</v>
      </c>
      <c r="AB49" s="145">
        <v>0</v>
      </c>
      <c r="AC49" s="145">
        <v>0</v>
      </c>
      <c r="AD49" s="145">
        <v>0</v>
      </c>
      <c r="AE49" s="142">
        <f t="shared" si="7"/>
        <v>0</v>
      </c>
      <c r="AF49" s="141"/>
      <c r="AG49" s="67"/>
      <c r="AH49" s="67"/>
      <c r="AI49" s="24"/>
      <c r="AJ49" s="24"/>
      <c r="AK49" s="24"/>
      <c r="AL49" s="71"/>
      <c r="AM49" s="69" t="s">
        <v>866</v>
      </c>
      <c r="AN49" s="141"/>
      <c r="AO49" s="141"/>
      <c r="AP49" s="141"/>
      <c r="AQ49" s="141">
        <v>30</v>
      </c>
      <c r="AR49" s="86">
        <v>45901</v>
      </c>
      <c r="AS49" s="141" t="s">
        <v>757</v>
      </c>
      <c r="AT49" s="141" t="s">
        <v>757</v>
      </c>
      <c r="AU49" s="141" t="s">
        <v>757</v>
      </c>
      <c r="AV49" s="141"/>
      <c r="AW49" s="141"/>
    </row>
    <row r="50" spans="1:49" ht="45" hidden="1" customHeight="1">
      <c r="A50" s="153">
        <f t="shared" si="8"/>
        <v>47</v>
      </c>
      <c r="B50" s="153" t="s">
        <v>57</v>
      </c>
      <c r="C50" s="153" t="s">
        <v>63</v>
      </c>
      <c r="D50" s="28" t="s">
        <v>628</v>
      </c>
      <c r="E50" s="69"/>
      <c r="F50" s="39">
        <v>2</v>
      </c>
      <c r="G50" s="141" t="s">
        <v>150</v>
      </c>
      <c r="H50" s="141" t="s">
        <v>797</v>
      </c>
      <c r="I50" s="141"/>
      <c r="J50" s="141"/>
      <c r="K50" s="141"/>
      <c r="L50" s="69"/>
      <c r="M50" s="141"/>
      <c r="N50" s="59"/>
      <c r="O50" s="59"/>
      <c r="P50" s="105" t="s">
        <v>33</v>
      </c>
      <c r="Q50" s="105" t="s">
        <v>33</v>
      </c>
      <c r="R50" s="105"/>
      <c r="S50" s="90"/>
      <c r="T50" s="90"/>
      <c r="U50" s="93" t="s">
        <v>629</v>
      </c>
      <c r="V50" s="96"/>
      <c r="W50" s="96"/>
      <c r="X50" s="29">
        <v>0</v>
      </c>
      <c r="Y50" s="145">
        <v>0</v>
      </c>
      <c r="Z50" s="145">
        <v>0</v>
      </c>
      <c r="AA50" s="145">
        <v>0</v>
      </c>
      <c r="AB50" s="145">
        <v>0</v>
      </c>
      <c r="AC50" s="145">
        <v>0</v>
      </c>
      <c r="AD50" s="145">
        <v>0</v>
      </c>
      <c r="AE50" s="142">
        <f t="shared" si="7"/>
        <v>0</v>
      </c>
      <c r="AF50" s="141"/>
      <c r="AG50" s="67"/>
      <c r="AH50" s="67"/>
      <c r="AI50" s="24"/>
      <c r="AJ50" s="24"/>
      <c r="AK50" s="24"/>
      <c r="AL50" s="71"/>
      <c r="AM50" s="69" t="s">
        <v>868</v>
      </c>
      <c r="AN50" s="141"/>
      <c r="AO50" s="141"/>
      <c r="AP50" s="141"/>
      <c r="AQ50" s="141">
        <v>60</v>
      </c>
      <c r="AR50" s="86">
        <v>45962</v>
      </c>
      <c r="AS50" s="141" t="s">
        <v>757</v>
      </c>
      <c r="AT50" s="141" t="s">
        <v>757</v>
      </c>
      <c r="AU50" s="141"/>
      <c r="AV50" s="141"/>
      <c r="AW50" s="141" t="s">
        <v>757</v>
      </c>
    </row>
    <row r="51" spans="1:49" ht="45" hidden="1" customHeight="1">
      <c r="A51" s="153">
        <f t="shared" si="8"/>
        <v>48</v>
      </c>
      <c r="B51" s="153" t="s">
        <v>57</v>
      </c>
      <c r="C51" s="153" t="s">
        <v>65</v>
      </c>
      <c r="D51" s="28" t="s">
        <v>662</v>
      </c>
      <c r="E51" s="69"/>
      <c r="F51" s="39">
        <v>0</v>
      </c>
      <c r="G51" s="141" t="s">
        <v>150</v>
      </c>
      <c r="H51" s="141" t="s">
        <v>805</v>
      </c>
      <c r="I51" s="141"/>
      <c r="J51" s="141"/>
      <c r="K51" s="21" t="s">
        <v>44</v>
      </c>
      <c r="L51" s="69"/>
      <c r="M51" s="141"/>
      <c r="N51" s="59"/>
      <c r="O51" s="59"/>
      <c r="P51" s="105" t="s">
        <v>35</v>
      </c>
      <c r="Q51" s="105" t="s">
        <v>35</v>
      </c>
      <c r="R51" s="105"/>
      <c r="S51" s="90">
        <v>45940</v>
      </c>
      <c r="T51" s="90">
        <v>45947</v>
      </c>
      <c r="U51" s="93" t="s">
        <v>663</v>
      </c>
      <c r="V51" s="96" t="s">
        <v>664</v>
      </c>
      <c r="W51" s="96"/>
      <c r="X51" s="29">
        <v>0</v>
      </c>
      <c r="Y51" s="145">
        <v>0</v>
      </c>
      <c r="Z51" s="145">
        <v>0</v>
      </c>
      <c r="AA51" s="145">
        <v>0</v>
      </c>
      <c r="AB51" s="145">
        <v>0</v>
      </c>
      <c r="AC51" s="145">
        <v>0</v>
      </c>
      <c r="AD51" s="145">
        <v>0</v>
      </c>
      <c r="AE51" s="142">
        <f t="shared" si="7"/>
        <v>0</v>
      </c>
      <c r="AF51" s="141"/>
      <c r="AG51" s="67"/>
      <c r="AH51" s="67"/>
      <c r="AI51" s="24"/>
      <c r="AJ51" s="24"/>
      <c r="AK51" s="24"/>
      <c r="AL51" s="71"/>
      <c r="AM51" s="69"/>
      <c r="AN51" s="141"/>
      <c r="AO51" s="141"/>
      <c r="AP51" s="141"/>
      <c r="AQ51" s="141"/>
      <c r="AR51" s="141"/>
      <c r="AS51" s="141"/>
      <c r="AT51" s="141"/>
      <c r="AU51" s="141"/>
      <c r="AV51" s="141"/>
      <c r="AW51" s="141"/>
    </row>
    <row r="52" spans="1:49" ht="45" hidden="1" customHeight="1">
      <c r="A52" s="153">
        <f t="shared" si="8"/>
        <v>49</v>
      </c>
      <c r="B52" s="153" t="s">
        <v>57</v>
      </c>
      <c r="C52" s="153"/>
      <c r="D52" s="28"/>
      <c r="E52" s="69"/>
      <c r="F52" s="39">
        <v>0</v>
      </c>
      <c r="G52" s="141"/>
      <c r="H52" s="141"/>
      <c r="I52" s="141"/>
      <c r="J52" s="141"/>
      <c r="K52" s="141"/>
      <c r="L52" s="69"/>
      <c r="M52" s="141"/>
      <c r="N52" s="59"/>
      <c r="O52" s="59"/>
      <c r="P52" s="105"/>
      <c r="Q52" s="105"/>
      <c r="R52" s="105"/>
      <c r="S52" s="90"/>
      <c r="T52" s="90"/>
      <c r="U52" s="93"/>
      <c r="V52" s="96"/>
      <c r="W52" s="96"/>
      <c r="X52" s="29">
        <v>0</v>
      </c>
      <c r="Y52" s="145">
        <v>0</v>
      </c>
      <c r="Z52" s="145">
        <v>0</v>
      </c>
      <c r="AA52" s="145">
        <v>0</v>
      </c>
      <c r="AB52" s="145">
        <v>0</v>
      </c>
      <c r="AC52" s="145">
        <v>0</v>
      </c>
      <c r="AD52" s="145">
        <v>0</v>
      </c>
      <c r="AE52" s="142">
        <f t="shared" si="7"/>
        <v>0</v>
      </c>
      <c r="AF52" s="141"/>
      <c r="AG52" s="67"/>
      <c r="AH52" s="67"/>
      <c r="AI52" s="24"/>
      <c r="AJ52" s="24"/>
      <c r="AK52" s="24"/>
      <c r="AL52" s="71"/>
      <c r="AM52" s="69"/>
      <c r="AN52" s="141"/>
      <c r="AO52" s="141"/>
      <c r="AP52" s="141"/>
      <c r="AQ52" s="141"/>
      <c r="AR52" s="141"/>
      <c r="AS52" s="141"/>
      <c r="AT52" s="141"/>
      <c r="AU52" s="141"/>
      <c r="AV52" s="141"/>
      <c r="AW52" s="141"/>
    </row>
    <row r="53" spans="1:49" ht="45" hidden="1" customHeight="1">
      <c r="A53" s="153">
        <f t="shared" si="8"/>
        <v>50</v>
      </c>
      <c r="B53" s="153" t="s">
        <v>57</v>
      </c>
      <c r="C53" s="153"/>
      <c r="D53" s="28"/>
      <c r="E53" s="69"/>
      <c r="F53" s="39">
        <v>0</v>
      </c>
      <c r="G53" s="141"/>
      <c r="H53" s="141"/>
      <c r="I53" s="141"/>
      <c r="J53" s="141"/>
      <c r="K53" s="141"/>
      <c r="L53" s="69"/>
      <c r="M53" s="141"/>
      <c r="N53" s="59"/>
      <c r="O53" s="59"/>
      <c r="P53" s="105"/>
      <c r="Q53" s="105"/>
      <c r="R53" s="105"/>
      <c r="S53" s="90"/>
      <c r="T53" s="90"/>
      <c r="U53" s="93"/>
      <c r="V53" s="96"/>
      <c r="W53" s="96"/>
      <c r="X53" s="29">
        <v>0</v>
      </c>
      <c r="Y53" s="145">
        <v>0</v>
      </c>
      <c r="Z53" s="145">
        <v>0</v>
      </c>
      <c r="AA53" s="145">
        <v>0</v>
      </c>
      <c r="AB53" s="145">
        <v>0</v>
      </c>
      <c r="AC53" s="145">
        <v>0</v>
      </c>
      <c r="AD53" s="145">
        <v>0</v>
      </c>
      <c r="AE53" s="142">
        <f t="shared" si="7"/>
        <v>0</v>
      </c>
      <c r="AF53" s="141"/>
      <c r="AG53" s="67"/>
      <c r="AH53" s="67"/>
      <c r="AI53" s="24"/>
      <c r="AJ53" s="24"/>
      <c r="AK53" s="24"/>
      <c r="AL53" s="71"/>
      <c r="AM53" s="69"/>
      <c r="AN53" s="141"/>
      <c r="AO53" s="141"/>
      <c r="AP53" s="141"/>
      <c r="AQ53" s="141"/>
      <c r="AR53" s="141"/>
      <c r="AS53" s="141"/>
      <c r="AT53" s="141"/>
      <c r="AU53" s="141"/>
      <c r="AV53" s="141"/>
      <c r="AW53" s="141"/>
    </row>
    <row r="54" spans="1:49" ht="45" hidden="1" customHeight="1">
      <c r="A54" s="153">
        <f t="shared" si="8"/>
        <v>51</v>
      </c>
      <c r="B54" s="153" t="s">
        <v>57</v>
      </c>
      <c r="C54" s="153"/>
      <c r="D54" s="28"/>
      <c r="E54" s="69"/>
      <c r="F54" s="39">
        <v>0</v>
      </c>
      <c r="G54" s="141"/>
      <c r="H54" s="141"/>
      <c r="I54" s="141"/>
      <c r="J54" s="141"/>
      <c r="K54" s="141"/>
      <c r="L54" s="69"/>
      <c r="M54" s="141"/>
      <c r="N54" s="59"/>
      <c r="O54" s="59"/>
      <c r="P54" s="105"/>
      <c r="Q54" s="105"/>
      <c r="R54" s="105"/>
      <c r="S54" s="90"/>
      <c r="T54" s="90"/>
      <c r="U54" s="93"/>
      <c r="V54" s="96"/>
      <c r="W54" s="96"/>
      <c r="X54" s="29">
        <v>0</v>
      </c>
      <c r="Y54" s="145">
        <v>0</v>
      </c>
      <c r="Z54" s="145">
        <v>0</v>
      </c>
      <c r="AA54" s="145">
        <v>0</v>
      </c>
      <c r="AB54" s="145">
        <v>0</v>
      </c>
      <c r="AC54" s="145">
        <v>0</v>
      </c>
      <c r="AD54" s="145">
        <v>0</v>
      </c>
      <c r="AE54" s="142">
        <f t="shared" si="7"/>
        <v>0</v>
      </c>
      <c r="AF54" s="141"/>
      <c r="AG54" s="67"/>
      <c r="AH54" s="67"/>
      <c r="AI54" s="24"/>
      <c r="AJ54" s="24"/>
      <c r="AK54" s="24"/>
      <c r="AL54" s="71"/>
      <c r="AM54" s="69"/>
      <c r="AN54" s="141"/>
      <c r="AO54" s="141"/>
      <c r="AP54" s="141"/>
      <c r="AQ54" s="141"/>
      <c r="AR54" s="141"/>
      <c r="AS54" s="141"/>
      <c r="AT54" s="141"/>
      <c r="AU54" s="141"/>
      <c r="AV54" s="141"/>
      <c r="AW54" s="141"/>
    </row>
    <row r="55" spans="1:49" ht="45" hidden="1" customHeight="1">
      <c r="A55" s="153">
        <f t="shared" si="8"/>
        <v>52</v>
      </c>
      <c r="B55" s="153" t="s">
        <v>57</v>
      </c>
      <c r="C55" s="153"/>
      <c r="D55" s="28"/>
      <c r="E55" s="69"/>
      <c r="F55" s="39">
        <v>0</v>
      </c>
      <c r="G55" s="141"/>
      <c r="H55" s="141"/>
      <c r="I55" s="141"/>
      <c r="J55" s="141"/>
      <c r="K55" s="141"/>
      <c r="L55" s="69"/>
      <c r="M55" s="141"/>
      <c r="N55" s="59"/>
      <c r="O55" s="59"/>
      <c r="P55" s="105"/>
      <c r="Q55" s="105"/>
      <c r="R55" s="105"/>
      <c r="S55" s="90"/>
      <c r="T55" s="90"/>
      <c r="U55" s="93"/>
      <c r="V55" s="96"/>
      <c r="W55" s="96"/>
      <c r="X55" s="29">
        <v>0</v>
      </c>
      <c r="Y55" s="145">
        <v>0</v>
      </c>
      <c r="Z55" s="145">
        <v>0</v>
      </c>
      <c r="AA55" s="145">
        <v>0</v>
      </c>
      <c r="AB55" s="145">
        <v>0</v>
      </c>
      <c r="AC55" s="145">
        <v>0</v>
      </c>
      <c r="AD55" s="145">
        <v>0</v>
      </c>
      <c r="AE55" s="142">
        <f t="shared" si="7"/>
        <v>0</v>
      </c>
      <c r="AF55" s="141"/>
      <c r="AG55" s="67"/>
      <c r="AH55" s="67"/>
      <c r="AI55" s="24"/>
      <c r="AJ55" s="24"/>
      <c r="AK55" s="24"/>
      <c r="AL55" s="71"/>
      <c r="AM55" s="69"/>
      <c r="AN55" s="141"/>
      <c r="AO55" s="141"/>
      <c r="AP55" s="141"/>
      <c r="AQ55" s="141"/>
      <c r="AR55" s="141"/>
      <c r="AS55" s="141"/>
      <c r="AT55" s="141"/>
      <c r="AU55" s="141"/>
      <c r="AV55" s="141"/>
      <c r="AW55" s="141"/>
    </row>
    <row r="56" spans="1:49" ht="45" hidden="1" customHeight="1">
      <c r="A56" s="153">
        <f t="shared" si="8"/>
        <v>53</v>
      </c>
      <c r="B56" s="153" t="s">
        <v>57</v>
      </c>
      <c r="C56" s="153"/>
      <c r="D56" s="28"/>
      <c r="E56" s="69"/>
      <c r="F56" s="39">
        <v>0</v>
      </c>
      <c r="G56" s="141"/>
      <c r="H56" s="141"/>
      <c r="I56" s="141"/>
      <c r="J56" s="141"/>
      <c r="K56" s="141"/>
      <c r="L56" s="69"/>
      <c r="M56" s="141"/>
      <c r="N56" s="59"/>
      <c r="O56" s="59"/>
      <c r="P56" s="105"/>
      <c r="Q56" s="105"/>
      <c r="R56" s="105"/>
      <c r="S56" s="90"/>
      <c r="T56" s="90"/>
      <c r="U56" s="93"/>
      <c r="V56" s="96"/>
      <c r="W56" s="96"/>
      <c r="X56" s="29">
        <v>0</v>
      </c>
      <c r="Y56" s="145">
        <v>0</v>
      </c>
      <c r="Z56" s="145">
        <v>0</v>
      </c>
      <c r="AA56" s="145">
        <v>0</v>
      </c>
      <c r="AB56" s="145">
        <v>0</v>
      </c>
      <c r="AC56" s="145">
        <v>0</v>
      </c>
      <c r="AD56" s="145">
        <v>0</v>
      </c>
      <c r="AE56" s="142">
        <f t="shared" si="7"/>
        <v>0</v>
      </c>
      <c r="AF56" s="141"/>
      <c r="AG56" s="67"/>
      <c r="AH56" s="67"/>
      <c r="AI56" s="24"/>
      <c r="AJ56" s="24"/>
      <c r="AK56" s="24"/>
      <c r="AL56" s="71"/>
      <c r="AM56" s="69"/>
      <c r="AN56" s="141"/>
      <c r="AO56" s="141"/>
      <c r="AP56" s="141"/>
      <c r="AQ56" s="141"/>
      <c r="AR56" s="141"/>
      <c r="AS56" s="141"/>
      <c r="AT56" s="141"/>
      <c r="AU56" s="141"/>
      <c r="AV56" s="141"/>
      <c r="AW56" s="141"/>
    </row>
    <row r="57" spans="1:49" ht="45" hidden="1" customHeight="1">
      <c r="A57" s="153">
        <f t="shared" si="8"/>
        <v>54</v>
      </c>
      <c r="B57" s="153" t="s">
        <v>57</v>
      </c>
      <c r="C57" s="153"/>
      <c r="D57" s="28"/>
      <c r="E57" s="69"/>
      <c r="F57" s="39">
        <v>0</v>
      </c>
      <c r="G57" s="141"/>
      <c r="H57" s="141"/>
      <c r="I57" s="141"/>
      <c r="J57" s="141"/>
      <c r="K57" s="141"/>
      <c r="L57" s="69"/>
      <c r="M57" s="141"/>
      <c r="N57" s="59"/>
      <c r="O57" s="59"/>
      <c r="P57" s="105"/>
      <c r="Q57" s="105"/>
      <c r="R57" s="105"/>
      <c r="S57" s="90"/>
      <c r="T57" s="90"/>
      <c r="U57" s="93"/>
      <c r="V57" s="96"/>
      <c r="W57" s="96"/>
      <c r="X57" s="29">
        <v>0</v>
      </c>
      <c r="Y57" s="145">
        <v>0</v>
      </c>
      <c r="Z57" s="145">
        <v>0</v>
      </c>
      <c r="AA57" s="145">
        <v>0</v>
      </c>
      <c r="AB57" s="145">
        <v>0</v>
      </c>
      <c r="AC57" s="145">
        <v>0</v>
      </c>
      <c r="AD57" s="145">
        <v>0</v>
      </c>
      <c r="AE57" s="142">
        <f t="shared" si="7"/>
        <v>0</v>
      </c>
      <c r="AF57" s="141"/>
      <c r="AG57" s="67"/>
      <c r="AH57" s="67"/>
      <c r="AI57" s="24"/>
      <c r="AJ57" s="24"/>
      <c r="AK57" s="24"/>
      <c r="AL57" s="71"/>
      <c r="AM57" s="69"/>
      <c r="AN57" s="141"/>
      <c r="AO57" s="141"/>
      <c r="AP57" s="141"/>
      <c r="AQ57" s="141"/>
      <c r="AR57" s="141"/>
      <c r="AS57" s="141"/>
      <c r="AT57" s="141"/>
      <c r="AU57" s="141"/>
      <c r="AV57" s="141"/>
      <c r="AW57" s="141"/>
    </row>
    <row r="58" spans="1:49" ht="45" hidden="1" customHeight="1">
      <c r="A58" s="153">
        <f t="shared" si="8"/>
        <v>55</v>
      </c>
      <c r="B58" s="153" t="s">
        <v>57</v>
      </c>
      <c r="C58" s="153"/>
      <c r="D58" s="28"/>
      <c r="E58" s="69"/>
      <c r="F58" s="39">
        <v>0</v>
      </c>
      <c r="G58" s="141"/>
      <c r="H58" s="141"/>
      <c r="I58" s="141"/>
      <c r="J58" s="141"/>
      <c r="K58" s="141"/>
      <c r="L58" s="69"/>
      <c r="M58" s="141"/>
      <c r="N58" s="59"/>
      <c r="O58" s="59"/>
      <c r="P58" s="105"/>
      <c r="Q58" s="105"/>
      <c r="R58" s="105"/>
      <c r="S58" s="90"/>
      <c r="T58" s="90"/>
      <c r="U58" s="93"/>
      <c r="V58" s="94"/>
      <c r="W58" s="94"/>
      <c r="X58" s="29">
        <v>0</v>
      </c>
      <c r="Y58" s="145">
        <v>0</v>
      </c>
      <c r="Z58" s="145">
        <v>0</v>
      </c>
      <c r="AA58" s="145">
        <v>0</v>
      </c>
      <c r="AB58" s="145">
        <v>0</v>
      </c>
      <c r="AC58" s="145">
        <v>0</v>
      </c>
      <c r="AD58" s="145">
        <v>0</v>
      </c>
      <c r="AE58" s="142">
        <f t="shared" si="7"/>
        <v>0</v>
      </c>
      <c r="AF58" s="141"/>
      <c r="AG58" s="67"/>
      <c r="AH58" s="67"/>
      <c r="AI58" s="24"/>
      <c r="AJ58" s="24"/>
      <c r="AK58" s="24"/>
      <c r="AL58" s="71"/>
      <c r="AM58" s="69"/>
      <c r="AN58" s="141"/>
      <c r="AO58" s="141"/>
      <c r="AP58" s="141"/>
      <c r="AQ58" s="141"/>
      <c r="AR58" s="141"/>
      <c r="AS58" s="141"/>
      <c r="AT58" s="141"/>
      <c r="AU58" s="141"/>
      <c r="AV58" s="141"/>
      <c r="AW58" s="141"/>
    </row>
    <row r="59" spans="1:49" ht="45" hidden="1" customHeight="1">
      <c r="A59" s="153">
        <f t="shared" si="8"/>
        <v>56</v>
      </c>
      <c r="B59" s="153" t="s">
        <v>57</v>
      </c>
      <c r="C59" s="153"/>
      <c r="D59" s="28"/>
      <c r="E59" s="69"/>
      <c r="F59" s="39">
        <v>0</v>
      </c>
      <c r="G59" s="141"/>
      <c r="H59" s="141"/>
      <c r="I59" s="141"/>
      <c r="J59" s="141"/>
      <c r="K59" s="141"/>
      <c r="L59" s="69"/>
      <c r="M59" s="141"/>
      <c r="N59" s="59"/>
      <c r="O59" s="59"/>
      <c r="P59" s="105"/>
      <c r="Q59" s="105"/>
      <c r="R59" s="105"/>
      <c r="S59" s="90"/>
      <c r="T59" s="90"/>
      <c r="U59" s="93"/>
      <c r="V59" s="96"/>
      <c r="W59" s="96"/>
      <c r="X59" s="29">
        <v>0</v>
      </c>
      <c r="Y59" s="145">
        <v>0</v>
      </c>
      <c r="Z59" s="145">
        <v>0</v>
      </c>
      <c r="AA59" s="145">
        <v>0</v>
      </c>
      <c r="AB59" s="145">
        <v>0</v>
      </c>
      <c r="AC59" s="145">
        <v>0</v>
      </c>
      <c r="AD59" s="145">
        <v>0</v>
      </c>
      <c r="AE59" s="142">
        <f t="shared" si="7"/>
        <v>0</v>
      </c>
      <c r="AF59" s="141"/>
      <c r="AG59" s="67"/>
      <c r="AH59" s="67"/>
      <c r="AI59" s="24"/>
      <c r="AJ59" s="24"/>
      <c r="AK59" s="24"/>
      <c r="AL59" s="71"/>
      <c r="AM59" s="69"/>
      <c r="AN59" s="141"/>
      <c r="AO59" s="141"/>
      <c r="AP59" s="141"/>
      <c r="AQ59" s="141"/>
      <c r="AR59" s="141"/>
      <c r="AS59" s="141"/>
      <c r="AT59" s="141"/>
      <c r="AU59" s="141"/>
      <c r="AV59" s="141"/>
      <c r="AW59" s="141"/>
    </row>
    <row r="60" spans="1:49" ht="45" hidden="1" customHeight="1">
      <c r="A60" s="153">
        <f t="shared" si="8"/>
        <v>57</v>
      </c>
      <c r="B60" s="153" t="s">
        <v>57</v>
      </c>
      <c r="C60" s="28"/>
      <c r="D60" s="28"/>
      <c r="E60" s="69"/>
      <c r="F60" s="39">
        <v>0</v>
      </c>
      <c r="G60" s="141"/>
      <c r="H60" s="141"/>
      <c r="I60" s="141"/>
      <c r="J60" s="141"/>
      <c r="K60" s="141"/>
      <c r="L60" s="69"/>
      <c r="M60" s="141"/>
      <c r="N60" s="59"/>
      <c r="O60" s="59"/>
      <c r="P60" s="105"/>
      <c r="Q60" s="105"/>
      <c r="R60" s="105"/>
      <c r="S60" s="90"/>
      <c r="T60" s="90"/>
      <c r="U60" s="93"/>
      <c r="V60" s="96"/>
      <c r="W60" s="96"/>
      <c r="X60" s="29">
        <v>0</v>
      </c>
      <c r="Y60" s="145">
        <v>0</v>
      </c>
      <c r="Z60" s="145">
        <v>0</v>
      </c>
      <c r="AA60" s="145">
        <v>0</v>
      </c>
      <c r="AB60" s="145">
        <v>0</v>
      </c>
      <c r="AC60" s="145">
        <v>0</v>
      </c>
      <c r="AD60" s="145">
        <v>0</v>
      </c>
      <c r="AE60" s="142">
        <f t="shared" si="7"/>
        <v>0</v>
      </c>
      <c r="AF60" s="141"/>
      <c r="AG60" s="67"/>
      <c r="AH60" s="67"/>
      <c r="AI60" s="24"/>
      <c r="AJ60" s="24"/>
      <c r="AK60" s="24"/>
      <c r="AL60" s="71"/>
      <c r="AM60" s="69"/>
      <c r="AN60" s="141"/>
      <c r="AO60" s="141"/>
      <c r="AP60" s="141"/>
      <c r="AQ60" s="141"/>
      <c r="AR60" s="141"/>
      <c r="AS60" s="141"/>
      <c r="AT60" s="141"/>
      <c r="AU60" s="141"/>
      <c r="AV60" s="141"/>
      <c r="AW60" s="141"/>
    </row>
    <row r="61" spans="1:49" ht="45" hidden="1" customHeight="1">
      <c r="A61" s="153">
        <f t="shared" si="8"/>
        <v>58</v>
      </c>
      <c r="B61" s="153" t="s">
        <v>57</v>
      </c>
      <c r="C61" s="140"/>
      <c r="D61" s="28"/>
      <c r="E61" s="69"/>
      <c r="F61" s="39">
        <v>0</v>
      </c>
      <c r="G61" s="141"/>
      <c r="H61" s="141"/>
      <c r="I61" s="141"/>
      <c r="J61" s="141"/>
      <c r="K61" s="141"/>
      <c r="L61" s="69"/>
      <c r="M61" s="141"/>
      <c r="N61" s="59"/>
      <c r="O61" s="59"/>
      <c r="P61" s="105"/>
      <c r="Q61" s="105"/>
      <c r="R61" s="105"/>
      <c r="S61" s="90"/>
      <c r="T61" s="90"/>
      <c r="U61" s="93"/>
      <c r="V61" s="96"/>
      <c r="W61" s="96"/>
      <c r="X61" s="29">
        <v>0</v>
      </c>
      <c r="Y61" s="145">
        <v>0</v>
      </c>
      <c r="Z61" s="145">
        <v>0</v>
      </c>
      <c r="AA61" s="145">
        <v>0</v>
      </c>
      <c r="AB61" s="145">
        <v>0</v>
      </c>
      <c r="AC61" s="145">
        <v>0</v>
      </c>
      <c r="AD61" s="145">
        <v>0</v>
      </c>
      <c r="AE61" s="142">
        <f t="shared" si="7"/>
        <v>0</v>
      </c>
      <c r="AF61" s="141"/>
      <c r="AG61" s="67"/>
      <c r="AH61" s="67"/>
      <c r="AI61" s="24"/>
      <c r="AJ61" s="24"/>
      <c r="AK61" s="24"/>
      <c r="AL61" s="71"/>
      <c r="AM61" s="69"/>
      <c r="AN61" s="141"/>
      <c r="AO61" s="141"/>
      <c r="AP61" s="141"/>
      <c r="AQ61" s="141"/>
      <c r="AR61" s="141"/>
      <c r="AS61" s="141"/>
      <c r="AT61" s="141"/>
      <c r="AU61" s="141"/>
      <c r="AV61" s="141"/>
      <c r="AW61" s="141"/>
    </row>
    <row r="62" spans="1:49" ht="45" hidden="1" customHeight="1">
      <c r="A62" s="153">
        <f t="shared" si="8"/>
        <v>59</v>
      </c>
      <c r="B62" s="153" t="s">
        <v>57</v>
      </c>
      <c r="C62" s="140"/>
      <c r="D62" s="28"/>
      <c r="E62" s="69"/>
      <c r="F62" s="39">
        <v>0</v>
      </c>
      <c r="G62" s="141"/>
      <c r="H62" s="141"/>
      <c r="I62" s="141"/>
      <c r="J62" s="141"/>
      <c r="K62" s="21"/>
      <c r="L62" s="69"/>
      <c r="M62" s="141"/>
      <c r="N62" s="59"/>
      <c r="O62" s="59"/>
      <c r="P62" s="105"/>
      <c r="Q62" s="105"/>
      <c r="R62" s="105"/>
      <c r="S62" s="90"/>
      <c r="T62" s="90"/>
      <c r="U62" s="93"/>
      <c r="V62" s="96"/>
      <c r="W62" s="96"/>
      <c r="X62" s="29">
        <v>0</v>
      </c>
      <c r="Y62" s="145">
        <v>0</v>
      </c>
      <c r="Z62" s="145">
        <v>0</v>
      </c>
      <c r="AA62" s="145">
        <v>0</v>
      </c>
      <c r="AB62" s="145">
        <v>0</v>
      </c>
      <c r="AC62" s="145">
        <v>0</v>
      </c>
      <c r="AD62" s="145">
        <v>0</v>
      </c>
      <c r="AE62" s="142">
        <f t="shared" si="7"/>
        <v>0</v>
      </c>
      <c r="AF62" s="141"/>
      <c r="AG62" s="67"/>
      <c r="AH62" s="67"/>
      <c r="AI62" s="24"/>
      <c r="AJ62" s="24"/>
      <c r="AK62" s="24"/>
      <c r="AL62" s="71"/>
      <c r="AM62" s="69"/>
      <c r="AN62" s="141"/>
      <c r="AO62" s="141"/>
      <c r="AP62" s="141"/>
      <c r="AQ62" s="141"/>
      <c r="AR62" s="141"/>
      <c r="AS62" s="141"/>
      <c r="AT62" s="141"/>
      <c r="AU62" s="141"/>
      <c r="AV62" s="141"/>
      <c r="AW62" s="141"/>
    </row>
    <row r="63" spans="1:49" ht="45" hidden="1" customHeight="1">
      <c r="A63" s="153">
        <f t="shared" si="8"/>
        <v>60</v>
      </c>
      <c r="B63" s="153" t="s">
        <v>57</v>
      </c>
      <c r="C63" s="140"/>
      <c r="D63" s="28"/>
      <c r="E63" s="69"/>
      <c r="F63" s="39">
        <v>0</v>
      </c>
      <c r="G63" s="141"/>
      <c r="H63" s="141"/>
      <c r="I63" s="141"/>
      <c r="J63" s="141"/>
      <c r="K63" s="141"/>
      <c r="L63" s="69"/>
      <c r="M63" s="141"/>
      <c r="N63" s="59"/>
      <c r="O63" s="59"/>
      <c r="P63" s="105"/>
      <c r="Q63" s="105"/>
      <c r="R63" s="105"/>
      <c r="S63" s="90"/>
      <c r="T63" s="90"/>
      <c r="U63" s="93"/>
      <c r="V63" s="96"/>
      <c r="W63" s="96"/>
      <c r="X63" s="29">
        <v>0</v>
      </c>
      <c r="Y63" s="145">
        <v>0</v>
      </c>
      <c r="Z63" s="145">
        <v>0</v>
      </c>
      <c r="AA63" s="145">
        <v>0</v>
      </c>
      <c r="AB63" s="145">
        <v>0</v>
      </c>
      <c r="AC63" s="145">
        <v>0</v>
      </c>
      <c r="AD63" s="145">
        <v>0</v>
      </c>
      <c r="AE63" s="142">
        <f t="shared" si="7"/>
        <v>0</v>
      </c>
      <c r="AF63" s="141"/>
      <c r="AG63" s="67"/>
      <c r="AH63" s="67"/>
      <c r="AI63" s="24"/>
      <c r="AJ63" s="24"/>
      <c r="AK63" s="24"/>
      <c r="AL63" s="71"/>
      <c r="AM63" s="69"/>
      <c r="AN63" s="141"/>
      <c r="AO63" s="141"/>
      <c r="AP63" s="141"/>
      <c r="AQ63" s="141"/>
      <c r="AR63" s="141"/>
      <c r="AS63" s="141"/>
      <c r="AT63" s="141"/>
      <c r="AU63" s="141"/>
      <c r="AV63" s="141"/>
      <c r="AW63" s="141"/>
    </row>
    <row r="64" spans="1:49" ht="45" hidden="1" customHeight="1">
      <c r="A64" s="153">
        <f t="shared" si="8"/>
        <v>61</v>
      </c>
      <c r="B64" s="153" t="s">
        <v>57</v>
      </c>
      <c r="C64" s="140"/>
      <c r="D64" s="28"/>
      <c r="E64" s="69"/>
      <c r="F64" s="39">
        <v>0</v>
      </c>
      <c r="G64" s="141"/>
      <c r="H64" s="141"/>
      <c r="I64" s="141"/>
      <c r="J64" s="141"/>
      <c r="K64" s="141"/>
      <c r="L64" s="69"/>
      <c r="M64" s="141"/>
      <c r="N64" s="59"/>
      <c r="O64" s="59"/>
      <c r="P64" s="105"/>
      <c r="Q64" s="105"/>
      <c r="R64" s="105"/>
      <c r="S64" s="90"/>
      <c r="T64" s="90"/>
      <c r="U64" s="93"/>
      <c r="V64" s="96"/>
      <c r="W64" s="96"/>
      <c r="X64" s="29">
        <v>0</v>
      </c>
      <c r="Y64" s="145">
        <v>0</v>
      </c>
      <c r="Z64" s="145">
        <v>0</v>
      </c>
      <c r="AA64" s="145">
        <v>0</v>
      </c>
      <c r="AB64" s="145">
        <v>0</v>
      </c>
      <c r="AC64" s="145">
        <v>0</v>
      </c>
      <c r="AD64" s="145">
        <v>0</v>
      </c>
      <c r="AE64" s="142">
        <f t="shared" si="7"/>
        <v>0</v>
      </c>
      <c r="AF64" s="141"/>
      <c r="AG64" s="67"/>
      <c r="AH64" s="67"/>
      <c r="AI64" s="24"/>
      <c r="AJ64" s="24"/>
      <c r="AK64" s="24"/>
      <c r="AL64" s="71"/>
      <c r="AM64" s="69"/>
      <c r="AN64" s="141"/>
      <c r="AO64" s="141"/>
      <c r="AP64" s="141"/>
      <c r="AQ64" s="141"/>
      <c r="AR64" s="141"/>
      <c r="AS64" s="141"/>
      <c r="AT64" s="141"/>
      <c r="AU64" s="141"/>
      <c r="AV64" s="141"/>
      <c r="AW64" s="141"/>
    </row>
    <row r="65" spans="1:49" ht="45" hidden="1" customHeight="1">
      <c r="A65" s="153">
        <f t="shared" si="8"/>
        <v>62</v>
      </c>
      <c r="B65" s="153" t="s">
        <v>57</v>
      </c>
      <c r="C65" s="58"/>
      <c r="D65" s="28"/>
      <c r="E65" s="69"/>
      <c r="F65" s="39">
        <v>0</v>
      </c>
      <c r="G65" s="141"/>
      <c r="H65" s="141"/>
      <c r="I65" s="141"/>
      <c r="J65" s="141"/>
      <c r="K65" s="141"/>
      <c r="L65" s="69"/>
      <c r="M65" s="141"/>
      <c r="N65" s="59"/>
      <c r="O65" s="59"/>
      <c r="P65" s="105"/>
      <c r="Q65" s="105"/>
      <c r="R65" s="105"/>
      <c r="S65" s="90"/>
      <c r="T65" s="90"/>
      <c r="U65" s="93"/>
      <c r="V65" s="96"/>
      <c r="W65" s="96"/>
      <c r="X65" s="29">
        <v>0</v>
      </c>
      <c r="Y65" s="145">
        <v>0</v>
      </c>
      <c r="Z65" s="145">
        <v>0</v>
      </c>
      <c r="AA65" s="145">
        <v>0</v>
      </c>
      <c r="AB65" s="145">
        <v>0</v>
      </c>
      <c r="AC65" s="145">
        <v>0</v>
      </c>
      <c r="AD65" s="145">
        <v>0</v>
      </c>
      <c r="AE65" s="142">
        <f t="shared" si="7"/>
        <v>0</v>
      </c>
      <c r="AF65" s="141"/>
      <c r="AG65" s="67"/>
      <c r="AH65" s="67"/>
      <c r="AI65" s="24"/>
      <c r="AJ65" s="24"/>
      <c r="AK65" s="24"/>
      <c r="AL65" s="71"/>
      <c r="AM65" s="69"/>
      <c r="AN65" s="141"/>
      <c r="AO65" s="141"/>
      <c r="AP65" s="141"/>
      <c r="AQ65" s="141"/>
      <c r="AR65" s="141"/>
      <c r="AS65" s="141"/>
      <c r="AT65" s="141"/>
      <c r="AU65" s="141"/>
      <c r="AV65" s="141"/>
      <c r="AW65" s="141"/>
    </row>
    <row r="66" spans="1:49" ht="45" hidden="1" customHeight="1">
      <c r="A66" s="153">
        <f t="shared" si="8"/>
        <v>63</v>
      </c>
      <c r="B66" s="153" t="s">
        <v>57</v>
      </c>
      <c r="C66" s="140"/>
      <c r="D66" s="28"/>
      <c r="E66" s="69"/>
      <c r="F66" s="39">
        <v>0</v>
      </c>
      <c r="G66" s="21"/>
      <c r="H66" s="21"/>
      <c r="I66" s="21"/>
      <c r="J66" s="141"/>
      <c r="K66" s="21"/>
      <c r="L66" s="69"/>
      <c r="M66" s="141"/>
      <c r="N66" s="59"/>
      <c r="O66" s="59"/>
      <c r="P66" s="105"/>
      <c r="Q66" s="105"/>
      <c r="R66" s="105"/>
      <c r="S66" s="90"/>
      <c r="T66" s="90"/>
      <c r="U66" s="93"/>
      <c r="V66" s="96"/>
      <c r="W66" s="96"/>
      <c r="X66" s="29">
        <v>0</v>
      </c>
      <c r="Y66" s="145">
        <v>0</v>
      </c>
      <c r="Z66" s="145">
        <v>0</v>
      </c>
      <c r="AA66" s="145">
        <v>0</v>
      </c>
      <c r="AB66" s="145">
        <v>0</v>
      </c>
      <c r="AC66" s="145">
        <v>0</v>
      </c>
      <c r="AD66" s="145">
        <v>0</v>
      </c>
      <c r="AE66" s="142">
        <f t="shared" si="7"/>
        <v>0</v>
      </c>
      <c r="AF66" s="141"/>
      <c r="AG66" s="67"/>
      <c r="AH66" s="67"/>
      <c r="AI66" s="24"/>
      <c r="AJ66" s="24"/>
      <c r="AK66" s="24"/>
      <c r="AL66" s="71"/>
      <c r="AM66" s="69"/>
      <c r="AN66" s="141"/>
      <c r="AO66" s="141"/>
      <c r="AP66" s="141"/>
      <c r="AQ66" s="141"/>
      <c r="AR66" s="141"/>
      <c r="AS66" s="141"/>
      <c r="AT66" s="141"/>
      <c r="AU66" s="141"/>
      <c r="AV66" s="141"/>
      <c r="AW66" s="141"/>
    </row>
    <row r="67" spans="1:49" ht="45" hidden="1" customHeight="1">
      <c r="A67" s="153">
        <f t="shared" si="8"/>
        <v>64</v>
      </c>
      <c r="B67" s="153" t="s">
        <v>57</v>
      </c>
      <c r="C67" s="140"/>
      <c r="D67" s="28"/>
      <c r="E67" s="69"/>
      <c r="F67" s="39">
        <v>0</v>
      </c>
      <c r="G67" s="141"/>
      <c r="H67" s="141"/>
      <c r="I67" s="141"/>
      <c r="J67" s="141"/>
      <c r="K67" s="141"/>
      <c r="L67" s="69"/>
      <c r="M67" s="141"/>
      <c r="N67" s="59"/>
      <c r="O67" s="59"/>
      <c r="P67" s="105"/>
      <c r="Q67" s="105"/>
      <c r="R67" s="105"/>
      <c r="S67" s="90"/>
      <c r="T67" s="90"/>
      <c r="U67" s="93"/>
      <c r="V67" s="96"/>
      <c r="W67" s="96"/>
      <c r="X67" s="29">
        <v>0</v>
      </c>
      <c r="Y67" s="145">
        <v>0</v>
      </c>
      <c r="Z67" s="145">
        <v>0</v>
      </c>
      <c r="AA67" s="145">
        <v>0</v>
      </c>
      <c r="AB67" s="145">
        <v>0</v>
      </c>
      <c r="AC67" s="145">
        <v>0</v>
      </c>
      <c r="AD67" s="145">
        <v>0</v>
      </c>
      <c r="AE67" s="142">
        <f t="shared" si="7"/>
        <v>0</v>
      </c>
      <c r="AF67" s="141"/>
      <c r="AG67" s="67"/>
      <c r="AH67" s="67"/>
      <c r="AI67" s="24"/>
      <c r="AJ67" s="24"/>
      <c r="AK67" s="24"/>
      <c r="AL67" s="71"/>
      <c r="AM67" s="69"/>
      <c r="AN67" s="141"/>
      <c r="AO67" s="141"/>
      <c r="AP67" s="141"/>
      <c r="AQ67" s="141"/>
      <c r="AR67" s="141"/>
      <c r="AS67" s="141"/>
      <c r="AT67" s="141"/>
      <c r="AU67" s="141"/>
      <c r="AV67" s="141"/>
      <c r="AW67" s="141"/>
    </row>
    <row r="68" spans="1:49" ht="45" hidden="1" customHeight="1">
      <c r="A68" s="153">
        <f t="shared" si="8"/>
        <v>65</v>
      </c>
      <c r="B68" s="153" t="s">
        <v>57</v>
      </c>
      <c r="C68" s="140"/>
      <c r="D68" s="28"/>
      <c r="E68" s="69"/>
      <c r="F68" s="39">
        <v>0</v>
      </c>
      <c r="G68" s="141"/>
      <c r="H68" s="141"/>
      <c r="I68" s="141"/>
      <c r="J68" s="141"/>
      <c r="K68" s="141"/>
      <c r="L68" s="69"/>
      <c r="M68" s="141"/>
      <c r="N68" s="59"/>
      <c r="O68" s="59"/>
      <c r="P68" s="105"/>
      <c r="Q68" s="105"/>
      <c r="R68" s="105"/>
      <c r="S68" s="90"/>
      <c r="T68" s="90"/>
      <c r="U68" s="93"/>
      <c r="V68" s="96"/>
      <c r="W68" s="96"/>
      <c r="X68" s="29">
        <v>0</v>
      </c>
      <c r="Y68" s="145">
        <v>0</v>
      </c>
      <c r="Z68" s="145">
        <v>0</v>
      </c>
      <c r="AA68" s="145">
        <v>0</v>
      </c>
      <c r="AB68" s="145">
        <v>0</v>
      </c>
      <c r="AC68" s="145">
        <v>0</v>
      </c>
      <c r="AD68" s="145">
        <v>0</v>
      </c>
      <c r="AE68" s="142">
        <f t="shared" si="7"/>
        <v>0</v>
      </c>
      <c r="AF68" s="141"/>
      <c r="AG68" s="67"/>
      <c r="AH68" s="67"/>
      <c r="AI68" s="24"/>
      <c r="AJ68" s="24"/>
      <c r="AK68" s="24"/>
      <c r="AL68" s="71"/>
      <c r="AM68" s="69"/>
      <c r="AN68" s="141"/>
      <c r="AO68" s="141"/>
      <c r="AP68" s="141"/>
      <c r="AQ68" s="141"/>
      <c r="AR68" s="141"/>
      <c r="AS68" s="141"/>
      <c r="AT68" s="141"/>
      <c r="AU68" s="141"/>
      <c r="AV68" s="141"/>
      <c r="AW68" s="141"/>
    </row>
    <row r="69" spans="1:49" ht="45" hidden="1" customHeight="1">
      <c r="A69" s="153">
        <f t="shared" si="8"/>
        <v>66</v>
      </c>
      <c r="B69" s="153"/>
      <c r="C69" s="140"/>
      <c r="D69" s="28"/>
      <c r="E69" s="69"/>
      <c r="F69" s="39">
        <v>0</v>
      </c>
      <c r="G69" s="141"/>
      <c r="H69" s="141"/>
      <c r="I69" s="141"/>
      <c r="J69" s="141"/>
      <c r="K69" s="141"/>
      <c r="L69" s="69"/>
      <c r="M69" s="141"/>
      <c r="N69" s="59"/>
      <c r="O69" s="59"/>
      <c r="P69" s="105"/>
      <c r="Q69" s="105"/>
      <c r="R69" s="105"/>
      <c r="S69" s="90"/>
      <c r="T69" s="90"/>
      <c r="U69" s="93"/>
      <c r="V69" s="96"/>
      <c r="W69" s="96"/>
      <c r="X69" s="29">
        <v>0</v>
      </c>
      <c r="Y69" s="145">
        <v>0</v>
      </c>
      <c r="Z69" s="145">
        <v>0</v>
      </c>
      <c r="AA69" s="145">
        <v>0</v>
      </c>
      <c r="AB69" s="145">
        <v>0</v>
      </c>
      <c r="AC69" s="145">
        <v>0</v>
      </c>
      <c r="AD69" s="145">
        <v>0</v>
      </c>
      <c r="AE69" s="142">
        <f t="shared" si="7"/>
        <v>0</v>
      </c>
      <c r="AF69" s="141"/>
      <c r="AG69" s="67"/>
      <c r="AH69" s="67"/>
      <c r="AI69" s="24"/>
      <c r="AJ69" s="24"/>
      <c r="AK69" s="24"/>
      <c r="AL69" s="71"/>
      <c r="AM69" s="69"/>
      <c r="AN69" s="141"/>
      <c r="AO69" s="141"/>
      <c r="AP69" s="141"/>
      <c r="AQ69" s="141"/>
      <c r="AR69" s="141"/>
      <c r="AS69" s="141"/>
      <c r="AT69" s="141"/>
      <c r="AU69" s="141"/>
      <c r="AV69" s="141"/>
      <c r="AW69" s="141"/>
    </row>
    <row r="70" spans="1:49" ht="45" hidden="1" customHeight="1">
      <c r="A70" s="153">
        <f t="shared" si="8"/>
        <v>67</v>
      </c>
      <c r="B70" s="153"/>
      <c r="C70" s="140"/>
      <c r="D70" s="28"/>
      <c r="E70" s="69"/>
      <c r="F70" s="39">
        <v>0</v>
      </c>
      <c r="G70" s="141"/>
      <c r="H70" s="141"/>
      <c r="I70" s="141"/>
      <c r="J70" s="141"/>
      <c r="K70" s="141"/>
      <c r="L70" s="69"/>
      <c r="M70" s="141"/>
      <c r="N70" s="59"/>
      <c r="O70" s="59"/>
      <c r="P70" s="105"/>
      <c r="Q70" s="105"/>
      <c r="R70" s="105"/>
      <c r="S70" s="90"/>
      <c r="T70" s="90"/>
      <c r="U70" s="93"/>
      <c r="V70" s="96"/>
      <c r="W70" s="96"/>
      <c r="X70" s="29">
        <v>0</v>
      </c>
      <c r="Y70" s="145">
        <v>0</v>
      </c>
      <c r="Z70" s="145">
        <v>0</v>
      </c>
      <c r="AA70" s="145">
        <v>0</v>
      </c>
      <c r="AB70" s="145">
        <v>0</v>
      </c>
      <c r="AC70" s="145">
        <v>0</v>
      </c>
      <c r="AD70" s="145">
        <v>0</v>
      </c>
      <c r="AE70" s="142">
        <f t="shared" ref="AE70:AE101" si="9">AVERAGE(X70:AD70)</f>
        <v>0</v>
      </c>
      <c r="AF70" s="141"/>
      <c r="AG70" s="67"/>
      <c r="AH70" s="67"/>
      <c r="AI70" s="24"/>
      <c r="AJ70" s="24"/>
      <c r="AK70" s="24"/>
      <c r="AL70" s="71"/>
      <c r="AM70" s="69"/>
      <c r="AN70" s="141"/>
      <c r="AO70" s="141"/>
      <c r="AP70" s="141"/>
      <c r="AQ70" s="141"/>
      <c r="AR70" s="141"/>
      <c r="AS70" s="141"/>
      <c r="AT70" s="141"/>
      <c r="AU70" s="141"/>
      <c r="AV70" s="141"/>
      <c r="AW70" s="141"/>
    </row>
    <row r="71" spans="1:49" ht="45" hidden="1" customHeight="1">
      <c r="A71" s="153">
        <f t="shared" si="8"/>
        <v>68</v>
      </c>
      <c r="B71" s="153"/>
      <c r="C71" s="140"/>
      <c r="D71" s="28"/>
      <c r="E71" s="69"/>
      <c r="F71" s="39">
        <v>0</v>
      </c>
      <c r="G71" s="141"/>
      <c r="H71" s="141"/>
      <c r="I71" s="141"/>
      <c r="J71" s="141"/>
      <c r="K71" s="141"/>
      <c r="L71" s="69"/>
      <c r="M71" s="141"/>
      <c r="N71" s="59"/>
      <c r="O71" s="59"/>
      <c r="P71" s="105"/>
      <c r="Q71" s="105"/>
      <c r="R71" s="105"/>
      <c r="S71" s="90"/>
      <c r="T71" s="90"/>
      <c r="U71" s="93"/>
      <c r="V71" s="96"/>
      <c r="W71" s="96"/>
      <c r="X71" s="29">
        <v>0</v>
      </c>
      <c r="Y71" s="145">
        <v>0</v>
      </c>
      <c r="Z71" s="145">
        <v>0</v>
      </c>
      <c r="AA71" s="145">
        <v>0</v>
      </c>
      <c r="AB71" s="145">
        <v>0</v>
      </c>
      <c r="AC71" s="145">
        <v>0</v>
      </c>
      <c r="AD71" s="145">
        <v>0</v>
      </c>
      <c r="AE71" s="142">
        <f t="shared" si="9"/>
        <v>0</v>
      </c>
      <c r="AF71" s="141"/>
      <c r="AG71" s="67"/>
      <c r="AH71" s="67"/>
      <c r="AI71" s="24"/>
      <c r="AJ71" s="24"/>
      <c r="AK71" s="24"/>
      <c r="AL71" s="71"/>
      <c r="AM71" s="69"/>
      <c r="AN71" s="141"/>
      <c r="AO71" s="141"/>
      <c r="AP71" s="141"/>
      <c r="AQ71" s="141"/>
      <c r="AR71" s="141"/>
      <c r="AS71" s="141"/>
      <c r="AT71" s="141"/>
      <c r="AU71" s="141"/>
      <c r="AV71" s="141"/>
      <c r="AW71" s="141"/>
    </row>
    <row r="72" spans="1:49" ht="45" hidden="1" customHeight="1">
      <c r="A72" s="153">
        <f t="shared" si="8"/>
        <v>69</v>
      </c>
      <c r="B72" s="153"/>
      <c r="C72" s="140"/>
      <c r="D72" s="28"/>
      <c r="E72" s="69"/>
      <c r="F72" s="39">
        <v>0</v>
      </c>
      <c r="G72" s="141"/>
      <c r="H72" s="141"/>
      <c r="I72" s="141"/>
      <c r="J72" s="141"/>
      <c r="K72" s="141"/>
      <c r="L72" s="69"/>
      <c r="M72" s="141"/>
      <c r="N72" s="59"/>
      <c r="O72" s="59"/>
      <c r="P72" s="105"/>
      <c r="Q72" s="105"/>
      <c r="R72" s="105"/>
      <c r="S72" s="90"/>
      <c r="T72" s="90"/>
      <c r="U72" s="93"/>
      <c r="V72" s="96"/>
      <c r="W72" s="96"/>
      <c r="X72" s="29">
        <v>0</v>
      </c>
      <c r="Y72" s="145">
        <v>0</v>
      </c>
      <c r="Z72" s="145">
        <v>0</v>
      </c>
      <c r="AA72" s="145">
        <v>0</v>
      </c>
      <c r="AB72" s="145">
        <v>0</v>
      </c>
      <c r="AC72" s="145">
        <v>0</v>
      </c>
      <c r="AD72" s="145">
        <v>0</v>
      </c>
      <c r="AE72" s="142">
        <f t="shared" si="9"/>
        <v>0</v>
      </c>
      <c r="AF72" s="141"/>
      <c r="AG72" s="67"/>
      <c r="AH72" s="67"/>
      <c r="AI72" s="24"/>
      <c r="AJ72" s="24"/>
      <c r="AK72" s="24"/>
      <c r="AL72" s="71"/>
      <c r="AM72" s="69"/>
      <c r="AN72" s="141"/>
      <c r="AO72" s="141"/>
      <c r="AP72" s="141"/>
      <c r="AQ72" s="141"/>
      <c r="AR72" s="141"/>
      <c r="AS72" s="141"/>
      <c r="AT72" s="141"/>
      <c r="AU72" s="141"/>
      <c r="AV72" s="141"/>
      <c r="AW72" s="141"/>
    </row>
    <row r="73" spans="1:49" ht="45" hidden="1" customHeight="1">
      <c r="A73" s="153">
        <f t="shared" si="8"/>
        <v>70</v>
      </c>
      <c r="B73" s="153"/>
      <c r="C73" s="140"/>
      <c r="D73" s="28"/>
      <c r="E73" s="69"/>
      <c r="F73" s="39">
        <v>0</v>
      </c>
      <c r="G73" s="141"/>
      <c r="H73" s="35"/>
      <c r="I73" s="35"/>
      <c r="J73" s="35"/>
      <c r="K73" s="65"/>
      <c r="L73" s="69"/>
      <c r="M73" s="141"/>
      <c r="N73" s="59"/>
      <c r="O73" s="59"/>
      <c r="P73" s="105"/>
      <c r="Q73" s="105"/>
      <c r="R73" s="105"/>
      <c r="S73" s="90"/>
      <c r="T73" s="90"/>
      <c r="U73" s="93"/>
      <c r="V73" s="95"/>
      <c r="W73" s="95"/>
      <c r="X73" s="29">
        <v>0</v>
      </c>
      <c r="Y73" s="145">
        <v>0</v>
      </c>
      <c r="Z73" s="145">
        <v>0</v>
      </c>
      <c r="AA73" s="145">
        <v>0</v>
      </c>
      <c r="AB73" s="145">
        <v>0</v>
      </c>
      <c r="AC73" s="145">
        <v>0</v>
      </c>
      <c r="AD73" s="145">
        <v>0</v>
      </c>
      <c r="AE73" s="142">
        <f t="shared" si="9"/>
        <v>0</v>
      </c>
      <c r="AF73" s="141"/>
      <c r="AG73" s="67"/>
      <c r="AH73" s="67"/>
      <c r="AI73" s="24"/>
      <c r="AJ73" s="24"/>
      <c r="AK73" s="24"/>
      <c r="AL73" s="71"/>
      <c r="AM73" s="69"/>
      <c r="AN73" s="141"/>
      <c r="AO73" s="141"/>
      <c r="AP73" s="141"/>
      <c r="AQ73" s="141"/>
      <c r="AR73" s="141"/>
      <c r="AS73" s="141"/>
      <c r="AT73" s="141"/>
      <c r="AU73" s="141"/>
      <c r="AV73" s="141"/>
      <c r="AW73" s="141"/>
    </row>
    <row r="74" spans="1:49" ht="45" hidden="1" customHeight="1">
      <c r="A74" s="153">
        <f t="shared" si="8"/>
        <v>71</v>
      </c>
      <c r="B74" s="153"/>
      <c r="C74" s="140"/>
      <c r="D74" s="28"/>
      <c r="E74" s="69"/>
      <c r="F74" s="39">
        <v>0</v>
      </c>
      <c r="G74" s="141"/>
      <c r="H74" s="141"/>
      <c r="I74" s="141"/>
      <c r="J74" s="141"/>
      <c r="K74" s="141"/>
      <c r="L74" s="69"/>
      <c r="M74" s="141"/>
      <c r="N74" s="59"/>
      <c r="O74" s="59"/>
      <c r="P74" s="105"/>
      <c r="Q74" s="105"/>
      <c r="R74" s="105"/>
      <c r="S74" s="90"/>
      <c r="T74" s="90"/>
      <c r="U74" s="93"/>
      <c r="V74" s="93"/>
      <c r="W74" s="93"/>
      <c r="X74" s="29">
        <v>0</v>
      </c>
      <c r="Y74" s="145">
        <v>0</v>
      </c>
      <c r="Z74" s="145">
        <v>0</v>
      </c>
      <c r="AA74" s="145">
        <v>0</v>
      </c>
      <c r="AB74" s="145">
        <v>0</v>
      </c>
      <c r="AC74" s="145">
        <v>0</v>
      </c>
      <c r="AD74" s="145">
        <v>0</v>
      </c>
      <c r="AE74" s="142">
        <f t="shared" si="9"/>
        <v>0</v>
      </c>
      <c r="AF74" s="141"/>
      <c r="AG74" s="67"/>
      <c r="AH74" s="67"/>
      <c r="AI74" s="24"/>
      <c r="AJ74" s="24"/>
      <c r="AK74" s="24"/>
      <c r="AL74" s="71"/>
      <c r="AM74" s="69"/>
      <c r="AN74" s="141"/>
      <c r="AO74" s="141"/>
      <c r="AP74" s="141"/>
      <c r="AQ74" s="141"/>
      <c r="AR74" s="141"/>
      <c r="AS74" s="141"/>
      <c r="AT74" s="141"/>
      <c r="AU74" s="141"/>
      <c r="AV74" s="141"/>
      <c r="AW74" s="141"/>
    </row>
    <row r="75" spans="1:49" ht="45" hidden="1" customHeight="1">
      <c r="A75" s="153">
        <f t="shared" si="8"/>
        <v>72</v>
      </c>
      <c r="B75" s="153"/>
      <c r="C75" s="140"/>
      <c r="D75" s="28"/>
      <c r="E75" s="69"/>
      <c r="F75" s="39">
        <v>0</v>
      </c>
      <c r="G75" s="141"/>
      <c r="H75" s="141"/>
      <c r="I75" s="141"/>
      <c r="J75" s="141"/>
      <c r="K75" s="141"/>
      <c r="L75" s="69"/>
      <c r="M75" s="141"/>
      <c r="N75" s="59"/>
      <c r="O75" s="59"/>
      <c r="P75" s="105"/>
      <c r="Q75" s="105"/>
      <c r="R75" s="105"/>
      <c r="S75" s="90"/>
      <c r="T75" s="90"/>
      <c r="U75" s="93"/>
      <c r="V75" s="93"/>
      <c r="W75" s="93"/>
      <c r="X75" s="29">
        <v>0</v>
      </c>
      <c r="Y75" s="145">
        <v>0</v>
      </c>
      <c r="Z75" s="145">
        <v>0</v>
      </c>
      <c r="AA75" s="145">
        <v>0</v>
      </c>
      <c r="AB75" s="145">
        <v>0</v>
      </c>
      <c r="AC75" s="145">
        <v>0</v>
      </c>
      <c r="AD75" s="145">
        <v>0</v>
      </c>
      <c r="AE75" s="142">
        <f t="shared" si="9"/>
        <v>0</v>
      </c>
      <c r="AF75" s="141"/>
      <c r="AG75" s="67"/>
      <c r="AH75" s="67"/>
      <c r="AI75" s="24"/>
      <c r="AJ75" s="24"/>
      <c r="AK75" s="24"/>
      <c r="AL75" s="71"/>
      <c r="AM75" s="69"/>
      <c r="AN75" s="141"/>
      <c r="AO75" s="141"/>
      <c r="AP75" s="141"/>
      <c r="AQ75" s="141"/>
      <c r="AR75" s="141"/>
      <c r="AS75" s="141"/>
      <c r="AT75" s="141"/>
      <c r="AU75" s="141"/>
      <c r="AV75" s="141"/>
      <c r="AW75" s="141"/>
    </row>
    <row r="76" spans="1:49" ht="45" hidden="1" customHeight="1">
      <c r="A76" s="153">
        <f t="shared" si="8"/>
        <v>73</v>
      </c>
      <c r="B76" s="153"/>
      <c r="C76" s="140"/>
      <c r="D76" s="28"/>
      <c r="E76" s="69"/>
      <c r="F76" s="39">
        <v>0</v>
      </c>
      <c r="G76" s="141"/>
      <c r="H76" s="141"/>
      <c r="I76" s="141"/>
      <c r="J76" s="141"/>
      <c r="K76" s="141"/>
      <c r="L76" s="69"/>
      <c r="M76" s="141"/>
      <c r="N76" s="59"/>
      <c r="O76" s="59"/>
      <c r="P76" s="105"/>
      <c r="Q76" s="105"/>
      <c r="R76" s="105"/>
      <c r="S76" s="90"/>
      <c r="T76" s="90"/>
      <c r="U76" s="93"/>
      <c r="V76" s="93"/>
      <c r="W76" s="93"/>
      <c r="X76" s="29">
        <v>0</v>
      </c>
      <c r="Y76" s="145">
        <v>0</v>
      </c>
      <c r="Z76" s="145">
        <v>0</v>
      </c>
      <c r="AA76" s="145">
        <v>0</v>
      </c>
      <c r="AB76" s="145">
        <v>0</v>
      </c>
      <c r="AC76" s="145">
        <v>0</v>
      </c>
      <c r="AD76" s="145">
        <v>0</v>
      </c>
      <c r="AE76" s="142">
        <f t="shared" si="9"/>
        <v>0</v>
      </c>
      <c r="AF76" s="141"/>
      <c r="AG76" s="67"/>
      <c r="AH76" s="67"/>
      <c r="AI76" s="24"/>
      <c r="AJ76" s="24"/>
      <c r="AK76" s="24"/>
      <c r="AL76" s="71"/>
      <c r="AM76" s="69"/>
      <c r="AN76" s="141"/>
      <c r="AO76" s="141"/>
      <c r="AP76" s="141"/>
      <c r="AQ76" s="141"/>
      <c r="AR76" s="141"/>
      <c r="AS76" s="141"/>
      <c r="AT76" s="141"/>
      <c r="AU76" s="141"/>
      <c r="AV76" s="141"/>
      <c r="AW76" s="141"/>
    </row>
    <row r="77" spans="1:49" ht="45" hidden="1" customHeight="1">
      <c r="A77" s="153">
        <f t="shared" si="8"/>
        <v>74</v>
      </c>
      <c r="B77" s="153"/>
      <c r="C77" s="140"/>
      <c r="D77" s="28"/>
      <c r="E77" s="69"/>
      <c r="F77" s="39">
        <v>0</v>
      </c>
      <c r="G77" s="141"/>
      <c r="H77" s="141"/>
      <c r="I77" s="141"/>
      <c r="J77" s="141"/>
      <c r="K77" s="141"/>
      <c r="L77" s="69"/>
      <c r="M77" s="141"/>
      <c r="N77" s="59"/>
      <c r="O77" s="59"/>
      <c r="P77" s="105"/>
      <c r="Q77" s="105"/>
      <c r="R77" s="105"/>
      <c r="S77" s="90"/>
      <c r="T77" s="90"/>
      <c r="U77" s="93"/>
      <c r="V77" s="93"/>
      <c r="W77" s="93"/>
      <c r="X77" s="29">
        <v>0</v>
      </c>
      <c r="Y77" s="145">
        <v>0</v>
      </c>
      <c r="Z77" s="145">
        <v>0</v>
      </c>
      <c r="AA77" s="145">
        <v>0</v>
      </c>
      <c r="AB77" s="145">
        <v>0</v>
      </c>
      <c r="AC77" s="145">
        <v>0</v>
      </c>
      <c r="AD77" s="145">
        <v>0</v>
      </c>
      <c r="AE77" s="142">
        <f t="shared" si="9"/>
        <v>0</v>
      </c>
      <c r="AF77" s="141"/>
      <c r="AG77" s="67"/>
      <c r="AH77" s="67"/>
      <c r="AI77" s="24"/>
      <c r="AJ77" s="24"/>
      <c r="AK77" s="24"/>
      <c r="AL77" s="71"/>
      <c r="AM77" s="69"/>
      <c r="AN77" s="141"/>
      <c r="AO77" s="141"/>
      <c r="AP77" s="141"/>
      <c r="AQ77" s="141"/>
      <c r="AR77" s="141"/>
      <c r="AS77" s="141"/>
      <c r="AT77" s="141"/>
      <c r="AU77" s="141"/>
      <c r="AV77" s="141"/>
      <c r="AW77" s="141"/>
    </row>
    <row r="78" spans="1:49" ht="45" hidden="1" customHeight="1">
      <c r="A78" s="153">
        <f t="shared" si="8"/>
        <v>75</v>
      </c>
      <c r="B78" s="153"/>
      <c r="C78" s="140"/>
      <c r="D78" s="28"/>
      <c r="E78" s="69"/>
      <c r="F78" s="39">
        <v>0</v>
      </c>
      <c r="G78" s="141"/>
      <c r="H78" s="141"/>
      <c r="I78" s="141"/>
      <c r="J78" s="141"/>
      <c r="K78" s="141"/>
      <c r="L78" s="69"/>
      <c r="M78" s="141"/>
      <c r="N78" s="59"/>
      <c r="O78" s="59"/>
      <c r="P78" s="105"/>
      <c r="Q78" s="105"/>
      <c r="R78" s="105"/>
      <c r="S78" s="90"/>
      <c r="T78" s="90"/>
      <c r="U78" s="93"/>
      <c r="V78" s="93"/>
      <c r="W78" s="93"/>
      <c r="X78" s="29">
        <v>0</v>
      </c>
      <c r="Y78" s="145">
        <v>0</v>
      </c>
      <c r="Z78" s="145">
        <v>0</v>
      </c>
      <c r="AA78" s="145">
        <v>0</v>
      </c>
      <c r="AB78" s="145">
        <v>0</v>
      </c>
      <c r="AC78" s="145">
        <v>0</v>
      </c>
      <c r="AD78" s="145">
        <v>0</v>
      </c>
      <c r="AE78" s="142">
        <f t="shared" si="9"/>
        <v>0</v>
      </c>
      <c r="AF78" s="141"/>
      <c r="AG78" s="67"/>
      <c r="AH78" s="67"/>
      <c r="AI78" s="24"/>
      <c r="AJ78" s="24"/>
      <c r="AK78" s="24"/>
      <c r="AL78" s="71"/>
      <c r="AM78" s="69"/>
      <c r="AN78" s="141"/>
      <c r="AO78" s="141"/>
      <c r="AP78" s="141"/>
      <c r="AQ78" s="141"/>
      <c r="AR78" s="141"/>
      <c r="AS78" s="141"/>
      <c r="AT78" s="141"/>
      <c r="AU78" s="141"/>
      <c r="AV78" s="141"/>
      <c r="AW78" s="141"/>
    </row>
    <row r="79" spans="1:49" ht="45" hidden="1" customHeight="1">
      <c r="A79" s="153">
        <f t="shared" si="8"/>
        <v>76</v>
      </c>
      <c r="B79" s="153"/>
      <c r="C79" s="140"/>
      <c r="D79" s="28"/>
      <c r="E79" s="69"/>
      <c r="F79" s="39">
        <v>0</v>
      </c>
      <c r="G79" s="21"/>
      <c r="H79" s="21"/>
      <c r="I79" s="21"/>
      <c r="J79" s="141"/>
      <c r="K79" s="21"/>
      <c r="L79" s="69"/>
      <c r="M79" s="141"/>
      <c r="N79" s="59"/>
      <c r="O79" s="59"/>
      <c r="P79" s="105"/>
      <c r="Q79" s="105"/>
      <c r="R79" s="105"/>
      <c r="S79" s="90"/>
      <c r="T79" s="90"/>
      <c r="U79" s="93"/>
      <c r="V79" s="93"/>
      <c r="W79" s="93"/>
      <c r="X79" s="29">
        <v>0</v>
      </c>
      <c r="Y79" s="145">
        <v>0</v>
      </c>
      <c r="Z79" s="145">
        <v>0</v>
      </c>
      <c r="AA79" s="145">
        <v>0</v>
      </c>
      <c r="AB79" s="145">
        <v>0</v>
      </c>
      <c r="AC79" s="145">
        <v>0</v>
      </c>
      <c r="AD79" s="145">
        <v>0</v>
      </c>
      <c r="AE79" s="142">
        <f t="shared" si="9"/>
        <v>0</v>
      </c>
      <c r="AF79" s="141"/>
      <c r="AG79" s="67"/>
      <c r="AH79" s="67"/>
      <c r="AI79" s="24"/>
      <c r="AJ79" s="24"/>
      <c r="AK79" s="24"/>
      <c r="AL79" s="71"/>
      <c r="AM79" s="69"/>
      <c r="AN79" s="141"/>
      <c r="AO79" s="141"/>
      <c r="AP79" s="141"/>
      <c r="AQ79" s="141"/>
      <c r="AR79" s="141"/>
      <c r="AS79" s="141"/>
      <c r="AT79" s="141"/>
      <c r="AU79" s="141"/>
      <c r="AV79" s="141"/>
      <c r="AW79" s="141"/>
    </row>
    <row r="80" spans="1:49" ht="45" hidden="1" customHeight="1">
      <c r="A80" s="153">
        <f t="shared" si="8"/>
        <v>77</v>
      </c>
      <c r="B80" s="153"/>
      <c r="C80" s="140"/>
      <c r="D80" s="28"/>
      <c r="E80" s="69"/>
      <c r="F80" s="39">
        <v>0</v>
      </c>
      <c r="G80" s="53"/>
      <c r="H80" s="53"/>
      <c r="I80" s="53"/>
      <c r="J80" s="141"/>
      <c r="K80" s="141"/>
      <c r="L80" s="69"/>
      <c r="M80" s="141"/>
      <c r="N80" s="59"/>
      <c r="O80" s="59"/>
      <c r="P80" s="105"/>
      <c r="Q80" s="105"/>
      <c r="R80" s="105"/>
      <c r="S80" s="90"/>
      <c r="T80" s="90"/>
      <c r="U80" s="93"/>
      <c r="V80" s="93"/>
      <c r="W80" s="93"/>
      <c r="X80" s="29">
        <v>0</v>
      </c>
      <c r="Y80" s="145">
        <v>0</v>
      </c>
      <c r="Z80" s="145">
        <v>0</v>
      </c>
      <c r="AA80" s="145">
        <v>0</v>
      </c>
      <c r="AB80" s="145">
        <v>0</v>
      </c>
      <c r="AC80" s="145">
        <v>0</v>
      </c>
      <c r="AD80" s="145">
        <v>0</v>
      </c>
      <c r="AE80" s="142">
        <f t="shared" si="9"/>
        <v>0</v>
      </c>
      <c r="AF80" s="141"/>
      <c r="AG80" s="67"/>
      <c r="AH80" s="67"/>
      <c r="AI80" s="24"/>
      <c r="AJ80" s="24"/>
      <c r="AK80" s="24"/>
      <c r="AL80" s="71"/>
      <c r="AM80" s="69"/>
      <c r="AN80" s="141"/>
      <c r="AO80" s="141"/>
      <c r="AP80" s="141"/>
      <c r="AQ80" s="141"/>
      <c r="AR80" s="141"/>
      <c r="AS80" s="141"/>
      <c r="AT80" s="141"/>
      <c r="AU80" s="141"/>
      <c r="AV80" s="141"/>
      <c r="AW80" s="141"/>
    </row>
    <row r="81" spans="1:49" ht="45" hidden="1" customHeight="1">
      <c r="A81" s="153">
        <f t="shared" ref="A81:A144" si="10">A80+1</f>
        <v>78</v>
      </c>
      <c r="B81" s="153"/>
      <c r="C81" s="140"/>
      <c r="D81" s="28"/>
      <c r="E81" s="69"/>
      <c r="F81" s="39">
        <v>0</v>
      </c>
      <c r="G81" s="141"/>
      <c r="H81" s="141"/>
      <c r="I81" s="141"/>
      <c r="J81" s="141"/>
      <c r="K81" s="141"/>
      <c r="L81" s="69"/>
      <c r="M81" s="141"/>
      <c r="N81" s="59"/>
      <c r="O81" s="59"/>
      <c r="P81" s="105"/>
      <c r="Q81" s="105"/>
      <c r="R81" s="105"/>
      <c r="S81" s="90"/>
      <c r="T81" s="90"/>
      <c r="U81" s="93"/>
      <c r="V81" s="93"/>
      <c r="W81" s="93"/>
      <c r="X81" s="29">
        <v>0</v>
      </c>
      <c r="Y81" s="145">
        <v>0</v>
      </c>
      <c r="Z81" s="145">
        <v>0</v>
      </c>
      <c r="AA81" s="145">
        <v>0</v>
      </c>
      <c r="AB81" s="145">
        <v>0</v>
      </c>
      <c r="AC81" s="145">
        <v>0</v>
      </c>
      <c r="AD81" s="145">
        <v>0</v>
      </c>
      <c r="AE81" s="142">
        <f t="shared" si="9"/>
        <v>0</v>
      </c>
      <c r="AF81" s="141"/>
      <c r="AG81" s="67"/>
      <c r="AH81" s="67"/>
      <c r="AI81" s="24"/>
      <c r="AJ81" s="24"/>
      <c r="AK81" s="24"/>
      <c r="AL81" s="71"/>
      <c r="AM81" s="69"/>
      <c r="AN81" s="141"/>
      <c r="AO81" s="141"/>
      <c r="AP81" s="141"/>
      <c r="AQ81" s="141"/>
      <c r="AR81" s="141"/>
      <c r="AS81" s="141"/>
      <c r="AT81" s="141"/>
      <c r="AU81" s="141"/>
      <c r="AV81" s="141"/>
      <c r="AW81" s="141"/>
    </row>
    <row r="82" spans="1:49" ht="45" hidden="1" customHeight="1">
      <c r="A82" s="153">
        <f t="shared" si="10"/>
        <v>79</v>
      </c>
      <c r="B82" s="153"/>
      <c r="C82" s="140"/>
      <c r="D82" s="28"/>
      <c r="E82" s="69"/>
      <c r="F82" s="39">
        <v>0</v>
      </c>
      <c r="G82" s="141"/>
      <c r="H82" s="141"/>
      <c r="I82" s="141"/>
      <c r="J82" s="141"/>
      <c r="K82" s="141"/>
      <c r="L82" s="69"/>
      <c r="M82" s="141"/>
      <c r="N82" s="59"/>
      <c r="O82" s="59"/>
      <c r="P82" s="105"/>
      <c r="Q82" s="105"/>
      <c r="R82" s="105"/>
      <c r="S82" s="90"/>
      <c r="T82" s="90"/>
      <c r="U82" s="93"/>
      <c r="V82" s="93"/>
      <c r="W82" s="93"/>
      <c r="X82" s="29">
        <v>0</v>
      </c>
      <c r="Y82" s="145">
        <v>0</v>
      </c>
      <c r="Z82" s="145">
        <v>0</v>
      </c>
      <c r="AA82" s="145">
        <v>0</v>
      </c>
      <c r="AB82" s="145">
        <v>0</v>
      </c>
      <c r="AC82" s="145">
        <v>0</v>
      </c>
      <c r="AD82" s="145">
        <v>0</v>
      </c>
      <c r="AE82" s="142">
        <f t="shared" si="9"/>
        <v>0</v>
      </c>
      <c r="AF82" s="141"/>
      <c r="AG82" s="67"/>
      <c r="AH82" s="67"/>
      <c r="AI82" s="24"/>
      <c r="AJ82" s="24"/>
      <c r="AK82" s="24"/>
      <c r="AL82" s="71"/>
      <c r="AM82" s="69"/>
      <c r="AN82" s="141"/>
      <c r="AO82" s="141"/>
      <c r="AP82" s="141"/>
      <c r="AQ82" s="141"/>
      <c r="AR82" s="141"/>
      <c r="AS82" s="141"/>
      <c r="AT82" s="141"/>
      <c r="AU82" s="141"/>
      <c r="AV82" s="141"/>
      <c r="AW82" s="141"/>
    </row>
    <row r="83" spans="1:49" ht="45" hidden="1" customHeight="1">
      <c r="A83" s="153">
        <f t="shared" si="10"/>
        <v>80</v>
      </c>
      <c r="B83" s="153"/>
      <c r="C83" s="140"/>
      <c r="D83" s="28"/>
      <c r="E83" s="69"/>
      <c r="F83" s="39">
        <v>0</v>
      </c>
      <c r="G83" s="141"/>
      <c r="H83" s="141"/>
      <c r="I83" s="141"/>
      <c r="J83" s="141"/>
      <c r="K83" s="141"/>
      <c r="L83" s="69"/>
      <c r="M83" s="141"/>
      <c r="N83" s="59"/>
      <c r="O83" s="59"/>
      <c r="P83" s="105"/>
      <c r="Q83" s="105"/>
      <c r="R83" s="105"/>
      <c r="S83" s="90"/>
      <c r="T83" s="90"/>
      <c r="U83" s="93"/>
      <c r="V83" s="96"/>
      <c r="W83" s="96"/>
      <c r="X83" s="29">
        <v>0</v>
      </c>
      <c r="Y83" s="145">
        <v>0</v>
      </c>
      <c r="Z83" s="145">
        <v>0</v>
      </c>
      <c r="AA83" s="145">
        <v>0</v>
      </c>
      <c r="AB83" s="145">
        <v>0</v>
      </c>
      <c r="AC83" s="145">
        <v>0</v>
      </c>
      <c r="AD83" s="145">
        <v>0</v>
      </c>
      <c r="AE83" s="142">
        <f t="shared" si="9"/>
        <v>0</v>
      </c>
      <c r="AF83" s="141"/>
      <c r="AG83" s="67"/>
      <c r="AH83" s="67"/>
      <c r="AI83" s="24"/>
      <c r="AJ83" s="24"/>
      <c r="AK83" s="24"/>
      <c r="AL83" s="71"/>
      <c r="AM83" s="69"/>
      <c r="AN83" s="141"/>
      <c r="AO83" s="141"/>
      <c r="AP83" s="141"/>
      <c r="AQ83" s="141"/>
      <c r="AR83" s="141"/>
      <c r="AS83" s="141"/>
      <c r="AT83" s="141"/>
      <c r="AU83" s="141"/>
      <c r="AV83" s="141"/>
      <c r="AW83" s="141"/>
    </row>
    <row r="84" spans="1:49" ht="45" hidden="1" customHeight="1">
      <c r="A84" s="153">
        <f t="shared" si="10"/>
        <v>81</v>
      </c>
      <c r="B84" s="153"/>
      <c r="C84" s="140"/>
      <c r="D84" s="28"/>
      <c r="E84" s="69"/>
      <c r="F84" s="39">
        <v>0</v>
      </c>
      <c r="G84" s="141"/>
      <c r="H84" s="141"/>
      <c r="I84" s="141"/>
      <c r="J84" s="141"/>
      <c r="K84" s="21"/>
      <c r="L84" s="69"/>
      <c r="M84" s="141"/>
      <c r="N84" s="59"/>
      <c r="O84" s="59"/>
      <c r="P84" s="105"/>
      <c r="Q84" s="105"/>
      <c r="R84" s="105"/>
      <c r="S84" s="90"/>
      <c r="T84" s="90"/>
      <c r="U84" s="93"/>
      <c r="V84" s="93"/>
      <c r="W84" s="93"/>
      <c r="X84" s="29">
        <v>0</v>
      </c>
      <c r="Y84" s="145">
        <v>0</v>
      </c>
      <c r="Z84" s="145">
        <v>0</v>
      </c>
      <c r="AA84" s="145">
        <v>0</v>
      </c>
      <c r="AB84" s="145">
        <v>0</v>
      </c>
      <c r="AC84" s="145">
        <v>0</v>
      </c>
      <c r="AD84" s="145">
        <v>0</v>
      </c>
      <c r="AE84" s="142">
        <f t="shared" si="9"/>
        <v>0</v>
      </c>
      <c r="AF84" s="141"/>
      <c r="AG84" s="67"/>
      <c r="AH84" s="67"/>
      <c r="AI84" s="24"/>
      <c r="AJ84" s="24"/>
      <c r="AK84" s="24"/>
      <c r="AL84" s="71"/>
      <c r="AM84" s="69"/>
      <c r="AN84" s="141"/>
      <c r="AO84" s="141"/>
      <c r="AP84" s="141"/>
      <c r="AQ84" s="141"/>
      <c r="AR84" s="141"/>
      <c r="AS84" s="141"/>
      <c r="AT84" s="141"/>
      <c r="AU84" s="141"/>
      <c r="AV84" s="141"/>
      <c r="AW84" s="141"/>
    </row>
    <row r="85" spans="1:49" ht="45" hidden="1" customHeight="1">
      <c r="A85" s="153">
        <f t="shared" si="10"/>
        <v>82</v>
      </c>
      <c r="B85" s="153"/>
      <c r="C85" s="140"/>
      <c r="D85" s="28"/>
      <c r="E85" s="69"/>
      <c r="F85" s="39">
        <v>0</v>
      </c>
      <c r="G85" s="21"/>
      <c r="H85" s="21"/>
      <c r="I85" s="21"/>
      <c r="J85" s="141"/>
      <c r="K85" s="21"/>
      <c r="L85" s="69"/>
      <c r="M85" s="141"/>
      <c r="N85" s="59"/>
      <c r="O85" s="59"/>
      <c r="P85" s="105"/>
      <c r="Q85" s="105"/>
      <c r="R85" s="105"/>
      <c r="S85" s="90"/>
      <c r="T85" s="90"/>
      <c r="U85" s="93"/>
      <c r="V85" s="93"/>
      <c r="W85" s="93"/>
      <c r="X85" s="29">
        <v>0</v>
      </c>
      <c r="Y85" s="145">
        <v>0</v>
      </c>
      <c r="Z85" s="145">
        <v>0</v>
      </c>
      <c r="AA85" s="145">
        <v>0</v>
      </c>
      <c r="AB85" s="145">
        <v>0</v>
      </c>
      <c r="AC85" s="145">
        <v>0</v>
      </c>
      <c r="AD85" s="145">
        <v>0</v>
      </c>
      <c r="AE85" s="142">
        <f t="shared" si="9"/>
        <v>0</v>
      </c>
      <c r="AF85" s="141"/>
      <c r="AG85" s="67"/>
      <c r="AH85" s="67"/>
      <c r="AI85" s="24"/>
      <c r="AJ85" s="24"/>
      <c r="AK85" s="24"/>
      <c r="AL85" s="71"/>
      <c r="AM85" s="69"/>
      <c r="AN85" s="141"/>
      <c r="AO85" s="141"/>
      <c r="AP85" s="141"/>
      <c r="AQ85" s="141"/>
      <c r="AR85" s="141"/>
      <c r="AS85" s="141"/>
      <c r="AT85" s="141"/>
      <c r="AU85" s="141"/>
      <c r="AV85" s="141"/>
      <c r="AW85" s="141"/>
    </row>
    <row r="86" spans="1:49" ht="45" hidden="1" customHeight="1">
      <c r="A86" s="153">
        <f t="shared" si="10"/>
        <v>83</v>
      </c>
      <c r="B86" s="153"/>
      <c r="C86" s="140"/>
      <c r="D86" s="140"/>
      <c r="E86" s="69"/>
      <c r="F86" s="39">
        <v>0</v>
      </c>
      <c r="G86" s="21"/>
      <c r="H86" s="21"/>
      <c r="I86" s="21"/>
      <c r="J86" s="141"/>
      <c r="K86" s="21"/>
      <c r="L86" s="69"/>
      <c r="M86" s="141"/>
      <c r="N86" s="59"/>
      <c r="O86" s="59"/>
      <c r="P86" s="105"/>
      <c r="Q86" s="105"/>
      <c r="R86" s="105"/>
      <c r="S86" s="90"/>
      <c r="T86" s="90"/>
      <c r="U86" s="93"/>
      <c r="V86" s="93"/>
      <c r="W86" s="93"/>
      <c r="X86" s="29">
        <v>0</v>
      </c>
      <c r="Y86" s="145">
        <v>0</v>
      </c>
      <c r="Z86" s="145">
        <v>0</v>
      </c>
      <c r="AA86" s="145">
        <v>0</v>
      </c>
      <c r="AB86" s="145">
        <v>0</v>
      </c>
      <c r="AC86" s="145">
        <v>0</v>
      </c>
      <c r="AD86" s="145">
        <v>0</v>
      </c>
      <c r="AE86" s="142">
        <f t="shared" si="9"/>
        <v>0</v>
      </c>
      <c r="AF86" s="141"/>
      <c r="AG86" s="67"/>
      <c r="AH86" s="67"/>
      <c r="AI86" s="24"/>
      <c r="AJ86" s="24"/>
      <c r="AK86" s="24"/>
      <c r="AL86" s="71"/>
      <c r="AM86" s="69"/>
      <c r="AN86" s="141"/>
      <c r="AO86" s="141"/>
      <c r="AP86" s="141"/>
      <c r="AQ86" s="141"/>
      <c r="AR86" s="141"/>
      <c r="AS86" s="141"/>
      <c r="AT86" s="141"/>
      <c r="AU86" s="141"/>
      <c r="AV86" s="141"/>
      <c r="AW86" s="141"/>
    </row>
    <row r="87" spans="1:49" ht="45" hidden="1" customHeight="1">
      <c r="A87" s="153">
        <f t="shared" si="10"/>
        <v>84</v>
      </c>
      <c r="B87" s="153"/>
      <c r="C87" s="140"/>
      <c r="D87" s="28"/>
      <c r="E87" s="69"/>
      <c r="F87" s="39">
        <v>0</v>
      </c>
      <c r="G87" s="21"/>
      <c r="H87" s="21"/>
      <c r="I87" s="21"/>
      <c r="J87" s="141"/>
      <c r="K87" s="21"/>
      <c r="L87" s="69"/>
      <c r="M87" s="141"/>
      <c r="N87" s="59"/>
      <c r="O87" s="59"/>
      <c r="P87" s="105"/>
      <c r="Q87" s="105"/>
      <c r="R87" s="105"/>
      <c r="S87" s="90"/>
      <c r="T87" s="90"/>
      <c r="U87" s="93"/>
      <c r="V87" s="93"/>
      <c r="W87" s="93"/>
      <c r="X87" s="29">
        <v>0</v>
      </c>
      <c r="Y87" s="145">
        <v>0</v>
      </c>
      <c r="Z87" s="145">
        <v>0</v>
      </c>
      <c r="AA87" s="145">
        <v>0</v>
      </c>
      <c r="AB87" s="145">
        <v>0</v>
      </c>
      <c r="AC87" s="145">
        <v>0</v>
      </c>
      <c r="AD87" s="145">
        <v>0</v>
      </c>
      <c r="AE87" s="142">
        <f t="shared" si="9"/>
        <v>0</v>
      </c>
      <c r="AF87" s="141"/>
      <c r="AG87" s="67"/>
      <c r="AH87" s="67"/>
      <c r="AI87" s="24"/>
      <c r="AJ87" s="24"/>
      <c r="AK87" s="24"/>
      <c r="AL87" s="71"/>
      <c r="AM87" s="69"/>
      <c r="AN87" s="141"/>
      <c r="AO87" s="141"/>
      <c r="AP87" s="141"/>
      <c r="AQ87" s="141"/>
      <c r="AR87" s="141"/>
      <c r="AS87" s="141"/>
      <c r="AT87" s="141"/>
      <c r="AU87" s="141"/>
      <c r="AV87" s="141"/>
      <c r="AW87" s="141"/>
    </row>
    <row r="88" spans="1:49" ht="45" hidden="1" customHeight="1">
      <c r="A88" s="153">
        <f t="shared" si="10"/>
        <v>85</v>
      </c>
      <c r="B88" s="153"/>
      <c r="C88" s="140"/>
      <c r="D88" s="28"/>
      <c r="E88" s="69"/>
      <c r="F88" s="39">
        <v>0</v>
      </c>
      <c r="G88" s="21"/>
      <c r="H88" s="21"/>
      <c r="I88" s="21"/>
      <c r="J88" s="141"/>
      <c r="K88" s="21"/>
      <c r="L88" s="69"/>
      <c r="M88" s="141"/>
      <c r="N88" s="59"/>
      <c r="O88" s="59"/>
      <c r="P88" s="105"/>
      <c r="Q88" s="105"/>
      <c r="R88" s="105"/>
      <c r="S88" s="90"/>
      <c r="T88" s="90"/>
      <c r="U88" s="93"/>
      <c r="V88" s="93"/>
      <c r="W88" s="93"/>
      <c r="X88" s="29">
        <v>0</v>
      </c>
      <c r="Y88" s="145">
        <v>0</v>
      </c>
      <c r="Z88" s="145">
        <v>0</v>
      </c>
      <c r="AA88" s="145">
        <v>0</v>
      </c>
      <c r="AB88" s="145">
        <v>0</v>
      </c>
      <c r="AC88" s="145">
        <v>0</v>
      </c>
      <c r="AD88" s="145">
        <v>0</v>
      </c>
      <c r="AE88" s="142">
        <f t="shared" si="9"/>
        <v>0</v>
      </c>
      <c r="AF88" s="141"/>
      <c r="AG88" s="67"/>
      <c r="AH88" s="67"/>
      <c r="AI88" s="24"/>
      <c r="AJ88" s="24"/>
      <c r="AK88" s="24"/>
      <c r="AL88" s="71"/>
      <c r="AM88" s="69"/>
      <c r="AN88" s="141"/>
      <c r="AO88" s="141"/>
      <c r="AP88" s="141"/>
      <c r="AQ88" s="141"/>
      <c r="AR88" s="141"/>
      <c r="AS88" s="141"/>
      <c r="AT88" s="141"/>
      <c r="AU88" s="141"/>
      <c r="AV88" s="141"/>
      <c r="AW88" s="141"/>
    </row>
    <row r="89" spans="1:49" ht="45" hidden="1" customHeight="1">
      <c r="A89" s="153">
        <f t="shared" si="10"/>
        <v>86</v>
      </c>
      <c r="B89" s="153"/>
      <c r="C89" s="140"/>
      <c r="D89" s="28"/>
      <c r="E89" s="69"/>
      <c r="F89" s="39">
        <v>0</v>
      </c>
      <c r="G89" s="21"/>
      <c r="H89" s="21"/>
      <c r="I89" s="21"/>
      <c r="J89" s="141"/>
      <c r="K89" s="21"/>
      <c r="L89" s="69"/>
      <c r="M89" s="141"/>
      <c r="N89" s="59"/>
      <c r="O89" s="59"/>
      <c r="P89" s="105"/>
      <c r="Q89" s="105"/>
      <c r="R89" s="105"/>
      <c r="S89" s="90"/>
      <c r="T89" s="90"/>
      <c r="U89" s="93"/>
      <c r="V89" s="93"/>
      <c r="W89" s="93"/>
      <c r="X89" s="29">
        <v>0</v>
      </c>
      <c r="Y89" s="145">
        <v>0</v>
      </c>
      <c r="Z89" s="145">
        <v>0</v>
      </c>
      <c r="AA89" s="145">
        <v>0</v>
      </c>
      <c r="AB89" s="145">
        <v>0</v>
      </c>
      <c r="AC89" s="145">
        <v>0</v>
      </c>
      <c r="AD89" s="145">
        <v>0</v>
      </c>
      <c r="AE89" s="142">
        <f t="shared" si="9"/>
        <v>0</v>
      </c>
      <c r="AF89" s="141"/>
      <c r="AG89" s="67"/>
      <c r="AH89" s="67"/>
      <c r="AI89" s="24"/>
      <c r="AJ89" s="24"/>
      <c r="AK89" s="24"/>
      <c r="AL89" s="71"/>
      <c r="AM89" s="69"/>
      <c r="AN89" s="141"/>
      <c r="AO89" s="141"/>
      <c r="AP89" s="141"/>
      <c r="AQ89" s="141"/>
      <c r="AR89" s="141"/>
      <c r="AS89" s="141"/>
      <c r="AT89" s="141"/>
      <c r="AU89" s="141"/>
      <c r="AV89" s="141"/>
      <c r="AW89" s="141"/>
    </row>
    <row r="90" spans="1:49" ht="45" hidden="1" customHeight="1">
      <c r="A90" s="153">
        <f t="shared" si="10"/>
        <v>87</v>
      </c>
      <c r="B90" s="153"/>
      <c r="C90" s="140"/>
      <c r="D90" s="28"/>
      <c r="E90" s="69"/>
      <c r="F90" s="39">
        <v>0</v>
      </c>
      <c r="G90" s="21"/>
      <c r="H90" s="21"/>
      <c r="I90" s="21"/>
      <c r="J90" s="141"/>
      <c r="K90" s="21"/>
      <c r="L90" s="69"/>
      <c r="M90" s="141"/>
      <c r="N90" s="59"/>
      <c r="O90" s="59"/>
      <c r="P90" s="105"/>
      <c r="Q90" s="105"/>
      <c r="R90" s="105"/>
      <c r="S90" s="90"/>
      <c r="T90" s="90"/>
      <c r="U90" s="93"/>
      <c r="V90" s="93"/>
      <c r="W90" s="93"/>
      <c r="X90" s="29">
        <v>0</v>
      </c>
      <c r="Y90" s="145">
        <v>0</v>
      </c>
      <c r="Z90" s="145">
        <v>0</v>
      </c>
      <c r="AA90" s="145">
        <v>0</v>
      </c>
      <c r="AB90" s="145">
        <v>0</v>
      </c>
      <c r="AC90" s="145">
        <v>0</v>
      </c>
      <c r="AD90" s="145">
        <v>0</v>
      </c>
      <c r="AE90" s="142">
        <f t="shared" si="9"/>
        <v>0</v>
      </c>
      <c r="AF90" s="141"/>
      <c r="AG90" s="67"/>
      <c r="AH90" s="67"/>
      <c r="AI90" s="24"/>
      <c r="AJ90" s="24"/>
      <c r="AK90" s="24"/>
      <c r="AL90" s="71"/>
      <c r="AM90" s="69"/>
      <c r="AN90" s="141"/>
      <c r="AO90" s="141"/>
      <c r="AP90" s="141"/>
      <c r="AQ90" s="141"/>
      <c r="AR90" s="141"/>
      <c r="AS90" s="141"/>
      <c r="AT90" s="141"/>
      <c r="AU90" s="141"/>
      <c r="AV90" s="141"/>
      <c r="AW90" s="141"/>
    </row>
    <row r="91" spans="1:49" ht="45" hidden="1" customHeight="1">
      <c r="A91" s="153">
        <f t="shared" si="10"/>
        <v>88</v>
      </c>
      <c r="B91" s="153"/>
      <c r="C91" s="140"/>
      <c r="D91" s="28"/>
      <c r="E91" s="69"/>
      <c r="F91" s="39">
        <v>0</v>
      </c>
      <c r="G91" s="21"/>
      <c r="H91" s="21"/>
      <c r="I91" s="21"/>
      <c r="J91" s="141"/>
      <c r="K91" s="21"/>
      <c r="L91" s="69"/>
      <c r="M91" s="141"/>
      <c r="N91" s="59"/>
      <c r="O91" s="59"/>
      <c r="P91" s="105"/>
      <c r="Q91" s="105"/>
      <c r="R91" s="105"/>
      <c r="S91" s="90"/>
      <c r="T91" s="90"/>
      <c r="U91" s="93"/>
      <c r="V91" s="93"/>
      <c r="W91" s="93"/>
      <c r="X91" s="29">
        <v>0</v>
      </c>
      <c r="Y91" s="145">
        <v>0</v>
      </c>
      <c r="Z91" s="145">
        <v>0</v>
      </c>
      <c r="AA91" s="145">
        <v>0</v>
      </c>
      <c r="AB91" s="145">
        <v>0</v>
      </c>
      <c r="AC91" s="145">
        <v>0</v>
      </c>
      <c r="AD91" s="145">
        <v>0</v>
      </c>
      <c r="AE91" s="142">
        <f t="shared" si="9"/>
        <v>0</v>
      </c>
      <c r="AF91" s="141"/>
      <c r="AG91" s="67"/>
      <c r="AH91" s="67"/>
      <c r="AI91" s="24"/>
      <c r="AJ91" s="24"/>
      <c r="AK91" s="24"/>
      <c r="AL91" s="71"/>
      <c r="AM91" s="69"/>
      <c r="AN91" s="141"/>
      <c r="AO91" s="141"/>
      <c r="AP91" s="141"/>
      <c r="AQ91" s="141"/>
      <c r="AR91" s="141"/>
      <c r="AS91" s="141"/>
      <c r="AT91" s="141"/>
      <c r="AU91" s="141"/>
      <c r="AV91" s="141"/>
      <c r="AW91" s="141"/>
    </row>
    <row r="92" spans="1:49" ht="45" hidden="1" customHeight="1">
      <c r="A92" s="153">
        <f t="shared" si="10"/>
        <v>89</v>
      </c>
      <c r="B92" s="153"/>
      <c r="C92" s="140"/>
      <c r="D92" s="28"/>
      <c r="E92" s="69"/>
      <c r="F92" s="39">
        <v>0</v>
      </c>
      <c r="G92" s="21"/>
      <c r="H92" s="21"/>
      <c r="I92" s="21"/>
      <c r="J92" s="141"/>
      <c r="K92" s="21"/>
      <c r="L92" s="69"/>
      <c r="M92" s="141"/>
      <c r="N92" s="59"/>
      <c r="O92" s="59"/>
      <c r="P92" s="105"/>
      <c r="Q92" s="105"/>
      <c r="R92" s="105"/>
      <c r="S92" s="90"/>
      <c r="T92" s="90"/>
      <c r="U92" s="93"/>
      <c r="V92" s="93"/>
      <c r="W92" s="93"/>
      <c r="X92" s="29">
        <v>0</v>
      </c>
      <c r="Y92" s="145">
        <v>0</v>
      </c>
      <c r="Z92" s="145">
        <v>0</v>
      </c>
      <c r="AA92" s="145">
        <v>0</v>
      </c>
      <c r="AB92" s="145">
        <v>0</v>
      </c>
      <c r="AC92" s="145">
        <v>0</v>
      </c>
      <c r="AD92" s="145">
        <v>0</v>
      </c>
      <c r="AE92" s="142">
        <f t="shared" si="9"/>
        <v>0</v>
      </c>
      <c r="AF92" s="141"/>
      <c r="AG92" s="67"/>
      <c r="AH92" s="67"/>
      <c r="AI92" s="24"/>
      <c r="AJ92" s="24"/>
      <c r="AK92" s="24"/>
      <c r="AL92" s="71"/>
      <c r="AM92" s="69"/>
      <c r="AN92" s="141"/>
      <c r="AO92" s="141"/>
      <c r="AP92" s="141"/>
      <c r="AQ92" s="141"/>
      <c r="AR92" s="141"/>
      <c r="AS92" s="141"/>
      <c r="AT92" s="141"/>
      <c r="AU92" s="141"/>
      <c r="AV92" s="141"/>
      <c r="AW92" s="141"/>
    </row>
    <row r="93" spans="1:49" ht="45" hidden="1" customHeight="1">
      <c r="A93" s="153">
        <f t="shared" si="10"/>
        <v>90</v>
      </c>
      <c r="B93" s="153"/>
      <c r="C93" s="140"/>
      <c r="D93" s="28"/>
      <c r="E93" s="69"/>
      <c r="F93" s="39">
        <v>0</v>
      </c>
      <c r="G93" s="21"/>
      <c r="H93" s="21"/>
      <c r="I93" s="21"/>
      <c r="J93" s="141"/>
      <c r="K93" s="21"/>
      <c r="L93" s="69"/>
      <c r="M93" s="141"/>
      <c r="N93" s="59"/>
      <c r="O93" s="59"/>
      <c r="P93" s="105"/>
      <c r="Q93" s="105"/>
      <c r="R93" s="105"/>
      <c r="S93" s="90"/>
      <c r="T93" s="90"/>
      <c r="U93" s="93"/>
      <c r="V93" s="93"/>
      <c r="W93" s="93"/>
      <c r="X93" s="29">
        <v>0</v>
      </c>
      <c r="Y93" s="145">
        <v>0</v>
      </c>
      <c r="Z93" s="145">
        <v>0</v>
      </c>
      <c r="AA93" s="145">
        <v>0</v>
      </c>
      <c r="AB93" s="145">
        <v>0</v>
      </c>
      <c r="AC93" s="145">
        <v>0</v>
      </c>
      <c r="AD93" s="145">
        <v>0</v>
      </c>
      <c r="AE93" s="142">
        <f t="shared" si="9"/>
        <v>0</v>
      </c>
      <c r="AF93" s="141"/>
      <c r="AG93" s="67"/>
      <c r="AH93" s="67"/>
      <c r="AI93" s="24"/>
      <c r="AJ93" s="24"/>
      <c r="AK93" s="24"/>
      <c r="AL93" s="71"/>
      <c r="AM93" s="69"/>
      <c r="AN93" s="141"/>
      <c r="AO93" s="141"/>
      <c r="AP93" s="141"/>
      <c r="AQ93" s="141"/>
      <c r="AR93" s="141"/>
      <c r="AS93" s="141"/>
      <c r="AT93" s="141"/>
      <c r="AU93" s="141"/>
      <c r="AV93" s="141"/>
      <c r="AW93" s="141"/>
    </row>
    <row r="94" spans="1:49" ht="45" hidden="1" customHeight="1">
      <c r="A94" s="153">
        <f t="shared" si="10"/>
        <v>91</v>
      </c>
      <c r="B94" s="153"/>
      <c r="C94" s="140"/>
      <c r="D94" s="28"/>
      <c r="E94" s="69"/>
      <c r="F94" s="39">
        <v>0</v>
      </c>
      <c r="G94" s="21"/>
      <c r="H94" s="21"/>
      <c r="I94" s="21"/>
      <c r="J94" s="141"/>
      <c r="K94" s="21"/>
      <c r="L94" s="69"/>
      <c r="M94" s="141"/>
      <c r="N94" s="59"/>
      <c r="O94" s="59"/>
      <c r="P94" s="105"/>
      <c r="Q94" s="105"/>
      <c r="R94" s="105"/>
      <c r="S94" s="90"/>
      <c r="T94" s="90"/>
      <c r="U94" s="93"/>
      <c r="V94" s="93"/>
      <c r="W94" s="93"/>
      <c r="X94" s="29">
        <v>0</v>
      </c>
      <c r="Y94" s="145">
        <v>0</v>
      </c>
      <c r="Z94" s="145">
        <v>0</v>
      </c>
      <c r="AA94" s="145">
        <v>0</v>
      </c>
      <c r="AB94" s="145">
        <v>0</v>
      </c>
      <c r="AC94" s="145">
        <v>0</v>
      </c>
      <c r="AD94" s="145">
        <v>0</v>
      </c>
      <c r="AE94" s="142">
        <f t="shared" si="9"/>
        <v>0</v>
      </c>
      <c r="AF94" s="141"/>
      <c r="AG94" s="67"/>
      <c r="AH94" s="67"/>
      <c r="AI94" s="24"/>
      <c r="AJ94" s="24"/>
      <c r="AK94" s="24"/>
      <c r="AL94" s="71"/>
      <c r="AM94" s="69"/>
      <c r="AN94" s="141"/>
      <c r="AO94" s="141"/>
      <c r="AP94" s="141"/>
      <c r="AQ94" s="141"/>
      <c r="AR94" s="141"/>
      <c r="AS94" s="141"/>
      <c r="AT94" s="141"/>
      <c r="AU94" s="141"/>
      <c r="AV94" s="141"/>
      <c r="AW94" s="141"/>
    </row>
    <row r="95" spans="1:49" ht="45" hidden="1" customHeight="1">
      <c r="A95" s="153">
        <f t="shared" si="10"/>
        <v>92</v>
      </c>
      <c r="B95" s="153"/>
      <c r="C95" s="140"/>
      <c r="D95" s="28"/>
      <c r="E95" s="69"/>
      <c r="F95" s="39">
        <v>0</v>
      </c>
      <c r="G95" s="21"/>
      <c r="H95" s="21"/>
      <c r="I95" s="21"/>
      <c r="J95" s="141"/>
      <c r="K95" s="21"/>
      <c r="L95" s="69"/>
      <c r="M95" s="141"/>
      <c r="N95" s="59"/>
      <c r="O95" s="59"/>
      <c r="P95" s="105"/>
      <c r="Q95" s="105"/>
      <c r="R95" s="105"/>
      <c r="S95" s="90"/>
      <c r="T95" s="90"/>
      <c r="U95" s="93"/>
      <c r="V95" s="93"/>
      <c r="W95" s="93"/>
      <c r="X95" s="29">
        <v>0</v>
      </c>
      <c r="Y95" s="145">
        <v>0</v>
      </c>
      <c r="Z95" s="145">
        <v>0</v>
      </c>
      <c r="AA95" s="145">
        <v>0</v>
      </c>
      <c r="AB95" s="145">
        <v>0</v>
      </c>
      <c r="AC95" s="145">
        <v>0</v>
      </c>
      <c r="AD95" s="145">
        <v>0</v>
      </c>
      <c r="AE95" s="142">
        <f t="shared" si="9"/>
        <v>0</v>
      </c>
      <c r="AF95" s="141"/>
      <c r="AG95" s="67"/>
      <c r="AH95" s="67"/>
      <c r="AI95" s="24"/>
      <c r="AJ95" s="24"/>
      <c r="AK95" s="24"/>
      <c r="AL95" s="71"/>
      <c r="AM95" s="69"/>
      <c r="AN95" s="141"/>
      <c r="AO95" s="141"/>
      <c r="AP95" s="141"/>
      <c r="AQ95" s="141"/>
      <c r="AR95" s="141"/>
      <c r="AS95" s="141"/>
      <c r="AT95" s="141"/>
      <c r="AU95" s="141"/>
      <c r="AV95" s="141"/>
      <c r="AW95" s="141"/>
    </row>
    <row r="96" spans="1:49" ht="45" hidden="1" customHeight="1">
      <c r="A96" s="153">
        <f t="shared" si="10"/>
        <v>93</v>
      </c>
      <c r="B96" s="153"/>
      <c r="C96" s="140"/>
      <c r="D96" s="28"/>
      <c r="E96" s="69"/>
      <c r="F96" s="39">
        <v>0</v>
      </c>
      <c r="G96" s="21"/>
      <c r="H96" s="21"/>
      <c r="I96" s="21"/>
      <c r="J96" s="141"/>
      <c r="K96" s="21"/>
      <c r="L96" s="69"/>
      <c r="M96" s="141"/>
      <c r="N96" s="59"/>
      <c r="O96" s="59"/>
      <c r="P96" s="105"/>
      <c r="Q96" s="105"/>
      <c r="R96" s="105"/>
      <c r="S96" s="90"/>
      <c r="T96" s="90"/>
      <c r="U96" s="93"/>
      <c r="V96" s="93"/>
      <c r="W96" s="93"/>
      <c r="X96" s="29">
        <v>0</v>
      </c>
      <c r="Y96" s="145">
        <v>0</v>
      </c>
      <c r="Z96" s="145">
        <v>0</v>
      </c>
      <c r="AA96" s="145">
        <v>0</v>
      </c>
      <c r="AB96" s="145">
        <v>0</v>
      </c>
      <c r="AC96" s="145">
        <v>0</v>
      </c>
      <c r="AD96" s="145">
        <v>0</v>
      </c>
      <c r="AE96" s="142">
        <f t="shared" si="9"/>
        <v>0</v>
      </c>
      <c r="AF96" s="141"/>
      <c r="AG96" s="67"/>
      <c r="AH96" s="67"/>
      <c r="AI96" s="24"/>
      <c r="AJ96" s="24"/>
      <c r="AK96" s="24"/>
      <c r="AL96" s="71"/>
      <c r="AM96" s="69"/>
      <c r="AN96" s="141"/>
      <c r="AO96" s="141"/>
      <c r="AP96" s="141"/>
      <c r="AQ96" s="141"/>
      <c r="AR96" s="141"/>
      <c r="AS96" s="141"/>
      <c r="AT96" s="141"/>
      <c r="AU96" s="141"/>
      <c r="AV96" s="141"/>
      <c r="AW96" s="141"/>
    </row>
    <row r="97" spans="1:49" ht="45" hidden="1" customHeight="1">
      <c r="A97" s="153">
        <f t="shared" si="10"/>
        <v>94</v>
      </c>
      <c r="B97" s="153"/>
      <c r="C97" s="140"/>
      <c r="D97" s="28"/>
      <c r="E97" s="69"/>
      <c r="F97" s="39">
        <v>0</v>
      </c>
      <c r="G97" s="21"/>
      <c r="H97" s="21"/>
      <c r="I97" s="21"/>
      <c r="J97" s="141"/>
      <c r="K97" s="21"/>
      <c r="L97" s="69"/>
      <c r="M97" s="141"/>
      <c r="N97" s="59"/>
      <c r="O97" s="59"/>
      <c r="P97" s="105"/>
      <c r="Q97" s="105"/>
      <c r="R97" s="105"/>
      <c r="S97" s="90"/>
      <c r="T97" s="90"/>
      <c r="U97" s="93"/>
      <c r="V97" s="93"/>
      <c r="W97" s="93"/>
      <c r="X97" s="29">
        <v>0</v>
      </c>
      <c r="Y97" s="145">
        <v>0</v>
      </c>
      <c r="Z97" s="145">
        <v>0</v>
      </c>
      <c r="AA97" s="145">
        <v>0</v>
      </c>
      <c r="AB97" s="145">
        <v>0</v>
      </c>
      <c r="AC97" s="145">
        <v>0</v>
      </c>
      <c r="AD97" s="145">
        <v>0</v>
      </c>
      <c r="AE97" s="142">
        <f t="shared" si="9"/>
        <v>0</v>
      </c>
      <c r="AF97" s="141"/>
      <c r="AG97" s="67"/>
      <c r="AH97" s="67"/>
      <c r="AI97" s="24"/>
      <c r="AJ97" s="24"/>
      <c r="AK97" s="24"/>
      <c r="AL97" s="71"/>
      <c r="AM97" s="69"/>
      <c r="AN97" s="141"/>
      <c r="AO97" s="141"/>
      <c r="AP97" s="141"/>
      <c r="AQ97" s="141"/>
      <c r="AR97" s="141"/>
      <c r="AS97" s="141"/>
      <c r="AT97" s="141"/>
      <c r="AU97" s="141"/>
      <c r="AV97" s="141"/>
      <c r="AW97" s="141"/>
    </row>
    <row r="98" spans="1:49" ht="45" hidden="1" customHeight="1">
      <c r="A98" s="153">
        <f t="shared" si="10"/>
        <v>95</v>
      </c>
      <c r="B98" s="153"/>
      <c r="C98" s="140"/>
      <c r="D98" s="28"/>
      <c r="E98" s="69"/>
      <c r="F98" s="39">
        <v>0</v>
      </c>
      <c r="G98" s="21"/>
      <c r="H98" s="21"/>
      <c r="I98" s="21"/>
      <c r="J98" s="141"/>
      <c r="K98" s="21"/>
      <c r="L98" s="69"/>
      <c r="M98" s="141"/>
      <c r="N98" s="59"/>
      <c r="O98" s="59"/>
      <c r="P98" s="105"/>
      <c r="Q98" s="105"/>
      <c r="R98" s="105"/>
      <c r="S98" s="90"/>
      <c r="T98" s="90"/>
      <c r="U98" s="93"/>
      <c r="V98" s="93"/>
      <c r="W98" s="93"/>
      <c r="X98" s="29">
        <v>0</v>
      </c>
      <c r="Y98" s="145">
        <v>0</v>
      </c>
      <c r="Z98" s="145">
        <v>0</v>
      </c>
      <c r="AA98" s="145">
        <v>0</v>
      </c>
      <c r="AB98" s="145">
        <v>0</v>
      </c>
      <c r="AC98" s="145">
        <v>0</v>
      </c>
      <c r="AD98" s="145">
        <v>0</v>
      </c>
      <c r="AE98" s="142">
        <f t="shared" si="9"/>
        <v>0</v>
      </c>
      <c r="AF98" s="141"/>
      <c r="AG98" s="67"/>
      <c r="AH98" s="67"/>
      <c r="AI98" s="24"/>
      <c r="AJ98" s="24"/>
      <c r="AK98" s="24"/>
      <c r="AL98" s="71"/>
      <c r="AM98" s="69"/>
      <c r="AN98" s="141"/>
      <c r="AO98" s="141"/>
      <c r="AP98" s="141"/>
      <c r="AQ98" s="141"/>
      <c r="AR98" s="141"/>
      <c r="AS98" s="141"/>
      <c r="AT98" s="141"/>
      <c r="AU98" s="141"/>
      <c r="AV98" s="141"/>
      <c r="AW98" s="141"/>
    </row>
    <row r="99" spans="1:49" ht="45" hidden="1" customHeight="1">
      <c r="A99" s="153">
        <f t="shared" si="10"/>
        <v>96</v>
      </c>
      <c r="B99" s="153"/>
      <c r="C99" s="140"/>
      <c r="D99" s="28"/>
      <c r="E99" s="69"/>
      <c r="F99" s="39">
        <v>0</v>
      </c>
      <c r="G99" s="21"/>
      <c r="H99" s="21"/>
      <c r="I99" s="21"/>
      <c r="J99" s="141"/>
      <c r="K99" s="21"/>
      <c r="L99" s="69"/>
      <c r="M99" s="141"/>
      <c r="N99" s="59"/>
      <c r="O99" s="59"/>
      <c r="P99" s="105"/>
      <c r="Q99" s="105"/>
      <c r="R99" s="105"/>
      <c r="S99" s="90"/>
      <c r="T99" s="90"/>
      <c r="U99" s="93"/>
      <c r="V99" s="93"/>
      <c r="W99" s="93"/>
      <c r="X99" s="29">
        <v>0</v>
      </c>
      <c r="Y99" s="145">
        <v>0</v>
      </c>
      <c r="Z99" s="145">
        <v>0</v>
      </c>
      <c r="AA99" s="145">
        <v>0</v>
      </c>
      <c r="AB99" s="145">
        <v>0</v>
      </c>
      <c r="AC99" s="145">
        <v>0</v>
      </c>
      <c r="AD99" s="145">
        <v>0</v>
      </c>
      <c r="AE99" s="142">
        <f t="shared" si="9"/>
        <v>0</v>
      </c>
      <c r="AF99" s="141"/>
      <c r="AG99" s="67"/>
      <c r="AH99" s="67"/>
      <c r="AI99" s="24"/>
      <c r="AJ99" s="24"/>
      <c r="AK99" s="24"/>
      <c r="AL99" s="71"/>
      <c r="AM99" s="69"/>
      <c r="AN99" s="141"/>
      <c r="AO99" s="141"/>
      <c r="AP99" s="141"/>
      <c r="AQ99" s="141"/>
      <c r="AR99" s="141"/>
      <c r="AS99" s="141"/>
      <c r="AT99" s="141"/>
      <c r="AU99" s="141"/>
      <c r="AV99" s="141"/>
      <c r="AW99" s="141"/>
    </row>
    <row r="100" spans="1:49" ht="45" hidden="1" customHeight="1">
      <c r="A100" s="153">
        <f t="shared" si="10"/>
        <v>97</v>
      </c>
      <c r="B100" s="153"/>
      <c r="C100" s="140"/>
      <c r="D100" s="28"/>
      <c r="E100" s="69"/>
      <c r="F100" s="39">
        <v>0</v>
      </c>
      <c r="G100" s="21"/>
      <c r="H100" s="21"/>
      <c r="I100" s="21"/>
      <c r="J100" s="141"/>
      <c r="K100" s="21"/>
      <c r="L100" s="69"/>
      <c r="M100" s="141"/>
      <c r="N100" s="59"/>
      <c r="O100" s="59"/>
      <c r="P100" s="105"/>
      <c r="Q100" s="105"/>
      <c r="R100" s="105"/>
      <c r="S100" s="90"/>
      <c r="T100" s="90"/>
      <c r="U100" s="93"/>
      <c r="V100" s="93"/>
      <c r="W100" s="93"/>
      <c r="X100" s="29">
        <v>0</v>
      </c>
      <c r="Y100" s="145">
        <v>0</v>
      </c>
      <c r="Z100" s="145">
        <v>0</v>
      </c>
      <c r="AA100" s="145">
        <v>0</v>
      </c>
      <c r="AB100" s="145">
        <v>0</v>
      </c>
      <c r="AC100" s="145">
        <v>0</v>
      </c>
      <c r="AD100" s="145">
        <v>0</v>
      </c>
      <c r="AE100" s="142">
        <f t="shared" si="9"/>
        <v>0</v>
      </c>
      <c r="AF100" s="141"/>
      <c r="AG100" s="67"/>
      <c r="AH100" s="67"/>
      <c r="AI100" s="24"/>
      <c r="AJ100" s="24"/>
      <c r="AK100" s="24"/>
      <c r="AL100" s="71"/>
      <c r="AM100" s="69"/>
      <c r="AN100" s="141"/>
      <c r="AO100" s="141"/>
      <c r="AP100" s="141"/>
      <c r="AQ100" s="141"/>
      <c r="AR100" s="141"/>
      <c r="AS100" s="141"/>
      <c r="AT100" s="141"/>
      <c r="AU100" s="141"/>
      <c r="AV100" s="141"/>
      <c r="AW100" s="141"/>
    </row>
    <row r="101" spans="1:49" ht="45" hidden="1" customHeight="1">
      <c r="A101" s="153">
        <f t="shared" si="10"/>
        <v>98</v>
      </c>
      <c r="B101" s="153"/>
      <c r="C101" s="140"/>
      <c r="D101" s="28"/>
      <c r="E101" s="69"/>
      <c r="F101" s="39">
        <v>0</v>
      </c>
      <c r="G101" s="21"/>
      <c r="H101" s="21"/>
      <c r="I101" s="21"/>
      <c r="J101" s="141"/>
      <c r="K101" s="21"/>
      <c r="L101" s="69"/>
      <c r="M101" s="141"/>
      <c r="N101" s="59"/>
      <c r="O101" s="59"/>
      <c r="P101" s="105"/>
      <c r="Q101" s="105"/>
      <c r="R101" s="105"/>
      <c r="S101" s="90"/>
      <c r="T101" s="90"/>
      <c r="U101" s="93"/>
      <c r="V101" s="93"/>
      <c r="W101" s="93"/>
      <c r="X101" s="29">
        <v>0</v>
      </c>
      <c r="Y101" s="145">
        <v>0</v>
      </c>
      <c r="Z101" s="145">
        <v>0</v>
      </c>
      <c r="AA101" s="145">
        <v>0</v>
      </c>
      <c r="AB101" s="145">
        <v>0</v>
      </c>
      <c r="AC101" s="145">
        <v>0</v>
      </c>
      <c r="AD101" s="145">
        <v>0</v>
      </c>
      <c r="AE101" s="142">
        <f t="shared" si="9"/>
        <v>0</v>
      </c>
      <c r="AF101" s="141"/>
      <c r="AG101" s="67"/>
      <c r="AH101" s="67"/>
      <c r="AI101" s="24"/>
      <c r="AJ101" s="24"/>
      <c r="AK101" s="24"/>
      <c r="AL101" s="71"/>
      <c r="AM101" s="69"/>
      <c r="AN101" s="141"/>
      <c r="AO101" s="141"/>
      <c r="AP101" s="141"/>
      <c r="AQ101" s="141"/>
      <c r="AR101" s="141"/>
      <c r="AS101" s="141"/>
      <c r="AT101" s="141"/>
      <c r="AU101" s="141"/>
      <c r="AV101" s="141"/>
      <c r="AW101" s="141"/>
    </row>
    <row r="102" spans="1:49" ht="45" hidden="1" customHeight="1">
      <c r="A102" s="153">
        <f t="shared" si="10"/>
        <v>99</v>
      </c>
      <c r="B102" s="153"/>
      <c r="C102" s="140"/>
      <c r="D102" s="28"/>
      <c r="E102" s="69"/>
      <c r="F102" s="39">
        <v>0</v>
      </c>
      <c r="G102" s="21"/>
      <c r="H102" s="21"/>
      <c r="I102" s="21"/>
      <c r="J102" s="141"/>
      <c r="K102" s="21"/>
      <c r="L102" s="69"/>
      <c r="M102" s="141"/>
      <c r="N102" s="59"/>
      <c r="O102" s="59"/>
      <c r="P102" s="105"/>
      <c r="Q102" s="105"/>
      <c r="R102" s="105"/>
      <c r="S102" s="90"/>
      <c r="T102" s="90"/>
      <c r="U102" s="93"/>
      <c r="V102" s="93"/>
      <c r="W102" s="93"/>
      <c r="X102" s="29">
        <v>0</v>
      </c>
      <c r="Y102" s="145">
        <v>0</v>
      </c>
      <c r="Z102" s="145">
        <v>0</v>
      </c>
      <c r="AA102" s="145">
        <v>0</v>
      </c>
      <c r="AB102" s="145">
        <v>0</v>
      </c>
      <c r="AC102" s="145">
        <v>0</v>
      </c>
      <c r="AD102" s="145">
        <v>0</v>
      </c>
      <c r="AE102" s="142">
        <f t="shared" ref="AE102:AE133" si="11">AVERAGE(X102:AD102)</f>
        <v>0</v>
      </c>
      <c r="AF102" s="141"/>
      <c r="AG102" s="67"/>
      <c r="AH102" s="67"/>
      <c r="AI102" s="24"/>
      <c r="AJ102" s="24"/>
      <c r="AK102" s="24"/>
      <c r="AL102" s="71"/>
      <c r="AM102" s="69"/>
      <c r="AN102" s="141"/>
      <c r="AO102" s="141"/>
      <c r="AP102" s="141"/>
      <c r="AQ102" s="141"/>
      <c r="AR102" s="141"/>
      <c r="AS102" s="141"/>
      <c r="AT102" s="141"/>
      <c r="AU102" s="141"/>
      <c r="AV102" s="141"/>
      <c r="AW102" s="141"/>
    </row>
    <row r="103" spans="1:49" ht="45" hidden="1" customHeight="1">
      <c r="A103" s="153">
        <f t="shared" si="10"/>
        <v>100</v>
      </c>
      <c r="B103" s="153"/>
      <c r="C103" s="140"/>
      <c r="D103" s="28"/>
      <c r="E103" s="69"/>
      <c r="F103" s="39">
        <v>0</v>
      </c>
      <c r="G103" s="21"/>
      <c r="H103" s="21"/>
      <c r="I103" s="21"/>
      <c r="J103" s="141"/>
      <c r="K103" s="21"/>
      <c r="L103" s="69"/>
      <c r="M103" s="141"/>
      <c r="N103" s="59"/>
      <c r="O103" s="59"/>
      <c r="P103" s="105"/>
      <c r="Q103" s="105"/>
      <c r="R103" s="105"/>
      <c r="S103" s="90"/>
      <c r="T103" s="90"/>
      <c r="U103" s="93"/>
      <c r="V103" s="93"/>
      <c r="W103" s="93"/>
      <c r="X103" s="29">
        <v>0</v>
      </c>
      <c r="Y103" s="145">
        <v>0</v>
      </c>
      <c r="Z103" s="145">
        <v>0</v>
      </c>
      <c r="AA103" s="145">
        <v>0</v>
      </c>
      <c r="AB103" s="145">
        <v>0</v>
      </c>
      <c r="AC103" s="145">
        <v>0</v>
      </c>
      <c r="AD103" s="145">
        <v>0</v>
      </c>
      <c r="AE103" s="142">
        <f t="shared" si="11"/>
        <v>0</v>
      </c>
      <c r="AF103" s="141"/>
      <c r="AG103" s="67"/>
      <c r="AH103" s="67"/>
      <c r="AI103" s="24"/>
      <c r="AJ103" s="24"/>
      <c r="AK103" s="24"/>
      <c r="AL103" s="71"/>
      <c r="AM103" s="69"/>
      <c r="AN103" s="141"/>
      <c r="AO103" s="141"/>
      <c r="AP103" s="141"/>
      <c r="AQ103" s="141"/>
      <c r="AR103" s="141"/>
      <c r="AS103" s="141"/>
      <c r="AT103" s="141"/>
      <c r="AU103" s="141"/>
      <c r="AV103" s="141"/>
      <c r="AW103" s="141"/>
    </row>
    <row r="104" spans="1:49" ht="45" hidden="1" customHeight="1">
      <c r="A104" s="153">
        <f t="shared" si="10"/>
        <v>101</v>
      </c>
      <c r="B104" s="153"/>
      <c r="C104" s="140"/>
      <c r="D104" s="28"/>
      <c r="E104" s="69"/>
      <c r="F104" s="39">
        <v>0</v>
      </c>
      <c r="G104" s="21"/>
      <c r="H104" s="21"/>
      <c r="I104" s="21"/>
      <c r="J104" s="141"/>
      <c r="K104" s="21"/>
      <c r="L104" s="69"/>
      <c r="M104" s="141"/>
      <c r="N104" s="59"/>
      <c r="O104" s="59"/>
      <c r="P104" s="105"/>
      <c r="Q104" s="105"/>
      <c r="R104" s="105"/>
      <c r="S104" s="90"/>
      <c r="T104" s="90"/>
      <c r="U104" s="93"/>
      <c r="V104" s="93"/>
      <c r="W104" s="93"/>
      <c r="X104" s="29">
        <v>0</v>
      </c>
      <c r="Y104" s="145">
        <v>0</v>
      </c>
      <c r="Z104" s="145">
        <v>0</v>
      </c>
      <c r="AA104" s="145">
        <v>0</v>
      </c>
      <c r="AB104" s="145">
        <v>0</v>
      </c>
      <c r="AC104" s="145">
        <v>0</v>
      </c>
      <c r="AD104" s="145">
        <v>0</v>
      </c>
      <c r="AE104" s="142">
        <f t="shared" si="11"/>
        <v>0</v>
      </c>
      <c r="AF104" s="141"/>
      <c r="AG104" s="67"/>
      <c r="AH104" s="67"/>
      <c r="AI104" s="24"/>
      <c r="AJ104" s="24"/>
      <c r="AK104" s="24"/>
      <c r="AL104" s="71"/>
      <c r="AM104" s="69"/>
      <c r="AN104" s="141"/>
      <c r="AO104" s="141"/>
      <c r="AP104" s="141"/>
      <c r="AQ104" s="141"/>
      <c r="AR104" s="141"/>
      <c r="AS104" s="141"/>
      <c r="AT104" s="141"/>
      <c r="AU104" s="141"/>
      <c r="AV104" s="141"/>
      <c r="AW104" s="141"/>
    </row>
    <row r="105" spans="1:49" ht="45" hidden="1" customHeight="1">
      <c r="A105" s="153">
        <f t="shared" si="10"/>
        <v>102</v>
      </c>
      <c r="B105" s="153"/>
      <c r="C105" s="140"/>
      <c r="D105" s="28"/>
      <c r="E105" s="69"/>
      <c r="F105" s="39">
        <v>0</v>
      </c>
      <c r="G105" s="21"/>
      <c r="H105" s="21"/>
      <c r="I105" s="21"/>
      <c r="J105" s="141"/>
      <c r="K105" s="21"/>
      <c r="L105" s="69"/>
      <c r="M105" s="141"/>
      <c r="N105" s="59"/>
      <c r="O105" s="59"/>
      <c r="P105" s="105"/>
      <c r="Q105" s="105"/>
      <c r="R105" s="105"/>
      <c r="S105" s="90"/>
      <c r="T105" s="90"/>
      <c r="U105" s="93"/>
      <c r="V105" s="93"/>
      <c r="W105" s="93"/>
      <c r="X105" s="29">
        <v>0</v>
      </c>
      <c r="Y105" s="145">
        <v>0</v>
      </c>
      <c r="Z105" s="145">
        <v>0</v>
      </c>
      <c r="AA105" s="145">
        <v>0</v>
      </c>
      <c r="AB105" s="145">
        <v>0</v>
      </c>
      <c r="AC105" s="145">
        <v>0</v>
      </c>
      <c r="AD105" s="145">
        <v>0</v>
      </c>
      <c r="AE105" s="142">
        <f t="shared" si="11"/>
        <v>0</v>
      </c>
      <c r="AF105" s="141"/>
      <c r="AG105" s="67"/>
      <c r="AH105" s="67"/>
      <c r="AI105" s="24"/>
      <c r="AJ105" s="24"/>
      <c r="AK105" s="24"/>
      <c r="AL105" s="71"/>
      <c r="AM105" s="69"/>
      <c r="AN105" s="141"/>
      <c r="AO105" s="141"/>
      <c r="AP105" s="141"/>
      <c r="AQ105" s="141"/>
      <c r="AR105" s="141"/>
      <c r="AS105" s="141"/>
      <c r="AT105" s="141"/>
      <c r="AU105" s="141"/>
      <c r="AV105" s="141"/>
      <c r="AW105" s="141"/>
    </row>
    <row r="106" spans="1:49" ht="45" hidden="1" customHeight="1">
      <c r="A106" s="153">
        <f t="shared" si="10"/>
        <v>103</v>
      </c>
      <c r="B106" s="153"/>
      <c r="C106" s="140"/>
      <c r="D106" s="28"/>
      <c r="E106" s="69"/>
      <c r="F106" s="39">
        <v>0</v>
      </c>
      <c r="G106" s="21"/>
      <c r="H106" s="21"/>
      <c r="I106" s="21"/>
      <c r="J106" s="141"/>
      <c r="K106" s="21"/>
      <c r="L106" s="69"/>
      <c r="M106" s="141"/>
      <c r="N106" s="59"/>
      <c r="O106" s="59"/>
      <c r="P106" s="105"/>
      <c r="Q106" s="105"/>
      <c r="R106" s="105"/>
      <c r="S106" s="90"/>
      <c r="T106" s="90"/>
      <c r="U106" s="93"/>
      <c r="V106" s="93"/>
      <c r="W106" s="93"/>
      <c r="X106" s="29">
        <v>0</v>
      </c>
      <c r="Y106" s="145">
        <v>0</v>
      </c>
      <c r="Z106" s="145">
        <v>0</v>
      </c>
      <c r="AA106" s="145">
        <v>0</v>
      </c>
      <c r="AB106" s="145">
        <v>0</v>
      </c>
      <c r="AC106" s="145">
        <v>0</v>
      </c>
      <c r="AD106" s="145">
        <v>0</v>
      </c>
      <c r="AE106" s="142">
        <f t="shared" si="11"/>
        <v>0</v>
      </c>
      <c r="AF106" s="141"/>
      <c r="AG106" s="67"/>
      <c r="AH106" s="67"/>
      <c r="AI106" s="24"/>
      <c r="AJ106" s="24"/>
      <c r="AK106" s="24"/>
      <c r="AL106" s="71"/>
      <c r="AM106" s="69"/>
      <c r="AN106" s="141"/>
      <c r="AO106" s="141"/>
      <c r="AP106" s="141"/>
      <c r="AQ106" s="141"/>
      <c r="AR106" s="141"/>
      <c r="AS106" s="141"/>
      <c r="AT106" s="141"/>
      <c r="AU106" s="141"/>
      <c r="AV106" s="141"/>
      <c r="AW106" s="141"/>
    </row>
    <row r="107" spans="1:49" ht="45" hidden="1" customHeight="1">
      <c r="A107" s="153">
        <f t="shared" si="10"/>
        <v>104</v>
      </c>
      <c r="B107" s="153"/>
      <c r="C107" s="140"/>
      <c r="D107" s="28"/>
      <c r="E107" s="69"/>
      <c r="F107" s="39">
        <v>0</v>
      </c>
      <c r="G107" s="21"/>
      <c r="H107" s="21"/>
      <c r="I107" s="21"/>
      <c r="J107" s="141"/>
      <c r="K107" s="21"/>
      <c r="L107" s="69"/>
      <c r="M107" s="141"/>
      <c r="N107" s="59"/>
      <c r="O107" s="59"/>
      <c r="P107" s="105"/>
      <c r="Q107" s="105"/>
      <c r="R107" s="105"/>
      <c r="S107" s="90"/>
      <c r="T107" s="90"/>
      <c r="U107" s="93"/>
      <c r="V107" s="93"/>
      <c r="W107" s="93"/>
      <c r="X107" s="29">
        <v>0</v>
      </c>
      <c r="Y107" s="145">
        <v>0</v>
      </c>
      <c r="Z107" s="145">
        <v>0</v>
      </c>
      <c r="AA107" s="145">
        <v>0</v>
      </c>
      <c r="AB107" s="145">
        <v>0</v>
      </c>
      <c r="AC107" s="145">
        <v>0</v>
      </c>
      <c r="AD107" s="145">
        <v>0</v>
      </c>
      <c r="AE107" s="142">
        <f t="shared" si="11"/>
        <v>0</v>
      </c>
      <c r="AF107" s="141"/>
      <c r="AG107" s="67"/>
      <c r="AH107" s="67"/>
      <c r="AI107" s="24"/>
      <c r="AJ107" s="24"/>
      <c r="AK107" s="24"/>
      <c r="AL107" s="71"/>
      <c r="AM107" s="69"/>
      <c r="AN107" s="141"/>
      <c r="AO107" s="141"/>
      <c r="AP107" s="141"/>
      <c r="AQ107" s="141"/>
      <c r="AR107" s="141"/>
      <c r="AS107" s="141"/>
      <c r="AT107" s="141"/>
      <c r="AU107" s="141"/>
      <c r="AV107" s="141"/>
      <c r="AW107" s="141"/>
    </row>
    <row r="108" spans="1:49" ht="45" hidden="1" customHeight="1">
      <c r="A108" s="153">
        <f t="shared" si="10"/>
        <v>105</v>
      </c>
      <c r="B108" s="153"/>
      <c r="C108" s="140"/>
      <c r="D108" s="28"/>
      <c r="E108" s="69"/>
      <c r="F108" s="39">
        <v>0</v>
      </c>
      <c r="G108" s="21"/>
      <c r="H108" s="21"/>
      <c r="I108" s="21"/>
      <c r="J108" s="141"/>
      <c r="K108" s="21"/>
      <c r="L108" s="69"/>
      <c r="M108" s="141"/>
      <c r="N108" s="59"/>
      <c r="O108" s="59"/>
      <c r="P108" s="105"/>
      <c r="Q108" s="105"/>
      <c r="R108" s="105"/>
      <c r="S108" s="90"/>
      <c r="T108" s="90"/>
      <c r="U108" s="93"/>
      <c r="V108" s="93"/>
      <c r="W108" s="93"/>
      <c r="X108" s="29">
        <v>0</v>
      </c>
      <c r="Y108" s="145">
        <v>0</v>
      </c>
      <c r="Z108" s="145">
        <v>0</v>
      </c>
      <c r="AA108" s="145">
        <v>0</v>
      </c>
      <c r="AB108" s="145">
        <v>0</v>
      </c>
      <c r="AC108" s="145">
        <v>0</v>
      </c>
      <c r="AD108" s="145">
        <v>0</v>
      </c>
      <c r="AE108" s="142">
        <f t="shared" si="11"/>
        <v>0</v>
      </c>
      <c r="AF108" s="141"/>
      <c r="AG108" s="67"/>
      <c r="AH108" s="67"/>
      <c r="AI108" s="24"/>
      <c r="AJ108" s="24"/>
      <c r="AK108" s="24"/>
      <c r="AL108" s="71"/>
      <c r="AM108" s="69"/>
      <c r="AN108" s="141"/>
      <c r="AO108" s="141"/>
      <c r="AP108" s="141"/>
      <c r="AQ108" s="141"/>
      <c r="AR108" s="141"/>
      <c r="AS108" s="141"/>
      <c r="AT108" s="141"/>
      <c r="AU108" s="141"/>
      <c r="AV108" s="141"/>
      <c r="AW108" s="141"/>
    </row>
    <row r="109" spans="1:49" ht="45" hidden="1" customHeight="1">
      <c r="A109" s="153">
        <f t="shared" si="10"/>
        <v>106</v>
      </c>
      <c r="B109" s="153"/>
      <c r="C109" s="140"/>
      <c r="D109" s="28"/>
      <c r="E109" s="69"/>
      <c r="F109" s="39">
        <v>0</v>
      </c>
      <c r="G109" s="21"/>
      <c r="H109" s="21"/>
      <c r="I109" s="21"/>
      <c r="J109" s="141"/>
      <c r="K109" s="21"/>
      <c r="L109" s="69"/>
      <c r="M109" s="141"/>
      <c r="N109" s="59"/>
      <c r="O109" s="59"/>
      <c r="P109" s="105"/>
      <c r="Q109" s="105"/>
      <c r="R109" s="105"/>
      <c r="S109" s="90"/>
      <c r="T109" s="90"/>
      <c r="U109" s="93"/>
      <c r="V109" s="93"/>
      <c r="W109" s="93"/>
      <c r="X109" s="29">
        <v>0</v>
      </c>
      <c r="Y109" s="145">
        <v>0</v>
      </c>
      <c r="Z109" s="145">
        <v>0</v>
      </c>
      <c r="AA109" s="145">
        <v>0</v>
      </c>
      <c r="AB109" s="145">
        <v>0</v>
      </c>
      <c r="AC109" s="145">
        <v>0</v>
      </c>
      <c r="AD109" s="145">
        <v>0</v>
      </c>
      <c r="AE109" s="142">
        <f t="shared" si="11"/>
        <v>0</v>
      </c>
      <c r="AF109" s="141"/>
      <c r="AG109" s="67"/>
      <c r="AH109" s="67"/>
      <c r="AI109" s="24"/>
      <c r="AJ109" s="24"/>
      <c r="AK109" s="24"/>
      <c r="AL109" s="71"/>
      <c r="AM109" s="69"/>
      <c r="AN109" s="141"/>
      <c r="AO109" s="141"/>
      <c r="AP109" s="141"/>
      <c r="AQ109" s="141"/>
      <c r="AR109" s="141"/>
      <c r="AS109" s="141"/>
      <c r="AT109" s="141"/>
      <c r="AU109" s="141"/>
      <c r="AV109" s="141"/>
      <c r="AW109" s="141"/>
    </row>
    <row r="110" spans="1:49" ht="45" hidden="1" customHeight="1">
      <c r="A110" s="153">
        <f t="shared" si="10"/>
        <v>107</v>
      </c>
      <c r="B110" s="153"/>
      <c r="C110" s="140"/>
      <c r="D110" s="28"/>
      <c r="E110" s="69"/>
      <c r="F110" s="39">
        <v>0</v>
      </c>
      <c r="G110" s="21"/>
      <c r="H110" s="21"/>
      <c r="I110" s="21"/>
      <c r="J110" s="141"/>
      <c r="K110" s="21"/>
      <c r="L110" s="69"/>
      <c r="M110" s="141"/>
      <c r="N110" s="59"/>
      <c r="O110" s="59"/>
      <c r="P110" s="105"/>
      <c r="Q110" s="105"/>
      <c r="R110" s="105"/>
      <c r="S110" s="90"/>
      <c r="T110" s="90"/>
      <c r="U110" s="93"/>
      <c r="V110" s="93"/>
      <c r="W110" s="93"/>
      <c r="X110" s="29">
        <v>0</v>
      </c>
      <c r="Y110" s="145">
        <v>0</v>
      </c>
      <c r="Z110" s="145">
        <v>0</v>
      </c>
      <c r="AA110" s="145">
        <v>0</v>
      </c>
      <c r="AB110" s="145">
        <v>0</v>
      </c>
      <c r="AC110" s="145">
        <v>0</v>
      </c>
      <c r="AD110" s="145">
        <v>0</v>
      </c>
      <c r="AE110" s="142">
        <f t="shared" si="11"/>
        <v>0</v>
      </c>
      <c r="AF110" s="141"/>
      <c r="AG110" s="67"/>
      <c r="AH110" s="67"/>
      <c r="AI110" s="24"/>
      <c r="AJ110" s="24"/>
      <c r="AK110" s="24"/>
      <c r="AL110" s="71"/>
      <c r="AM110" s="69"/>
      <c r="AN110" s="141"/>
      <c r="AO110" s="141"/>
      <c r="AP110" s="141"/>
      <c r="AQ110" s="141"/>
      <c r="AR110" s="141"/>
      <c r="AS110" s="141"/>
      <c r="AT110" s="141"/>
      <c r="AU110" s="141"/>
      <c r="AV110" s="141"/>
      <c r="AW110" s="141"/>
    </row>
    <row r="111" spans="1:49" ht="45" hidden="1" customHeight="1">
      <c r="A111" s="153">
        <f t="shared" si="10"/>
        <v>108</v>
      </c>
      <c r="B111" s="153"/>
      <c r="C111" s="140"/>
      <c r="D111" s="28"/>
      <c r="E111" s="69"/>
      <c r="F111" s="39">
        <v>0</v>
      </c>
      <c r="G111" s="21"/>
      <c r="H111" s="21"/>
      <c r="I111" s="21"/>
      <c r="J111" s="141"/>
      <c r="K111" s="21"/>
      <c r="L111" s="69"/>
      <c r="M111" s="141"/>
      <c r="N111" s="59"/>
      <c r="O111" s="59"/>
      <c r="P111" s="105"/>
      <c r="Q111" s="105"/>
      <c r="R111" s="105"/>
      <c r="S111" s="90"/>
      <c r="T111" s="90"/>
      <c r="U111" s="93"/>
      <c r="V111" s="93"/>
      <c r="W111" s="93"/>
      <c r="X111" s="29">
        <v>0</v>
      </c>
      <c r="Y111" s="145">
        <v>0</v>
      </c>
      <c r="Z111" s="145">
        <v>0</v>
      </c>
      <c r="AA111" s="145">
        <v>0</v>
      </c>
      <c r="AB111" s="145">
        <v>0</v>
      </c>
      <c r="AC111" s="145">
        <v>0</v>
      </c>
      <c r="AD111" s="145">
        <v>0</v>
      </c>
      <c r="AE111" s="142">
        <f t="shared" si="11"/>
        <v>0</v>
      </c>
      <c r="AF111" s="141"/>
      <c r="AG111" s="67"/>
      <c r="AH111" s="67"/>
      <c r="AI111" s="24"/>
      <c r="AJ111" s="24"/>
      <c r="AK111" s="24"/>
      <c r="AL111" s="71"/>
      <c r="AM111" s="69"/>
      <c r="AN111" s="141"/>
      <c r="AO111" s="141"/>
      <c r="AP111" s="141"/>
      <c r="AQ111" s="141"/>
      <c r="AR111" s="141"/>
      <c r="AS111" s="141"/>
      <c r="AT111" s="141"/>
      <c r="AU111" s="141"/>
      <c r="AV111" s="141"/>
      <c r="AW111" s="141"/>
    </row>
    <row r="112" spans="1:49" ht="45" hidden="1" customHeight="1">
      <c r="A112" s="153">
        <f t="shared" si="10"/>
        <v>109</v>
      </c>
      <c r="B112" s="153"/>
      <c r="C112" s="140"/>
      <c r="D112" s="28"/>
      <c r="E112" s="69"/>
      <c r="F112" s="39">
        <v>0</v>
      </c>
      <c r="G112" s="21"/>
      <c r="H112" s="21"/>
      <c r="I112" s="21"/>
      <c r="J112" s="141"/>
      <c r="K112" s="21"/>
      <c r="L112" s="69"/>
      <c r="M112" s="141"/>
      <c r="N112" s="59"/>
      <c r="O112" s="59"/>
      <c r="P112" s="105"/>
      <c r="Q112" s="105"/>
      <c r="R112" s="105"/>
      <c r="S112" s="90"/>
      <c r="T112" s="90"/>
      <c r="U112" s="93"/>
      <c r="V112" s="93"/>
      <c r="W112" s="93"/>
      <c r="X112" s="29">
        <v>0</v>
      </c>
      <c r="Y112" s="145">
        <v>0</v>
      </c>
      <c r="Z112" s="145">
        <v>0</v>
      </c>
      <c r="AA112" s="145">
        <v>0</v>
      </c>
      <c r="AB112" s="145">
        <v>0</v>
      </c>
      <c r="AC112" s="145">
        <v>0</v>
      </c>
      <c r="AD112" s="145">
        <v>0</v>
      </c>
      <c r="AE112" s="142">
        <f t="shared" si="11"/>
        <v>0</v>
      </c>
      <c r="AF112" s="141"/>
      <c r="AG112" s="67"/>
      <c r="AH112" s="67"/>
      <c r="AI112" s="24"/>
      <c r="AJ112" s="24"/>
      <c r="AK112" s="24"/>
      <c r="AL112" s="71"/>
      <c r="AM112" s="69"/>
      <c r="AN112" s="141"/>
      <c r="AO112" s="141"/>
      <c r="AP112" s="141"/>
      <c r="AQ112" s="141"/>
      <c r="AR112" s="141"/>
      <c r="AS112" s="141"/>
      <c r="AT112" s="141"/>
      <c r="AU112" s="141"/>
      <c r="AV112" s="141"/>
      <c r="AW112" s="141"/>
    </row>
    <row r="113" spans="1:49" ht="45" hidden="1" customHeight="1">
      <c r="A113" s="153">
        <f t="shared" si="10"/>
        <v>110</v>
      </c>
      <c r="B113" s="153"/>
      <c r="C113" s="140"/>
      <c r="D113" s="28"/>
      <c r="E113" s="69"/>
      <c r="F113" s="39">
        <v>3</v>
      </c>
      <c r="G113" s="21"/>
      <c r="H113" s="21"/>
      <c r="I113" s="21"/>
      <c r="J113" s="141"/>
      <c r="K113" s="21"/>
      <c r="L113" s="69"/>
      <c r="M113" s="141"/>
      <c r="N113" s="59"/>
      <c r="O113" s="59"/>
      <c r="P113" s="105"/>
      <c r="Q113" s="105"/>
      <c r="R113" s="105"/>
      <c r="S113" s="90"/>
      <c r="T113" s="90"/>
      <c r="U113" s="93"/>
      <c r="V113" s="93"/>
      <c r="W113" s="93"/>
      <c r="X113" s="29">
        <v>0</v>
      </c>
      <c r="Y113" s="145">
        <v>0</v>
      </c>
      <c r="Z113" s="145">
        <v>0</v>
      </c>
      <c r="AA113" s="145">
        <v>0</v>
      </c>
      <c r="AB113" s="145">
        <v>0</v>
      </c>
      <c r="AC113" s="145">
        <v>0</v>
      </c>
      <c r="AD113" s="145">
        <v>0</v>
      </c>
      <c r="AE113" s="142">
        <f t="shared" si="11"/>
        <v>0</v>
      </c>
      <c r="AF113" s="141"/>
      <c r="AG113" s="67"/>
      <c r="AH113" s="67"/>
      <c r="AI113" s="24"/>
      <c r="AJ113" s="24"/>
      <c r="AK113" s="24"/>
      <c r="AL113" s="71"/>
      <c r="AM113" s="69"/>
      <c r="AN113" s="141"/>
      <c r="AO113" s="141"/>
      <c r="AP113" s="141"/>
      <c r="AQ113" s="141"/>
      <c r="AR113" s="141"/>
      <c r="AS113" s="141"/>
      <c r="AT113" s="141"/>
      <c r="AU113" s="141"/>
      <c r="AV113" s="141"/>
      <c r="AW113" s="141"/>
    </row>
    <row r="114" spans="1:49" ht="45" hidden="1" customHeight="1">
      <c r="A114" s="153">
        <f t="shared" si="10"/>
        <v>111</v>
      </c>
      <c r="B114" s="153"/>
      <c r="C114" s="140"/>
      <c r="D114" s="28"/>
      <c r="E114" s="69"/>
      <c r="F114" s="39">
        <v>0</v>
      </c>
      <c r="G114" s="21"/>
      <c r="H114" s="21"/>
      <c r="I114" s="21"/>
      <c r="J114" s="141"/>
      <c r="K114" s="21"/>
      <c r="L114" s="69"/>
      <c r="M114" s="141"/>
      <c r="N114" s="59"/>
      <c r="O114" s="59"/>
      <c r="P114" s="105"/>
      <c r="Q114" s="105"/>
      <c r="R114" s="105"/>
      <c r="S114" s="90"/>
      <c r="T114" s="90"/>
      <c r="U114" s="93"/>
      <c r="V114" s="93"/>
      <c r="W114" s="93"/>
      <c r="X114" s="29">
        <v>0</v>
      </c>
      <c r="Y114" s="145">
        <v>0</v>
      </c>
      <c r="Z114" s="145">
        <v>0</v>
      </c>
      <c r="AA114" s="145">
        <v>0</v>
      </c>
      <c r="AB114" s="145">
        <v>0</v>
      </c>
      <c r="AC114" s="145">
        <v>0</v>
      </c>
      <c r="AD114" s="145">
        <v>0</v>
      </c>
      <c r="AE114" s="142">
        <f t="shared" si="11"/>
        <v>0</v>
      </c>
      <c r="AF114" s="141"/>
      <c r="AG114" s="67"/>
      <c r="AH114" s="67"/>
      <c r="AI114" s="24"/>
      <c r="AJ114" s="24"/>
      <c r="AK114" s="24"/>
      <c r="AL114" s="71"/>
      <c r="AM114" s="69"/>
      <c r="AN114" s="141"/>
      <c r="AO114" s="141"/>
      <c r="AP114" s="141"/>
      <c r="AQ114" s="141"/>
      <c r="AR114" s="141"/>
      <c r="AS114" s="141"/>
      <c r="AT114" s="141"/>
      <c r="AU114" s="141"/>
      <c r="AV114" s="141"/>
      <c r="AW114" s="141"/>
    </row>
    <row r="115" spans="1:49" ht="45" hidden="1" customHeight="1">
      <c r="A115" s="153">
        <f t="shared" si="10"/>
        <v>112</v>
      </c>
      <c r="B115" s="153"/>
      <c r="C115" s="140"/>
      <c r="D115" s="28"/>
      <c r="E115" s="69"/>
      <c r="F115" s="39">
        <v>0</v>
      </c>
      <c r="G115" s="21"/>
      <c r="H115" s="21"/>
      <c r="I115" s="21"/>
      <c r="J115" s="141"/>
      <c r="K115" s="21"/>
      <c r="L115" s="69"/>
      <c r="M115" s="141"/>
      <c r="N115" s="59"/>
      <c r="O115" s="59"/>
      <c r="P115" s="105"/>
      <c r="Q115" s="105"/>
      <c r="R115" s="105"/>
      <c r="S115" s="90"/>
      <c r="T115" s="90"/>
      <c r="U115" s="93"/>
      <c r="V115" s="93"/>
      <c r="W115" s="93"/>
      <c r="X115" s="29">
        <v>0</v>
      </c>
      <c r="Y115" s="145">
        <v>0</v>
      </c>
      <c r="Z115" s="145">
        <v>0</v>
      </c>
      <c r="AA115" s="145">
        <v>0</v>
      </c>
      <c r="AB115" s="145">
        <v>0</v>
      </c>
      <c r="AC115" s="145">
        <v>0</v>
      </c>
      <c r="AD115" s="145">
        <v>0</v>
      </c>
      <c r="AE115" s="142">
        <f t="shared" si="11"/>
        <v>0</v>
      </c>
      <c r="AF115" s="141"/>
      <c r="AG115" s="67"/>
      <c r="AH115" s="67"/>
      <c r="AI115" s="24"/>
      <c r="AJ115" s="24"/>
      <c r="AK115" s="24"/>
      <c r="AL115" s="71"/>
      <c r="AM115" s="69"/>
      <c r="AN115" s="141"/>
      <c r="AO115" s="141"/>
      <c r="AP115" s="141"/>
      <c r="AQ115" s="141"/>
      <c r="AR115" s="141"/>
      <c r="AS115" s="141"/>
      <c r="AT115" s="141"/>
      <c r="AU115" s="141"/>
      <c r="AV115" s="141"/>
      <c r="AW115" s="141"/>
    </row>
    <row r="116" spans="1:49" ht="45" hidden="1" customHeight="1">
      <c r="A116" s="153">
        <f t="shared" si="10"/>
        <v>113</v>
      </c>
      <c r="B116" s="153"/>
      <c r="C116" s="140"/>
      <c r="D116" s="28"/>
      <c r="E116" s="69"/>
      <c r="F116" s="39">
        <v>0</v>
      </c>
      <c r="G116" s="21"/>
      <c r="H116" s="21"/>
      <c r="I116" s="21"/>
      <c r="J116" s="141"/>
      <c r="K116" s="21"/>
      <c r="L116" s="69"/>
      <c r="M116" s="141"/>
      <c r="N116" s="59"/>
      <c r="O116" s="59"/>
      <c r="P116" s="105"/>
      <c r="Q116" s="105"/>
      <c r="R116" s="105"/>
      <c r="S116" s="90"/>
      <c r="T116" s="90"/>
      <c r="U116" s="93"/>
      <c r="V116" s="93"/>
      <c r="W116" s="93"/>
      <c r="X116" s="29">
        <v>0</v>
      </c>
      <c r="Y116" s="145">
        <v>0</v>
      </c>
      <c r="Z116" s="145">
        <v>0</v>
      </c>
      <c r="AA116" s="145">
        <v>0</v>
      </c>
      <c r="AB116" s="145">
        <v>0</v>
      </c>
      <c r="AC116" s="145">
        <v>0</v>
      </c>
      <c r="AD116" s="145">
        <v>0</v>
      </c>
      <c r="AE116" s="142">
        <f t="shared" si="11"/>
        <v>0</v>
      </c>
      <c r="AF116" s="141"/>
      <c r="AG116" s="67"/>
      <c r="AH116" s="67"/>
      <c r="AI116" s="24"/>
      <c r="AJ116" s="24"/>
      <c r="AK116" s="24"/>
      <c r="AL116" s="71"/>
      <c r="AM116" s="69"/>
      <c r="AN116" s="141"/>
      <c r="AO116" s="141"/>
      <c r="AP116" s="141"/>
      <c r="AQ116" s="141"/>
      <c r="AR116" s="141"/>
      <c r="AS116" s="141"/>
      <c r="AT116" s="141"/>
      <c r="AU116" s="141"/>
      <c r="AV116" s="141"/>
      <c r="AW116" s="141"/>
    </row>
    <row r="117" spans="1:49" ht="45" hidden="1" customHeight="1">
      <c r="A117" s="153">
        <f t="shared" si="10"/>
        <v>114</v>
      </c>
      <c r="B117" s="153"/>
      <c r="C117" s="140"/>
      <c r="D117" s="28"/>
      <c r="E117" s="69"/>
      <c r="F117" s="39">
        <v>0</v>
      </c>
      <c r="G117" s="21"/>
      <c r="H117" s="21"/>
      <c r="I117" s="21"/>
      <c r="J117" s="141"/>
      <c r="K117" s="21"/>
      <c r="L117" s="69"/>
      <c r="M117" s="141"/>
      <c r="N117" s="59"/>
      <c r="O117" s="59"/>
      <c r="P117" s="105"/>
      <c r="Q117" s="105"/>
      <c r="R117" s="105"/>
      <c r="S117" s="90"/>
      <c r="T117" s="90"/>
      <c r="U117" s="93"/>
      <c r="V117" s="93"/>
      <c r="W117" s="93"/>
      <c r="X117" s="29">
        <v>0</v>
      </c>
      <c r="Y117" s="145">
        <v>0</v>
      </c>
      <c r="Z117" s="145">
        <v>0</v>
      </c>
      <c r="AA117" s="145">
        <v>0</v>
      </c>
      <c r="AB117" s="145">
        <v>0</v>
      </c>
      <c r="AC117" s="145">
        <v>0</v>
      </c>
      <c r="AD117" s="145">
        <v>0</v>
      </c>
      <c r="AE117" s="142">
        <f t="shared" si="11"/>
        <v>0</v>
      </c>
      <c r="AF117" s="141"/>
      <c r="AG117" s="67"/>
      <c r="AH117" s="67"/>
      <c r="AI117" s="24"/>
      <c r="AJ117" s="24"/>
      <c r="AK117" s="24"/>
      <c r="AL117" s="71"/>
      <c r="AM117" s="69"/>
      <c r="AN117" s="141"/>
      <c r="AO117" s="141"/>
      <c r="AP117" s="141"/>
      <c r="AQ117" s="141"/>
      <c r="AR117" s="141"/>
      <c r="AS117" s="141"/>
      <c r="AT117" s="141"/>
      <c r="AU117" s="141"/>
      <c r="AV117" s="141"/>
      <c r="AW117" s="141"/>
    </row>
    <row r="118" spans="1:49" ht="45" hidden="1" customHeight="1">
      <c r="A118" s="153">
        <f t="shared" si="10"/>
        <v>115</v>
      </c>
      <c r="B118" s="153"/>
      <c r="C118" s="140"/>
      <c r="D118" s="28"/>
      <c r="E118" s="69"/>
      <c r="F118" s="39">
        <v>0</v>
      </c>
      <c r="G118" s="21"/>
      <c r="H118" s="21"/>
      <c r="I118" s="21"/>
      <c r="J118" s="141"/>
      <c r="K118" s="21"/>
      <c r="L118" s="69"/>
      <c r="M118" s="141"/>
      <c r="N118" s="59"/>
      <c r="O118" s="59"/>
      <c r="P118" s="105"/>
      <c r="Q118" s="105"/>
      <c r="R118" s="105"/>
      <c r="S118" s="90"/>
      <c r="T118" s="90"/>
      <c r="U118" s="93"/>
      <c r="V118" s="93"/>
      <c r="W118" s="93"/>
      <c r="X118" s="29">
        <v>0</v>
      </c>
      <c r="Y118" s="145">
        <v>0</v>
      </c>
      <c r="Z118" s="145">
        <v>0</v>
      </c>
      <c r="AA118" s="145">
        <v>0</v>
      </c>
      <c r="AB118" s="145">
        <v>0</v>
      </c>
      <c r="AC118" s="145">
        <v>0</v>
      </c>
      <c r="AD118" s="145">
        <v>0</v>
      </c>
      <c r="AE118" s="142">
        <f t="shared" si="11"/>
        <v>0</v>
      </c>
      <c r="AF118" s="141"/>
      <c r="AG118" s="67"/>
      <c r="AH118" s="67"/>
      <c r="AI118" s="24"/>
      <c r="AJ118" s="24"/>
      <c r="AK118" s="24"/>
      <c r="AL118" s="71"/>
      <c r="AM118" s="69"/>
      <c r="AN118" s="141"/>
      <c r="AO118" s="141"/>
      <c r="AP118" s="141"/>
      <c r="AQ118" s="141"/>
      <c r="AR118" s="141"/>
      <c r="AS118" s="141"/>
      <c r="AT118" s="141"/>
      <c r="AU118" s="141"/>
      <c r="AV118" s="141"/>
      <c r="AW118" s="141"/>
    </row>
    <row r="119" spans="1:49" ht="45" hidden="1" customHeight="1">
      <c r="A119" s="153">
        <f t="shared" si="10"/>
        <v>116</v>
      </c>
      <c r="B119" s="153"/>
      <c r="C119" s="140"/>
      <c r="D119" s="28"/>
      <c r="E119" s="69"/>
      <c r="F119" s="39">
        <v>0</v>
      </c>
      <c r="G119" s="21"/>
      <c r="H119" s="21"/>
      <c r="I119" s="21"/>
      <c r="J119" s="141"/>
      <c r="K119" s="21"/>
      <c r="L119" s="69"/>
      <c r="M119" s="141"/>
      <c r="N119" s="59"/>
      <c r="O119" s="59"/>
      <c r="P119" s="105"/>
      <c r="Q119" s="105"/>
      <c r="R119" s="105"/>
      <c r="S119" s="90"/>
      <c r="T119" s="90"/>
      <c r="U119" s="93"/>
      <c r="V119" s="93"/>
      <c r="W119" s="93"/>
      <c r="X119" s="29">
        <v>0</v>
      </c>
      <c r="Y119" s="145">
        <v>0</v>
      </c>
      <c r="Z119" s="145">
        <v>0</v>
      </c>
      <c r="AA119" s="145">
        <v>0</v>
      </c>
      <c r="AB119" s="145">
        <v>0</v>
      </c>
      <c r="AC119" s="145">
        <v>0</v>
      </c>
      <c r="AD119" s="145">
        <v>0</v>
      </c>
      <c r="AE119" s="142">
        <f t="shared" si="11"/>
        <v>0</v>
      </c>
      <c r="AF119" s="141"/>
      <c r="AG119" s="67"/>
      <c r="AH119" s="67"/>
      <c r="AI119" s="24"/>
      <c r="AJ119" s="24"/>
      <c r="AK119" s="24"/>
      <c r="AL119" s="71"/>
      <c r="AM119" s="69"/>
      <c r="AN119" s="141"/>
      <c r="AO119" s="141"/>
      <c r="AP119" s="141"/>
      <c r="AQ119" s="141"/>
      <c r="AR119" s="141"/>
      <c r="AS119" s="141"/>
      <c r="AT119" s="141"/>
      <c r="AU119" s="141"/>
      <c r="AV119" s="141"/>
      <c r="AW119" s="141"/>
    </row>
    <row r="120" spans="1:49" ht="45" hidden="1" customHeight="1">
      <c r="A120" s="153">
        <f t="shared" si="10"/>
        <v>117</v>
      </c>
      <c r="B120" s="153"/>
      <c r="C120" s="140"/>
      <c r="D120" s="28"/>
      <c r="E120" s="69"/>
      <c r="F120" s="39">
        <v>0</v>
      </c>
      <c r="G120" s="21"/>
      <c r="H120" s="21"/>
      <c r="I120" s="21"/>
      <c r="J120" s="141"/>
      <c r="K120" s="21"/>
      <c r="L120" s="69"/>
      <c r="M120" s="141"/>
      <c r="N120" s="59"/>
      <c r="O120" s="59"/>
      <c r="P120" s="105"/>
      <c r="Q120" s="105"/>
      <c r="R120" s="105"/>
      <c r="S120" s="90"/>
      <c r="T120" s="90"/>
      <c r="U120" s="93"/>
      <c r="V120" s="93"/>
      <c r="W120" s="93"/>
      <c r="X120" s="29">
        <v>0</v>
      </c>
      <c r="Y120" s="145">
        <v>0</v>
      </c>
      <c r="Z120" s="145">
        <v>0</v>
      </c>
      <c r="AA120" s="145">
        <v>0</v>
      </c>
      <c r="AB120" s="145">
        <v>0</v>
      </c>
      <c r="AC120" s="145">
        <v>0</v>
      </c>
      <c r="AD120" s="145">
        <v>0</v>
      </c>
      <c r="AE120" s="142">
        <f t="shared" si="11"/>
        <v>0</v>
      </c>
      <c r="AF120" s="141"/>
      <c r="AG120" s="67"/>
      <c r="AH120" s="67"/>
      <c r="AI120" s="24"/>
      <c r="AJ120" s="24"/>
      <c r="AK120" s="24"/>
      <c r="AL120" s="71"/>
      <c r="AM120" s="69"/>
      <c r="AN120" s="141"/>
      <c r="AO120" s="141"/>
      <c r="AP120" s="141"/>
      <c r="AQ120" s="141"/>
      <c r="AR120" s="141"/>
      <c r="AS120" s="141"/>
      <c r="AT120" s="141"/>
      <c r="AU120" s="141"/>
      <c r="AV120" s="141"/>
      <c r="AW120" s="141"/>
    </row>
    <row r="121" spans="1:49" ht="45" hidden="1" customHeight="1">
      <c r="A121" s="153">
        <f t="shared" si="10"/>
        <v>118</v>
      </c>
      <c r="B121" s="153"/>
      <c r="C121" s="140"/>
      <c r="D121" s="28"/>
      <c r="E121" s="69"/>
      <c r="F121" s="39">
        <v>0</v>
      </c>
      <c r="G121" s="21"/>
      <c r="H121" s="21"/>
      <c r="I121" s="21"/>
      <c r="J121" s="141"/>
      <c r="K121" s="21"/>
      <c r="L121" s="69"/>
      <c r="M121" s="141"/>
      <c r="N121" s="59"/>
      <c r="O121" s="59"/>
      <c r="P121" s="105"/>
      <c r="Q121" s="105"/>
      <c r="R121" s="105"/>
      <c r="S121" s="90"/>
      <c r="T121" s="90"/>
      <c r="U121" s="93"/>
      <c r="V121" s="93"/>
      <c r="W121" s="93"/>
      <c r="X121" s="29">
        <v>0</v>
      </c>
      <c r="Y121" s="145">
        <v>0</v>
      </c>
      <c r="Z121" s="145">
        <v>0</v>
      </c>
      <c r="AA121" s="145">
        <v>0</v>
      </c>
      <c r="AB121" s="145">
        <v>0</v>
      </c>
      <c r="AC121" s="145">
        <v>0</v>
      </c>
      <c r="AD121" s="145">
        <v>0</v>
      </c>
      <c r="AE121" s="142">
        <f t="shared" si="11"/>
        <v>0</v>
      </c>
      <c r="AF121" s="141"/>
      <c r="AG121" s="67"/>
      <c r="AH121" s="67"/>
      <c r="AI121" s="24"/>
      <c r="AJ121" s="24"/>
      <c r="AK121" s="24"/>
      <c r="AL121" s="71"/>
      <c r="AM121" s="69"/>
      <c r="AN121" s="141"/>
      <c r="AO121" s="141"/>
      <c r="AP121" s="141"/>
      <c r="AQ121" s="141"/>
      <c r="AR121" s="141"/>
      <c r="AS121" s="141"/>
      <c r="AT121" s="141"/>
      <c r="AU121" s="141"/>
      <c r="AV121" s="141"/>
      <c r="AW121" s="141"/>
    </row>
    <row r="122" spans="1:49" ht="45" hidden="1" customHeight="1">
      <c r="A122" s="153">
        <f t="shared" si="10"/>
        <v>119</v>
      </c>
      <c r="B122" s="153"/>
      <c r="C122" s="140"/>
      <c r="D122" s="28"/>
      <c r="E122" s="69"/>
      <c r="F122" s="39">
        <v>0</v>
      </c>
      <c r="G122" s="21"/>
      <c r="H122" s="21"/>
      <c r="I122" s="21"/>
      <c r="J122" s="141"/>
      <c r="K122" s="21"/>
      <c r="L122" s="69"/>
      <c r="M122" s="141"/>
      <c r="N122" s="59"/>
      <c r="O122" s="59"/>
      <c r="P122" s="105"/>
      <c r="Q122" s="105"/>
      <c r="R122" s="105"/>
      <c r="S122" s="90"/>
      <c r="T122" s="90"/>
      <c r="U122" s="93"/>
      <c r="V122" s="93"/>
      <c r="W122" s="93"/>
      <c r="X122" s="29">
        <v>0</v>
      </c>
      <c r="Y122" s="145">
        <v>0</v>
      </c>
      <c r="Z122" s="145">
        <v>0</v>
      </c>
      <c r="AA122" s="145">
        <v>0</v>
      </c>
      <c r="AB122" s="145">
        <v>0</v>
      </c>
      <c r="AC122" s="145">
        <v>0</v>
      </c>
      <c r="AD122" s="145">
        <v>0</v>
      </c>
      <c r="AE122" s="142">
        <f t="shared" si="11"/>
        <v>0</v>
      </c>
      <c r="AF122" s="141"/>
      <c r="AG122" s="67"/>
      <c r="AH122" s="67"/>
      <c r="AI122" s="24"/>
      <c r="AJ122" s="24"/>
      <c r="AK122" s="24"/>
      <c r="AL122" s="71"/>
      <c r="AM122" s="69"/>
      <c r="AN122" s="141"/>
      <c r="AO122" s="141"/>
      <c r="AP122" s="141"/>
      <c r="AQ122" s="141"/>
      <c r="AR122" s="141"/>
      <c r="AS122" s="141"/>
      <c r="AT122" s="141"/>
      <c r="AU122" s="141"/>
      <c r="AV122" s="141"/>
      <c r="AW122" s="141"/>
    </row>
    <row r="123" spans="1:49" ht="45" hidden="1" customHeight="1">
      <c r="A123" s="153">
        <f t="shared" si="10"/>
        <v>120</v>
      </c>
      <c r="B123" s="153"/>
      <c r="C123" s="140"/>
      <c r="D123" s="28"/>
      <c r="E123" s="69"/>
      <c r="F123" s="39">
        <v>0</v>
      </c>
      <c r="G123" s="21"/>
      <c r="H123" s="21"/>
      <c r="I123" s="21"/>
      <c r="J123" s="141"/>
      <c r="K123" s="21"/>
      <c r="L123" s="69"/>
      <c r="M123" s="141"/>
      <c r="N123" s="59"/>
      <c r="O123" s="59"/>
      <c r="P123" s="105"/>
      <c r="Q123" s="105"/>
      <c r="R123" s="105"/>
      <c r="S123" s="90"/>
      <c r="T123" s="90"/>
      <c r="U123" s="93"/>
      <c r="V123" s="93"/>
      <c r="W123" s="93"/>
      <c r="X123" s="29">
        <v>0</v>
      </c>
      <c r="Y123" s="145">
        <v>0</v>
      </c>
      <c r="Z123" s="145">
        <v>0</v>
      </c>
      <c r="AA123" s="145">
        <v>0</v>
      </c>
      <c r="AB123" s="145">
        <v>0</v>
      </c>
      <c r="AC123" s="145">
        <v>0</v>
      </c>
      <c r="AD123" s="145">
        <v>0</v>
      </c>
      <c r="AE123" s="142">
        <f t="shared" si="11"/>
        <v>0</v>
      </c>
      <c r="AF123" s="141"/>
      <c r="AG123" s="67"/>
      <c r="AH123" s="67"/>
      <c r="AI123" s="24"/>
      <c r="AJ123" s="24"/>
      <c r="AK123" s="24"/>
      <c r="AL123" s="71"/>
      <c r="AM123" s="69"/>
      <c r="AN123" s="141"/>
      <c r="AO123" s="141"/>
      <c r="AP123" s="141"/>
      <c r="AQ123" s="141"/>
      <c r="AR123" s="141"/>
      <c r="AS123" s="141"/>
      <c r="AT123" s="141"/>
      <c r="AU123" s="141"/>
      <c r="AV123" s="141"/>
      <c r="AW123" s="141"/>
    </row>
    <row r="124" spans="1:49" ht="45" hidden="1" customHeight="1">
      <c r="A124" s="153">
        <f t="shared" si="10"/>
        <v>121</v>
      </c>
      <c r="B124" s="153"/>
      <c r="C124" s="140"/>
      <c r="D124" s="28"/>
      <c r="E124" s="69"/>
      <c r="F124" s="39">
        <v>0</v>
      </c>
      <c r="G124" s="21"/>
      <c r="H124" s="21"/>
      <c r="I124" s="21"/>
      <c r="J124" s="141"/>
      <c r="K124" s="21"/>
      <c r="L124" s="69"/>
      <c r="M124" s="141"/>
      <c r="N124" s="59"/>
      <c r="O124" s="59"/>
      <c r="P124" s="105"/>
      <c r="Q124" s="105"/>
      <c r="R124" s="105"/>
      <c r="S124" s="90"/>
      <c r="T124" s="90"/>
      <c r="U124" s="93"/>
      <c r="V124" s="93"/>
      <c r="W124" s="93"/>
      <c r="X124" s="29">
        <v>0</v>
      </c>
      <c r="Y124" s="145">
        <v>0</v>
      </c>
      <c r="Z124" s="145">
        <v>0</v>
      </c>
      <c r="AA124" s="145">
        <v>0</v>
      </c>
      <c r="AB124" s="145">
        <v>0</v>
      </c>
      <c r="AC124" s="145">
        <v>0</v>
      </c>
      <c r="AD124" s="145">
        <v>0</v>
      </c>
      <c r="AE124" s="142">
        <f t="shared" si="11"/>
        <v>0</v>
      </c>
      <c r="AF124" s="141"/>
      <c r="AG124" s="67"/>
      <c r="AH124" s="67"/>
      <c r="AI124" s="24"/>
      <c r="AJ124" s="24"/>
      <c r="AK124" s="24"/>
      <c r="AL124" s="71"/>
      <c r="AM124" s="69"/>
      <c r="AN124" s="141"/>
      <c r="AO124" s="141"/>
      <c r="AP124" s="141"/>
      <c r="AQ124" s="141"/>
      <c r="AR124" s="141"/>
      <c r="AS124" s="141"/>
      <c r="AT124" s="141"/>
      <c r="AU124" s="141"/>
      <c r="AV124" s="141"/>
      <c r="AW124" s="141"/>
    </row>
    <row r="125" spans="1:49" ht="45" hidden="1" customHeight="1">
      <c r="A125" s="153">
        <f t="shared" si="10"/>
        <v>122</v>
      </c>
      <c r="B125" s="153"/>
      <c r="C125" s="140"/>
      <c r="D125" s="28"/>
      <c r="E125" s="69"/>
      <c r="F125" s="39">
        <v>0</v>
      </c>
      <c r="G125" s="21"/>
      <c r="H125" s="21"/>
      <c r="I125" s="21"/>
      <c r="J125" s="141"/>
      <c r="K125" s="21"/>
      <c r="L125" s="69"/>
      <c r="M125" s="141"/>
      <c r="N125" s="59"/>
      <c r="O125" s="59"/>
      <c r="P125" s="105"/>
      <c r="Q125" s="105"/>
      <c r="R125" s="105"/>
      <c r="S125" s="90"/>
      <c r="T125" s="90"/>
      <c r="U125" s="93"/>
      <c r="V125" s="93"/>
      <c r="W125" s="93"/>
      <c r="X125" s="29">
        <v>0</v>
      </c>
      <c r="Y125" s="145">
        <v>0</v>
      </c>
      <c r="Z125" s="145">
        <v>0</v>
      </c>
      <c r="AA125" s="145">
        <v>0</v>
      </c>
      <c r="AB125" s="145">
        <v>0</v>
      </c>
      <c r="AC125" s="145">
        <v>0</v>
      </c>
      <c r="AD125" s="145">
        <v>0</v>
      </c>
      <c r="AE125" s="142">
        <f t="shared" si="11"/>
        <v>0</v>
      </c>
      <c r="AF125" s="141"/>
      <c r="AG125" s="67"/>
      <c r="AH125" s="67"/>
      <c r="AI125" s="24"/>
      <c r="AJ125" s="24"/>
      <c r="AK125" s="24"/>
      <c r="AL125" s="71"/>
      <c r="AM125" s="69"/>
      <c r="AN125" s="141"/>
      <c r="AO125" s="141"/>
      <c r="AP125" s="141"/>
      <c r="AQ125" s="141"/>
      <c r="AR125" s="141"/>
      <c r="AS125" s="141"/>
      <c r="AT125" s="141"/>
      <c r="AU125" s="141"/>
      <c r="AV125" s="141"/>
      <c r="AW125" s="141"/>
    </row>
    <row r="126" spans="1:49" ht="45" hidden="1" customHeight="1">
      <c r="A126" s="153">
        <f t="shared" si="10"/>
        <v>123</v>
      </c>
      <c r="B126" s="153"/>
      <c r="C126" s="140"/>
      <c r="D126" s="28"/>
      <c r="E126" s="69"/>
      <c r="F126" s="39">
        <v>0</v>
      </c>
      <c r="G126" s="21"/>
      <c r="H126" s="21"/>
      <c r="I126" s="21"/>
      <c r="J126" s="141"/>
      <c r="K126" s="21"/>
      <c r="L126" s="69"/>
      <c r="M126" s="141"/>
      <c r="N126" s="59"/>
      <c r="O126" s="59"/>
      <c r="P126" s="105"/>
      <c r="Q126" s="105"/>
      <c r="R126" s="105"/>
      <c r="S126" s="90"/>
      <c r="T126" s="90"/>
      <c r="U126" s="93"/>
      <c r="V126" s="93"/>
      <c r="W126" s="93"/>
      <c r="X126" s="29">
        <v>0</v>
      </c>
      <c r="Y126" s="145">
        <v>0</v>
      </c>
      <c r="Z126" s="145">
        <v>0</v>
      </c>
      <c r="AA126" s="145">
        <v>0</v>
      </c>
      <c r="AB126" s="145">
        <v>0</v>
      </c>
      <c r="AC126" s="145">
        <v>0</v>
      </c>
      <c r="AD126" s="145">
        <v>0</v>
      </c>
      <c r="AE126" s="142">
        <f t="shared" si="11"/>
        <v>0</v>
      </c>
      <c r="AF126" s="141"/>
      <c r="AG126" s="67"/>
      <c r="AH126" s="67"/>
      <c r="AI126" s="24"/>
      <c r="AJ126" s="24"/>
      <c r="AK126" s="24"/>
      <c r="AL126" s="71"/>
      <c r="AM126" s="69"/>
      <c r="AN126" s="141"/>
      <c r="AO126" s="141"/>
      <c r="AP126" s="141"/>
      <c r="AQ126" s="141"/>
      <c r="AR126" s="141"/>
      <c r="AS126" s="141"/>
      <c r="AT126" s="141"/>
      <c r="AU126" s="141"/>
      <c r="AV126" s="141"/>
      <c r="AW126" s="141"/>
    </row>
    <row r="127" spans="1:49" ht="45" hidden="1" customHeight="1">
      <c r="A127" s="153">
        <f t="shared" si="10"/>
        <v>124</v>
      </c>
      <c r="B127" s="153"/>
      <c r="C127" s="140"/>
      <c r="D127" s="28"/>
      <c r="E127" s="69"/>
      <c r="F127" s="39">
        <v>0</v>
      </c>
      <c r="G127" s="21"/>
      <c r="H127" s="21"/>
      <c r="I127" s="21"/>
      <c r="J127" s="141"/>
      <c r="K127" s="21"/>
      <c r="L127" s="69"/>
      <c r="M127" s="141"/>
      <c r="N127" s="59"/>
      <c r="O127" s="59"/>
      <c r="P127" s="105"/>
      <c r="Q127" s="105"/>
      <c r="R127" s="105"/>
      <c r="S127" s="90"/>
      <c r="T127" s="90"/>
      <c r="U127" s="93"/>
      <c r="V127" s="93"/>
      <c r="W127" s="93"/>
      <c r="X127" s="29">
        <v>0</v>
      </c>
      <c r="Y127" s="145">
        <v>0</v>
      </c>
      <c r="Z127" s="145">
        <v>0</v>
      </c>
      <c r="AA127" s="145">
        <v>0</v>
      </c>
      <c r="AB127" s="145">
        <v>0</v>
      </c>
      <c r="AC127" s="145">
        <v>0</v>
      </c>
      <c r="AD127" s="145">
        <v>0</v>
      </c>
      <c r="AE127" s="142">
        <f t="shared" si="11"/>
        <v>0</v>
      </c>
      <c r="AF127" s="141"/>
      <c r="AG127" s="67"/>
      <c r="AH127" s="67"/>
      <c r="AI127" s="24"/>
      <c r="AJ127" s="24"/>
      <c r="AK127" s="24"/>
      <c r="AL127" s="71"/>
      <c r="AM127" s="69"/>
      <c r="AN127" s="141"/>
      <c r="AO127" s="141"/>
      <c r="AP127" s="141"/>
      <c r="AQ127" s="141"/>
      <c r="AR127" s="141"/>
      <c r="AS127" s="141"/>
      <c r="AT127" s="141"/>
      <c r="AU127" s="141"/>
      <c r="AV127" s="141"/>
      <c r="AW127" s="141"/>
    </row>
    <row r="128" spans="1:49" ht="45" hidden="1" customHeight="1">
      <c r="A128" s="153">
        <f t="shared" si="10"/>
        <v>125</v>
      </c>
      <c r="B128" s="153"/>
      <c r="C128" s="140"/>
      <c r="D128" s="28"/>
      <c r="E128" s="69"/>
      <c r="F128" s="39">
        <v>0</v>
      </c>
      <c r="G128" s="21"/>
      <c r="H128" s="21"/>
      <c r="I128" s="21"/>
      <c r="J128" s="141"/>
      <c r="K128" s="21"/>
      <c r="L128" s="69"/>
      <c r="M128" s="141"/>
      <c r="N128" s="59"/>
      <c r="O128" s="59"/>
      <c r="P128" s="105"/>
      <c r="Q128" s="105"/>
      <c r="R128" s="105"/>
      <c r="S128" s="90"/>
      <c r="T128" s="90"/>
      <c r="U128" s="93"/>
      <c r="V128" s="93"/>
      <c r="W128" s="93"/>
      <c r="X128" s="29">
        <v>0</v>
      </c>
      <c r="Y128" s="145">
        <v>0</v>
      </c>
      <c r="Z128" s="145">
        <v>0</v>
      </c>
      <c r="AA128" s="145">
        <v>0</v>
      </c>
      <c r="AB128" s="145">
        <v>0</v>
      </c>
      <c r="AC128" s="145">
        <v>0</v>
      </c>
      <c r="AD128" s="145">
        <v>0</v>
      </c>
      <c r="AE128" s="142">
        <f t="shared" si="11"/>
        <v>0</v>
      </c>
      <c r="AF128" s="141"/>
      <c r="AG128" s="67"/>
      <c r="AH128" s="67"/>
      <c r="AI128" s="24"/>
      <c r="AJ128" s="24"/>
      <c r="AK128" s="24"/>
      <c r="AL128" s="71"/>
      <c r="AM128" s="69"/>
      <c r="AN128" s="141"/>
      <c r="AO128" s="141"/>
      <c r="AP128" s="141"/>
      <c r="AQ128" s="141"/>
      <c r="AR128" s="141"/>
      <c r="AS128" s="141"/>
      <c r="AT128" s="141"/>
      <c r="AU128" s="141"/>
      <c r="AV128" s="141"/>
      <c r="AW128" s="141"/>
    </row>
    <row r="129" spans="1:49" ht="45" hidden="1" customHeight="1">
      <c r="A129" s="153">
        <f t="shared" si="10"/>
        <v>126</v>
      </c>
      <c r="B129" s="153"/>
      <c r="C129" s="140"/>
      <c r="D129" s="28"/>
      <c r="E129" s="69"/>
      <c r="F129" s="39">
        <v>0</v>
      </c>
      <c r="G129" s="21"/>
      <c r="H129" s="21"/>
      <c r="I129" s="21"/>
      <c r="J129" s="141"/>
      <c r="K129" s="21"/>
      <c r="L129" s="69"/>
      <c r="M129" s="141"/>
      <c r="N129" s="59"/>
      <c r="O129" s="59"/>
      <c r="P129" s="105"/>
      <c r="Q129" s="105"/>
      <c r="R129" s="105"/>
      <c r="S129" s="90"/>
      <c r="T129" s="90"/>
      <c r="U129" s="93"/>
      <c r="V129" s="93"/>
      <c r="W129" s="93"/>
      <c r="X129" s="29">
        <v>0</v>
      </c>
      <c r="Y129" s="145">
        <v>0</v>
      </c>
      <c r="Z129" s="145">
        <v>0</v>
      </c>
      <c r="AA129" s="145">
        <v>0</v>
      </c>
      <c r="AB129" s="145">
        <v>0</v>
      </c>
      <c r="AC129" s="145">
        <v>0</v>
      </c>
      <c r="AD129" s="145">
        <v>0</v>
      </c>
      <c r="AE129" s="142">
        <f t="shared" si="11"/>
        <v>0</v>
      </c>
      <c r="AF129" s="141"/>
      <c r="AG129" s="67"/>
      <c r="AH129" s="67"/>
      <c r="AI129" s="24"/>
      <c r="AJ129" s="24"/>
      <c r="AK129" s="24"/>
      <c r="AL129" s="71"/>
      <c r="AM129" s="69"/>
      <c r="AN129" s="141"/>
      <c r="AO129" s="141"/>
      <c r="AP129" s="141"/>
      <c r="AQ129" s="141"/>
      <c r="AR129" s="141"/>
      <c r="AS129" s="141"/>
      <c r="AT129" s="141"/>
      <c r="AU129" s="141"/>
      <c r="AV129" s="141"/>
      <c r="AW129" s="141"/>
    </row>
    <row r="130" spans="1:49" ht="45" hidden="1" customHeight="1">
      <c r="A130" s="153">
        <f t="shared" si="10"/>
        <v>127</v>
      </c>
      <c r="B130" s="153"/>
      <c r="C130" s="140"/>
      <c r="D130" s="28"/>
      <c r="E130" s="69"/>
      <c r="F130" s="39">
        <v>0</v>
      </c>
      <c r="G130" s="21"/>
      <c r="H130" s="21"/>
      <c r="I130" s="21"/>
      <c r="J130" s="141"/>
      <c r="K130" s="21"/>
      <c r="L130" s="69"/>
      <c r="M130" s="141"/>
      <c r="N130" s="59"/>
      <c r="O130" s="59"/>
      <c r="P130" s="105"/>
      <c r="Q130" s="105"/>
      <c r="R130" s="105"/>
      <c r="S130" s="90"/>
      <c r="T130" s="90"/>
      <c r="U130" s="93"/>
      <c r="V130" s="93"/>
      <c r="W130" s="93"/>
      <c r="X130" s="29">
        <v>0</v>
      </c>
      <c r="Y130" s="145">
        <v>0</v>
      </c>
      <c r="Z130" s="145">
        <v>0</v>
      </c>
      <c r="AA130" s="145">
        <v>0</v>
      </c>
      <c r="AB130" s="145">
        <v>0</v>
      </c>
      <c r="AC130" s="145">
        <v>0</v>
      </c>
      <c r="AD130" s="145">
        <v>0</v>
      </c>
      <c r="AE130" s="142">
        <f t="shared" si="11"/>
        <v>0</v>
      </c>
      <c r="AF130" s="141"/>
      <c r="AG130" s="67"/>
      <c r="AH130" s="67"/>
      <c r="AI130" s="24"/>
      <c r="AJ130" s="24"/>
      <c r="AK130" s="24"/>
      <c r="AL130" s="71"/>
      <c r="AM130" s="69"/>
      <c r="AN130" s="141"/>
      <c r="AO130" s="141"/>
      <c r="AP130" s="141"/>
      <c r="AQ130" s="141"/>
      <c r="AR130" s="141"/>
      <c r="AS130" s="141"/>
      <c r="AT130" s="141"/>
      <c r="AU130" s="141"/>
      <c r="AV130" s="141"/>
      <c r="AW130" s="141"/>
    </row>
    <row r="131" spans="1:49" ht="45" hidden="1" customHeight="1">
      <c r="A131" s="153">
        <f t="shared" si="10"/>
        <v>128</v>
      </c>
      <c r="B131" s="153"/>
      <c r="C131" s="140"/>
      <c r="D131" s="28"/>
      <c r="E131" s="69"/>
      <c r="F131" s="39">
        <v>0</v>
      </c>
      <c r="G131" s="21"/>
      <c r="H131" s="21"/>
      <c r="I131" s="21"/>
      <c r="J131" s="141"/>
      <c r="K131" s="21"/>
      <c r="L131" s="69"/>
      <c r="M131" s="141"/>
      <c r="N131" s="59"/>
      <c r="O131" s="59"/>
      <c r="P131" s="105"/>
      <c r="Q131" s="105"/>
      <c r="R131" s="105"/>
      <c r="S131" s="90"/>
      <c r="T131" s="90"/>
      <c r="U131" s="93"/>
      <c r="V131" s="93"/>
      <c r="W131" s="93"/>
      <c r="X131" s="29">
        <v>0</v>
      </c>
      <c r="Y131" s="145">
        <v>0</v>
      </c>
      <c r="Z131" s="145">
        <v>0</v>
      </c>
      <c r="AA131" s="145">
        <v>0</v>
      </c>
      <c r="AB131" s="145">
        <v>0</v>
      </c>
      <c r="AC131" s="145">
        <v>0</v>
      </c>
      <c r="AD131" s="145">
        <v>0</v>
      </c>
      <c r="AE131" s="142">
        <f t="shared" si="11"/>
        <v>0</v>
      </c>
      <c r="AF131" s="141"/>
      <c r="AG131" s="67"/>
      <c r="AH131" s="67"/>
      <c r="AI131" s="24"/>
      <c r="AJ131" s="24"/>
      <c r="AK131" s="24"/>
      <c r="AL131" s="71"/>
      <c r="AM131" s="69"/>
      <c r="AN131" s="141"/>
      <c r="AO131" s="141"/>
      <c r="AP131" s="141"/>
      <c r="AQ131" s="141"/>
      <c r="AR131" s="141"/>
      <c r="AS131" s="141"/>
      <c r="AT131" s="141"/>
      <c r="AU131" s="141"/>
      <c r="AV131" s="141"/>
      <c r="AW131" s="141"/>
    </row>
    <row r="132" spans="1:49" ht="45" hidden="1" customHeight="1">
      <c r="A132" s="153">
        <f t="shared" si="10"/>
        <v>129</v>
      </c>
      <c r="B132" s="153"/>
      <c r="C132" s="140"/>
      <c r="D132" s="28"/>
      <c r="E132" s="69"/>
      <c r="F132" s="39">
        <v>0</v>
      </c>
      <c r="G132" s="21"/>
      <c r="H132" s="21"/>
      <c r="I132" s="21"/>
      <c r="J132" s="141"/>
      <c r="K132" s="21"/>
      <c r="L132" s="69"/>
      <c r="M132" s="141"/>
      <c r="N132" s="59"/>
      <c r="O132" s="59"/>
      <c r="P132" s="105"/>
      <c r="Q132" s="105"/>
      <c r="R132" s="105"/>
      <c r="S132" s="90"/>
      <c r="T132" s="90"/>
      <c r="U132" s="93"/>
      <c r="V132" s="93"/>
      <c r="W132" s="93"/>
      <c r="X132" s="29">
        <v>0</v>
      </c>
      <c r="Y132" s="145">
        <v>0</v>
      </c>
      <c r="Z132" s="145">
        <v>0</v>
      </c>
      <c r="AA132" s="145">
        <v>0</v>
      </c>
      <c r="AB132" s="145">
        <v>0</v>
      </c>
      <c r="AC132" s="145">
        <v>0</v>
      </c>
      <c r="AD132" s="145">
        <v>0</v>
      </c>
      <c r="AE132" s="142">
        <f t="shared" si="11"/>
        <v>0</v>
      </c>
      <c r="AF132" s="141"/>
      <c r="AG132" s="67"/>
      <c r="AH132" s="67"/>
      <c r="AI132" s="24"/>
      <c r="AJ132" s="24"/>
      <c r="AK132" s="24"/>
      <c r="AL132" s="71"/>
      <c r="AM132" s="69"/>
      <c r="AN132" s="141"/>
      <c r="AO132" s="141"/>
      <c r="AP132" s="141"/>
      <c r="AQ132" s="141"/>
      <c r="AR132" s="141"/>
      <c r="AS132" s="141"/>
      <c r="AT132" s="141"/>
      <c r="AU132" s="141"/>
      <c r="AV132" s="141"/>
      <c r="AW132" s="141"/>
    </row>
    <row r="133" spans="1:49" ht="45" hidden="1" customHeight="1">
      <c r="A133" s="153">
        <f t="shared" si="10"/>
        <v>130</v>
      </c>
      <c r="B133" s="153"/>
      <c r="C133" s="140"/>
      <c r="D133" s="28"/>
      <c r="E133" s="69"/>
      <c r="F133" s="39">
        <v>0</v>
      </c>
      <c r="G133" s="21"/>
      <c r="H133" s="21"/>
      <c r="I133" s="21"/>
      <c r="J133" s="141"/>
      <c r="K133" s="21"/>
      <c r="L133" s="69"/>
      <c r="M133" s="141"/>
      <c r="N133" s="59"/>
      <c r="O133" s="59"/>
      <c r="P133" s="105"/>
      <c r="Q133" s="105"/>
      <c r="R133" s="105"/>
      <c r="S133" s="90"/>
      <c r="T133" s="90"/>
      <c r="U133" s="93"/>
      <c r="V133" s="93"/>
      <c r="W133" s="93"/>
      <c r="X133" s="29">
        <v>0</v>
      </c>
      <c r="Y133" s="145">
        <v>0</v>
      </c>
      <c r="Z133" s="145">
        <v>0</v>
      </c>
      <c r="AA133" s="145">
        <v>0</v>
      </c>
      <c r="AB133" s="145">
        <v>0</v>
      </c>
      <c r="AC133" s="145">
        <v>0</v>
      </c>
      <c r="AD133" s="145">
        <v>0</v>
      </c>
      <c r="AE133" s="142">
        <f t="shared" si="11"/>
        <v>0</v>
      </c>
      <c r="AF133" s="141"/>
      <c r="AG133" s="67"/>
      <c r="AH133" s="67"/>
      <c r="AI133" s="24"/>
      <c r="AJ133" s="24"/>
      <c r="AK133" s="24"/>
      <c r="AL133" s="71"/>
      <c r="AM133" s="69"/>
      <c r="AN133" s="141"/>
      <c r="AO133" s="141"/>
      <c r="AP133" s="141"/>
      <c r="AQ133" s="141"/>
      <c r="AR133" s="141"/>
      <c r="AS133" s="141"/>
      <c r="AT133" s="141"/>
      <c r="AU133" s="141"/>
      <c r="AV133" s="141"/>
      <c r="AW133" s="141"/>
    </row>
    <row r="134" spans="1:49" ht="45" hidden="1" customHeight="1">
      <c r="A134" s="153">
        <f t="shared" si="10"/>
        <v>131</v>
      </c>
      <c r="B134" s="153"/>
      <c r="C134" s="140"/>
      <c r="D134" s="28"/>
      <c r="E134" s="69"/>
      <c r="F134" s="39">
        <v>0</v>
      </c>
      <c r="G134" s="21"/>
      <c r="H134" s="21"/>
      <c r="I134" s="21"/>
      <c r="J134" s="141"/>
      <c r="K134" s="21"/>
      <c r="L134" s="69"/>
      <c r="M134" s="141"/>
      <c r="N134" s="59"/>
      <c r="O134" s="59"/>
      <c r="P134" s="105"/>
      <c r="Q134" s="105"/>
      <c r="R134" s="105"/>
      <c r="S134" s="90"/>
      <c r="T134" s="90"/>
      <c r="U134" s="93"/>
      <c r="V134" s="93"/>
      <c r="W134" s="93"/>
      <c r="X134" s="29">
        <v>0</v>
      </c>
      <c r="Y134" s="145">
        <v>0</v>
      </c>
      <c r="Z134" s="145">
        <v>0</v>
      </c>
      <c r="AA134" s="145">
        <v>0</v>
      </c>
      <c r="AB134" s="145">
        <v>0</v>
      </c>
      <c r="AC134" s="145">
        <v>0</v>
      </c>
      <c r="AD134" s="145">
        <v>0</v>
      </c>
      <c r="AE134" s="142">
        <f t="shared" ref="AE134:AE165" si="12">AVERAGE(X134:AD134)</f>
        <v>0</v>
      </c>
      <c r="AF134" s="141"/>
      <c r="AG134" s="67"/>
      <c r="AH134" s="67"/>
      <c r="AI134" s="24"/>
      <c r="AJ134" s="24"/>
      <c r="AK134" s="24"/>
      <c r="AL134" s="71"/>
      <c r="AM134" s="69"/>
      <c r="AN134" s="141"/>
      <c r="AO134" s="141"/>
      <c r="AP134" s="141"/>
      <c r="AQ134" s="141"/>
      <c r="AR134" s="141"/>
      <c r="AS134" s="141"/>
      <c r="AT134" s="141"/>
      <c r="AU134" s="141"/>
      <c r="AV134" s="141"/>
      <c r="AW134" s="141"/>
    </row>
    <row r="135" spans="1:49" ht="45" hidden="1" customHeight="1">
      <c r="A135" s="153">
        <f t="shared" si="10"/>
        <v>132</v>
      </c>
      <c r="B135" s="153"/>
      <c r="C135" s="140"/>
      <c r="D135" s="28"/>
      <c r="E135" s="69"/>
      <c r="F135" s="39">
        <v>0</v>
      </c>
      <c r="G135" s="21"/>
      <c r="H135" s="21"/>
      <c r="I135" s="21"/>
      <c r="J135" s="141"/>
      <c r="K135" s="21"/>
      <c r="L135" s="69"/>
      <c r="M135" s="141"/>
      <c r="N135" s="59"/>
      <c r="O135" s="59"/>
      <c r="P135" s="105"/>
      <c r="Q135" s="105"/>
      <c r="R135" s="105"/>
      <c r="S135" s="90"/>
      <c r="T135" s="90"/>
      <c r="U135" s="93"/>
      <c r="V135" s="93"/>
      <c r="W135" s="93"/>
      <c r="X135" s="29">
        <v>0</v>
      </c>
      <c r="Y135" s="145">
        <v>0</v>
      </c>
      <c r="Z135" s="145">
        <v>0</v>
      </c>
      <c r="AA135" s="145">
        <v>0</v>
      </c>
      <c r="AB135" s="145">
        <v>0</v>
      </c>
      <c r="AC135" s="145">
        <v>0</v>
      </c>
      <c r="AD135" s="145">
        <v>0</v>
      </c>
      <c r="AE135" s="142">
        <f t="shared" si="12"/>
        <v>0</v>
      </c>
      <c r="AF135" s="141"/>
      <c r="AG135" s="67"/>
      <c r="AH135" s="67"/>
      <c r="AI135" s="24"/>
      <c r="AJ135" s="24"/>
      <c r="AK135" s="24"/>
      <c r="AL135" s="71"/>
      <c r="AM135" s="69"/>
      <c r="AN135" s="141"/>
      <c r="AO135" s="141"/>
      <c r="AP135" s="141"/>
      <c r="AQ135" s="141"/>
      <c r="AR135" s="141"/>
      <c r="AS135" s="141"/>
      <c r="AT135" s="141"/>
      <c r="AU135" s="141"/>
      <c r="AV135" s="141"/>
      <c r="AW135" s="141"/>
    </row>
    <row r="136" spans="1:49" ht="45" hidden="1" customHeight="1">
      <c r="A136" s="153">
        <f t="shared" si="10"/>
        <v>133</v>
      </c>
      <c r="B136" s="153"/>
      <c r="C136" s="140"/>
      <c r="D136" s="28"/>
      <c r="E136" s="69"/>
      <c r="F136" s="39">
        <v>0</v>
      </c>
      <c r="G136" s="21"/>
      <c r="H136" s="21"/>
      <c r="I136" s="21"/>
      <c r="J136" s="141"/>
      <c r="K136" s="21"/>
      <c r="L136" s="69"/>
      <c r="M136" s="141"/>
      <c r="N136" s="59"/>
      <c r="O136" s="59"/>
      <c r="P136" s="105"/>
      <c r="Q136" s="105"/>
      <c r="R136" s="105"/>
      <c r="S136" s="90"/>
      <c r="T136" s="90"/>
      <c r="U136" s="93"/>
      <c r="V136" s="93"/>
      <c r="W136" s="93"/>
      <c r="X136" s="29">
        <v>0</v>
      </c>
      <c r="Y136" s="145">
        <v>0</v>
      </c>
      <c r="Z136" s="145">
        <v>0</v>
      </c>
      <c r="AA136" s="145">
        <v>0</v>
      </c>
      <c r="AB136" s="145">
        <v>0</v>
      </c>
      <c r="AC136" s="145">
        <v>0</v>
      </c>
      <c r="AD136" s="145">
        <v>0</v>
      </c>
      <c r="AE136" s="142">
        <f t="shared" si="12"/>
        <v>0</v>
      </c>
      <c r="AF136" s="141"/>
      <c r="AG136" s="67"/>
      <c r="AH136" s="67"/>
      <c r="AI136" s="24"/>
      <c r="AJ136" s="24"/>
      <c r="AK136" s="24"/>
      <c r="AL136" s="71"/>
      <c r="AM136" s="69"/>
      <c r="AN136" s="141"/>
      <c r="AO136" s="141"/>
      <c r="AP136" s="141"/>
      <c r="AQ136" s="141"/>
      <c r="AR136" s="141"/>
      <c r="AS136" s="141"/>
      <c r="AT136" s="141"/>
      <c r="AU136" s="141"/>
      <c r="AV136" s="141"/>
      <c r="AW136" s="141"/>
    </row>
    <row r="137" spans="1:49" ht="45" hidden="1" customHeight="1">
      <c r="A137" s="153">
        <f t="shared" si="10"/>
        <v>134</v>
      </c>
      <c r="B137" s="153"/>
      <c r="C137" s="152"/>
      <c r="D137" s="28"/>
      <c r="E137" s="69"/>
      <c r="F137" s="39">
        <v>0</v>
      </c>
      <c r="G137" s="21"/>
      <c r="H137" s="21"/>
      <c r="I137" s="21"/>
      <c r="J137" s="141"/>
      <c r="K137" s="21"/>
      <c r="L137" s="69"/>
      <c r="M137" s="141"/>
      <c r="N137" s="59"/>
      <c r="O137" s="59"/>
      <c r="P137" s="105"/>
      <c r="Q137" s="105"/>
      <c r="R137" s="105"/>
      <c r="S137" s="90"/>
      <c r="T137" s="90"/>
      <c r="U137" s="93"/>
      <c r="V137" s="93"/>
      <c r="W137" s="93"/>
      <c r="X137" s="29">
        <v>0</v>
      </c>
      <c r="Y137" s="145">
        <v>0</v>
      </c>
      <c r="Z137" s="145">
        <v>0</v>
      </c>
      <c r="AA137" s="145">
        <v>0</v>
      </c>
      <c r="AB137" s="145">
        <v>0</v>
      </c>
      <c r="AC137" s="145">
        <v>0</v>
      </c>
      <c r="AD137" s="145">
        <v>0</v>
      </c>
      <c r="AE137" s="142">
        <f t="shared" si="12"/>
        <v>0</v>
      </c>
      <c r="AF137" s="141"/>
      <c r="AG137" s="67"/>
      <c r="AH137" s="67"/>
      <c r="AI137" s="24"/>
      <c r="AJ137" s="24"/>
      <c r="AK137" s="24"/>
      <c r="AL137" s="71"/>
      <c r="AM137" s="69"/>
      <c r="AN137" s="141"/>
      <c r="AO137" s="141"/>
      <c r="AP137" s="141"/>
      <c r="AQ137" s="141"/>
      <c r="AR137" s="141"/>
      <c r="AS137" s="141"/>
      <c r="AT137" s="141"/>
      <c r="AU137" s="141"/>
      <c r="AV137" s="141"/>
      <c r="AW137" s="141"/>
    </row>
    <row r="138" spans="1:49" ht="45" hidden="1" customHeight="1">
      <c r="A138" s="153">
        <f t="shared" si="10"/>
        <v>135</v>
      </c>
      <c r="B138" s="153"/>
      <c r="C138" s="153"/>
      <c r="D138" s="28"/>
      <c r="E138" s="69"/>
      <c r="F138" s="39">
        <v>0</v>
      </c>
      <c r="G138" s="21"/>
      <c r="H138" s="21"/>
      <c r="I138" s="21"/>
      <c r="J138" s="141"/>
      <c r="K138" s="21"/>
      <c r="L138" s="69"/>
      <c r="M138" s="141"/>
      <c r="N138" s="59"/>
      <c r="O138" s="59"/>
      <c r="P138" s="105"/>
      <c r="Q138" s="105"/>
      <c r="R138" s="105"/>
      <c r="S138" s="90"/>
      <c r="T138" s="90"/>
      <c r="U138" s="93"/>
      <c r="V138" s="93"/>
      <c r="W138" s="93"/>
      <c r="X138" s="29">
        <v>0</v>
      </c>
      <c r="Y138" s="145">
        <v>0</v>
      </c>
      <c r="Z138" s="145">
        <v>0</v>
      </c>
      <c r="AA138" s="145">
        <v>0</v>
      </c>
      <c r="AB138" s="145">
        <v>0</v>
      </c>
      <c r="AC138" s="145">
        <v>0</v>
      </c>
      <c r="AD138" s="145">
        <v>0</v>
      </c>
      <c r="AE138" s="142">
        <f t="shared" si="12"/>
        <v>0</v>
      </c>
      <c r="AF138" s="141"/>
      <c r="AG138" s="67"/>
      <c r="AH138" s="67"/>
      <c r="AI138" s="24"/>
      <c r="AJ138" s="24"/>
      <c r="AK138" s="24"/>
      <c r="AL138" s="71"/>
      <c r="AM138" s="69"/>
      <c r="AN138" s="141"/>
      <c r="AO138" s="141"/>
      <c r="AP138" s="141"/>
      <c r="AQ138" s="141"/>
      <c r="AR138" s="141"/>
      <c r="AS138" s="141"/>
      <c r="AT138" s="141"/>
      <c r="AU138" s="141"/>
      <c r="AV138" s="141"/>
      <c r="AW138" s="141"/>
    </row>
    <row r="139" spans="1:49" ht="45" hidden="1" customHeight="1">
      <c r="A139" s="153">
        <f t="shared" si="10"/>
        <v>136</v>
      </c>
      <c r="B139" s="153"/>
      <c r="C139" s="153"/>
      <c r="D139" s="28"/>
      <c r="E139" s="69"/>
      <c r="F139" s="39">
        <v>0</v>
      </c>
      <c r="G139" s="21"/>
      <c r="H139" s="21"/>
      <c r="I139" s="21"/>
      <c r="J139" s="141"/>
      <c r="K139" s="21"/>
      <c r="L139" s="69"/>
      <c r="M139" s="141"/>
      <c r="N139" s="59"/>
      <c r="O139" s="59"/>
      <c r="P139" s="105"/>
      <c r="Q139" s="105"/>
      <c r="R139" s="105"/>
      <c r="S139" s="90"/>
      <c r="T139" s="90"/>
      <c r="U139" s="93"/>
      <c r="V139" s="93"/>
      <c r="W139" s="93"/>
      <c r="X139" s="29">
        <v>0</v>
      </c>
      <c r="Y139" s="145">
        <v>0</v>
      </c>
      <c r="Z139" s="145">
        <v>0</v>
      </c>
      <c r="AA139" s="145">
        <v>0</v>
      </c>
      <c r="AB139" s="145">
        <v>0</v>
      </c>
      <c r="AC139" s="145">
        <v>0</v>
      </c>
      <c r="AD139" s="145">
        <v>0</v>
      </c>
      <c r="AE139" s="142">
        <f t="shared" si="12"/>
        <v>0</v>
      </c>
      <c r="AF139" s="141"/>
      <c r="AG139" s="67"/>
      <c r="AH139" s="67"/>
      <c r="AI139" s="24"/>
      <c r="AJ139" s="24"/>
      <c r="AK139" s="24"/>
      <c r="AL139" s="71"/>
      <c r="AM139" s="69"/>
      <c r="AN139" s="141"/>
      <c r="AO139" s="141"/>
      <c r="AP139" s="141"/>
      <c r="AQ139" s="141"/>
      <c r="AR139" s="141"/>
      <c r="AS139" s="141"/>
      <c r="AT139" s="141"/>
      <c r="AU139" s="141"/>
      <c r="AV139" s="141"/>
      <c r="AW139" s="141"/>
    </row>
    <row r="140" spans="1:49" ht="45" hidden="1" customHeight="1">
      <c r="A140" s="153">
        <f t="shared" si="10"/>
        <v>137</v>
      </c>
      <c r="B140" s="153"/>
      <c r="C140" s="153"/>
      <c r="D140" s="28"/>
      <c r="E140" s="69"/>
      <c r="F140" s="39">
        <v>0</v>
      </c>
      <c r="G140" s="21"/>
      <c r="H140" s="21"/>
      <c r="I140" s="21"/>
      <c r="J140" s="141"/>
      <c r="K140" s="21"/>
      <c r="L140" s="69"/>
      <c r="M140" s="141"/>
      <c r="N140" s="59"/>
      <c r="O140" s="59"/>
      <c r="P140" s="105"/>
      <c r="Q140" s="105"/>
      <c r="R140" s="105"/>
      <c r="S140" s="90"/>
      <c r="T140" s="90"/>
      <c r="U140" s="93"/>
      <c r="V140" s="93"/>
      <c r="W140" s="93"/>
      <c r="X140" s="29">
        <v>0</v>
      </c>
      <c r="Y140" s="145">
        <v>0</v>
      </c>
      <c r="Z140" s="145">
        <v>0</v>
      </c>
      <c r="AA140" s="145">
        <v>0</v>
      </c>
      <c r="AB140" s="145">
        <v>0</v>
      </c>
      <c r="AC140" s="145">
        <v>0</v>
      </c>
      <c r="AD140" s="145">
        <v>0</v>
      </c>
      <c r="AE140" s="142">
        <f t="shared" si="12"/>
        <v>0</v>
      </c>
      <c r="AF140" s="141"/>
      <c r="AG140" s="67"/>
      <c r="AH140" s="67"/>
      <c r="AI140" s="24"/>
      <c r="AJ140" s="24"/>
      <c r="AK140" s="24"/>
      <c r="AL140" s="71"/>
      <c r="AM140" s="69"/>
      <c r="AN140" s="141"/>
      <c r="AO140" s="141"/>
      <c r="AP140" s="141"/>
      <c r="AQ140" s="141"/>
      <c r="AR140" s="141"/>
      <c r="AS140" s="141"/>
      <c r="AT140" s="141"/>
      <c r="AU140" s="141"/>
      <c r="AV140" s="141"/>
      <c r="AW140" s="141"/>
    </row>
    <row r="141" spans="1:49" ht="45" hidden="1" customHeight="1">
      <c r="A141" s="153">
        <f t="shared" si="10"/>
        <v>138</v>
      </c>
      <c r="B141" s="153"/>
      <c r="C141" s="153"/>
      <c r="D141" s="28"/>
      <c r="E141" s="69"/>
      <c r="F141" s="39">
        <v>0</v>
      </c>
      <c r="G141" s="21"/>
      <c r="H141" s="21"/>
      <c r="I141" s="21"/>
      <c r="J141" s="141"/>
      <c r="K141" s="21"/>
      <c r="L141" s="69"/>
      <c r="M141" s="141"/>
      <c r="N141" s="59"/>
      <c r="O141" s="59"/>
      <c r="P141" s="105"/>
      <c r="Q141" s="105"/>
      <c r="R141" s="105"/>
      <c r="S141" s="90"/>
      <c r="T141" s="90"/>
      <c r="U141" s="93"/>
      <c r="V141" s="93"/>
      <c r="W141" s="93"/>
      <c r="X141" s="29">
        <v>0</v>
      </c>
      <c r="Y141" s="145">
        <v>0</v>
      </c>
      <c r="Z141" s="145">
        <v>0</v>
      </c>
      <c r="AA141" s="145">
        <v>0</v>
      </c>
      <c r="AB141" s="145">
        <v>0</v>
      </c>
      <c r="AC141" s="145">
        <v>0</v>
      </c>
      <c r="AD141" s="145">
        <v>0</v>
      </c>
      <c r="AE141" s="142">
        <f t="shared" si="12"/>
        <v>0</v>
      </c>
      <c r="AF141" s="141"/>
      <c r="AG141" s="67"/>
      <c r="AH141" s="67"/>
      <c r="AI141" s="24"/>
      <c r="AJ141" s="24"/>
      <c r="AK141" s="24"/>
      <c r="AL141" s="71"/>
      <c r="AM141" s="69"/>
      <c r="AN141" s="141"/>
      <c r="AO141" s="141"/>
      <c r="AP141" s="141"/>
      <c r="AQ141" s="141"/>
      <c r="AR141" s="141"/>
      <c r="AS141" s="141"/>
      <c r="AT141" s="141"/>
      <c r="AU141" s="141"/>
      <c r="AV141" s="141"/>
      <c r="AW141" s="141"/>
    </row>
    <row r="142" spans="1:49" ht="45" hidden="1" customHeight="1">
      <c r="A142" s="153">
        <f t="shared" si="10"/>
        <v>139</v>
      </c>
      <c r="B142" s="153"/>
      <c r="C142" s="153"/>
      <c r="D142" s="28"/>
      <c r="E142" s="69"/>
      <c r="F142" s="39">
        <v>0</v>
      </c>
      <c r="G142" s="21"/>
      <c r="H142" s="21"/>
      <c r="I142" s="21"/>
      <c r="J142" s="141"/>
      <c r="K142" s="21"/>
      <c r="L142" s="69"/>
      <c r="M142" s="141"/>
      <c r="N142" s="59"/>
      <c r="O142" s="59"/>
      <c r="P142" s="105"/>
      <c r="Q142" s="105"/>
      <c r="R142" s="105"/>
      <c r="S142" s="90"/>
      <c r="T142" s="90"/>
      <c r="U142" s="93"/>
      <c r="V142" s="93"/>
      <c r="W142" s="93"/>
      <c r="X142" s="29">
        <v>0</v>
      </c>
      <c r="Y142" s="145">
        <v>0</v>
      </c>
      <c r="Z142" s="145">
        <v>0</v>
      </c>
      <c r="AA142" s="145">
        <v>0</v>
      </c>
      <c r="AB142" s="145">
        <v>0</v>
      </c>
      <c r="AC142" s="145">
        <v>0</v>
      </c>
      <c r="AD142" s="145">
        <v>0</v>
      </c>
      <c r="AE142" s="142">
        <f t="shared" si="12"/>
        <v>0</v>
      </c>
      <c r="AF142" s="141"/>
      <c r="AG142" s="67"/>
      <c r="AH142" s="67"/>
      <c r="AI142" s="24"/>
      <c r="AJ142" s="24"/>
      <c r="AK142" s="24"/>
      <c r="AL142" s="71"/>
      <c r="AM142" s="69"/>
      <c r="AN142" s="141"/>
      <c r="AO142" s="141"/>
      <c r="AP142" s="141"/>
      <c r="AQ142" s="141"/>
      <c r="AR142" s="141"/>
      <c r="AS142" s="141"/>
      <c r="AT142" s="141"/>
      <c r="AU142" s="141"/>
      <c r="AV142" s="141"/>
      <c r="AW142" s="141"/>
    </row>
    <row r="143" spans="1:49" ht="45" hidden="1" customHeight="1">
      <c r="A143" s="153">
        <f t="shared" si="10"/>
        <v>140</v>
      </c>
      <c r="B143" s="153"/>
      <c r="C143" s="153"/>
      <c r="D143" s="28"/>
      <c r="E143" s="69"/>
      <c r="F143" s="39">
        <v>0</v>
      </c>
      <c r="G143" s="21"/>
      <c r="H143" s="21"/>
      <c r="I143" s="21"/>
      <c r="J143" s="141"/>
      <c r="K143" s="21"/>
      <c r="L143" s="69"/>
      <c r="M143" s="141"/>
      <c r="N143" s="59"/>
      <c r="O143" s="59"/>
      <c r="P143" s="105"/>
      <c r="Q143" s="105"/>
      <c r="R143" s="105"/>
      <c r="S143" s="90"/>
      <c r="T143" s="90"/>
      <c r="U143" s="93"/>
      <c r="V143" s="93"/>
      <c r="W143" s="93"/>
      <c r="X143" s="29">
        <v>0</v>
      </c>
      <c r="Y143" s="145">
        <v>0</v>
      </c>
      <c r="Z143" s="145">
        <v>0</v>
      </c>
      <c r="AA143" s="145">
        <v>0</v>
      </c>
      <c r="AB143" s="145">
        <v>0</v>
      </c>
      <c r="AC143" s="145">
        <v>0</v>
      </c>
      <c r="AD143" s="145">
        <v>0</v>
      </c>
      <c r="AE143" s="142">
        <f t="shared" si="12"/>
        <v>0</v>
      </c>
      <c r="AF143" s="141"/>
      <c r="AG143" s="67"/>
      <c r="AH143" s="67"/>
      <c r="AI143" s="24"/>
      <c r="AJ143" s="24"/>
      <c r="AK143" s="24"/>
      <c r="AL143" s="71"/>
      <c r="AM143" s="69"/>
      <c r="AN143" s="141"/>
      <c r="AO143" s="141"/>
      <c r="AP143" s="141"/>
      <c r="AQ143" s="141"/>
      <c r="AR143" s="141"/>
      <c r="AS143" s="141"/>
      <c r="AT143" s="141"/>
      <c r="AU143" s="141"/>
      <c r="AV143" s="141"/>
      <c r="AW143" s="141"/>
    </row>
    <row r="144" spans="1:49" ht="45" hidden="1" customHeight="1">
      <c r="A144" s="153">
        <f t="shared" si="10"/>
        <v>141</v>
      </c>
      <c r="B144" s="153"/>
      <c r="C144" s="153"/>
      <c r="D144" s="28"/>
      <c r="E144" s="69"/>
      <c r="F144" s="39">
        <v>0</v>
      </c>
      <c r="G144" s="21"/>
      <c r="H144" s="21"/>
      <c r="I144" s="21"/>
      <c r="J144" s="141"/>
      <c r="K144" s="21"/>
      <c r="L144" s="69"/>
      <c r="M144" s="141"/>
      <c r="N144" s="59"/>
      <c r="O144" s="59"/>
      <c r="P144" s="105"/>
      <c r="Q144" s="105"/>
      <c r="R144" s="105"/>
      <c r="S144" s="90"/>
      <c r="T144" s="90"/>
      <c r="U144" s="93"/>
      <c r="V144" s="93"/>
      <c r="W144" s="93"/>
      <c r="X144" s="29">
        <v>0</v>
      </c>
      <c r="Y144" s="145">
        <v>0</v>
      </c>
      <c r="Z144" s="145">
        <v>0</v>
      </c>
      <c r="AA144" s="145">
        <v>0</v>
      </c>
      <c r="AB144" s="145">
        <v>0</v>
      </c>
      <c r="AC144" s="145">
        <v>0</v>
      </c>
      <c r="AD144" s="145">
        <v>0</v>
      </c>
      <c r="AE144" s="142">
        <f t="shared" si="12"/>
        <v>0</v>
      </c>
      <c r="AF144" s="141"/>
      <c r="AG144" s="67"/>
      <c r="AH144" s="67"/>
      <c r="AI144" s="24"/>
      <c r="AJ144" s="24"/>
      <c r="AK144" s="24"/>
      <c r="AL144" s="71"/>
      <c r="AM144" s="69"/>
      <c r="AN144" s="141"/>
      <c r="AO144" s="141"/>
      <c r="AP144" s="141"/>
      <c r="AQ144" s="141"/>
      <c r="AR144" s="141"/>
      <c r="AS144" s="141"/>
      <c r="AT144" s="141"/>
      <c r="AU144" s="141"/>
      <c r="AV144" s="141"/>
      <c r="AW144" s="141"/>
    </row>
    <row r="145" spans="1:49" ht="45" hidden="1" customHeight="1">
      <c r="A145" s="153">
        <f t="shared" ref="A145:A155" si="13">A144+1</f>
        <v>142</v>
      </c>
      <c r="B145" s="153"/>
      <c r="C145" s="153"/>
      <c r="D145" s="28"/>
      <c r="E145" s="69"/>
      <c r="F145" s="39">
        <v>0</v>
      </c>
      <c r="G145" s="21"/>
      <c r="H145" s="21"/>
      <c r="I145" s="21"/>
      <c r="J145" s="141"/>
      <c r="K145" s="21"/>
      <c r="L145" s="69"/>
      <c r="M145" s="141"/>
      <c r="N145" s="59">
        <v>0</v>
      </c>
      <c r="O145" s="59"/>
      <c r="P145" s="105"/>
      <c r="Q145" s="105"/>
      <c r="R145" s="105"/>
      <c r="S145" s="90"/>
      <c r="T145" s="90"/>
      <c r="U145" s="93"/>
      <c r="V145" s="93"/>
      <c r="W145" s="93"/>
      <c r="X145" s="29">
        <v>0</v>
      </c>
      <c r="Y145" s="145">
        <v>0</v>
      </c>
      <c r="Z145" s="145">
        <v>0</v>
      </c>
      <c r="AA145" s="145">
        <v>0</v>
      </c>
      <c r="AB145" s="145">
        <v>0</v>
      </c>
      <c r="AC145" s="145">
        <v>0</v>
      </c>
      <c r="AD145" s="145">
        <v>0</v>
      </c>
      <c r="AE145" s="142">
        <f t="shared" si="12"/>
        <v>0</v>
      </c>
      <c r="AF145" s="141"/>
      <c r="AG145" s="67"/>
      <c r="AH145" s="67"/>
      <c r="AI145" s="24"/>
      <c r="AJ145" s="24"/>
      <c r="AK145" s="24"/>
      <c r="AL145" s="71"/>
      <c r="AM145" s="69"/>
      <c r="AN145" s="141"/>
      <c r="AO145" s="141"/>
      <c r="AP145" s="141"/>
      <c r="AQ145" s="141"/>
      <c r="AR145" s="141"/>
      <c r="AS145" s="141"/>
      <c r="AT145" s="141"/>
      <c r="AU145" s="141"/>
      <c r="AV145" s="141"/>
      <c r="AW145" s="141"/>
    </row>
    <row r="146" spans="1:49" ht="45" hidden="1" customHeight="1">
      <c r="A146" s="153">
        <f t="shared" si="13"/>
        <v>143</v>
      </c>
      <c r="B146" s="153"/>
      <c r="C146" s="153"/>
      <c r="D146" s="28"/>
      <c r="E146" s="69"/>
      <c r="F146" s="39">
        <v>0</v>
      </c>
      <c r="G146" s="21"/>
      <c r="H146" s="21"/>
      <c r="I146" s="21"/>
      <c r="J146" s="141"/>
      <c r="K146" s="21"/>
      <c r="L146" s="69"/>
      <c r="M146" s="141"/>
      <c r="N146" s="59">
        <v>0.5</v>
      </c>
      <c r="O146" s="59"/>
      <c r="P146" s="105"/>
      <c r="Q146" s="105"/>
      <c r="R146" s="105"/>
      <c r="S146" s="90"/>
      <c r="T146" s="90"/>
      <c r="U146" s="93"/>
      <c r="V146" s="93"/>
      <c r="W146" s="93"/>
      <c r="X146" s="29">
        <v>0</v>
      </c>
      <c r="Y146" s="145">
        <v>0</v>
      </c>
      <c r="Z146" s="145">
        <v>0</v>
      </c>
      <c r="AA146" s="145">
        <v>0</v>
      </c>
      <c r="AB146" s="145">
        <v>0</v>
      </c>
      <c r="AC146" s="145">
        <v>0</v>
      </c>
      <c r="AD146" s="145">
        <v>0</v>
      </c>
      <c r="AE146" s="142">
        <f t="shared" si="12"/>
        <v>0</v>
      </c>
      <c r="AF146" s="141"/>
      <c r="AG146" s="67"/>
      <c r="AH146" s="67"/>
      <c r="AI146" s="24"/>
      <c r="AJ146" s="24"/>
      <c r="AK146" s="24"/>
      <c r="AL146" s="71"/>
      <c r="AM146" s="69"/>
      <c r="AN146" s="141"/>
      <c r="AO146" s="141"/>
      <c r="AP146" s="141"/>
      <c r="AQ146" s="141"/>
      <c r="AR146" s="141"/>
      <c r="AS146" s="141"/>
      <c r="AT146" s="141"/>
      <c r="AU146" s="141"/>
      <c r="AV146" s="141"/>
      <c r="AW146" s="141"/>
    </row>
    <row r="147" spans="1:49" ht="45" hidden="1" customHeight="1">
      <c r="A147" s="153">
        <f t="shared" si="13"/>
        <v>144</v>
      </c>
      <c r="B147" s="153"/>
      <c r="C147" s="153"/>
      <c r="D147" s="28"/>
      <c r="E147" s="69"/>
      <c r="F147" s="39">
        <v>0</v>
      </c>
      <c r="G147" s="21"/>
      <c r="H147" s="21"/>
      <c r="I147" s="21"/>
      <c r="J147" s="141"/>
      <c r="K147" s="21"/>
      <c r="L147" s="69"/>
      <c r="M147" s="141"/>
      <c r="N147" s="59">
        <v>1</v>
      </c>
      <c r="O147" s="59"/>
      <c r="P147" s="105"/>
      <c r="Q147" s="105"/>
      <c r="R147" s="105"/>
      <c r="S147" s="90"/>
      <c r="T147" s="90"/>
      <c r="U147" s="93"/>
      <c r="V147" s="93"/>
      <c r="W147" s="93"/>
      <c r="X147" s="29">
        <v>0</v>
      </c>
      <c r="Y147" s="145">
        <v>0</v>
      </c>
      <c r="Z147" s="145">
        <v>0</v>
      </c>
      <c r="AA147" s="145">
        <v>0</v>
      </c>
      <c r="AB147" s="145">
        <v>0</v>
      </c>
      <c r="AC147" s="145">
        <v>0</v>
      </c>
      <c r="AD147" s="145">
        <v>0</v>
      </c>
      <c r="AE147" s="142">
        <f t="shared" si="12"/>
        <v>0</v>
      </c>
      <c r="AF147" s="141"/>
      <c r="AG147" s="67"/>
      <c r="AH147" s="67"/>
      <c r="AI147" s="24"/>
      <c r="AJ147" s="24"/>
      <c r="AK147" s="24"/>
      <c r="AL147" s="71"/>
      <c r="AM147" s="69"/>
      <c r="AN147" s="141"/>
      <c r="AO147" s="141"/>
      <c r="AP147" s="141"/>
      <c r="AQ147" s="141"/>
      <c r="AR147" s="141"/>
      <c r="AS147" s="141"/>
      <c r="AT147" s="141"/>
      <c r="AU147" s="141"/>
      <c r="AV147" s="141"/>
      <c r="AW147" s="141"/>
    </row>
    <row r="148" spans="1:49" ht="45" hidden="1" customHeight="1">
      <c r="A148" s="153">
        <f t="shared" si="13"/>
        <v>145</v>
      </c>
      <c r="B148" s="153"/>
      <c r="C148" s="153"/>
      <c r="D148" s="28"/>
      <c r="E148" s="69"/>
      <c r="F148" s="39">
        <v>0</v>
      </c>
      <c r="G148" s="21"/>
      <c r="H148" s="21"/>
      <c r="I148" s="21"/>
      <c r="J148" s="141"/>
      <c r="K148" s="21"/>
      <c r="L148" s="69"/>
      <c r="M148" s="141"/>
      <c r="N148" s="59">
        <v>1.5</v>
      </c>
      <c r="O148" s="59"/>
      <c r="P148" s="105"/>
      <c r="Q148" s="105"/>
      <c r="R148" s="105"/>
      <c r="S148" s="90"/>
      <c r="T148" s="90"/>
      <c r="U148" s="93"/>
      <c r="V148" s="93"/>
      <c r="W148" s="93"/>
      <c r="X148" s="29">
        <v>0</v>
      </c>
      <c r="Y148" s="145">
        <v>0</v>
      </c>
      <c r="Z148" s="145">
        <v>0</v>
      </c>
      <c r="AA148" s="145">
        <v>0</v>
      </c>
      <c r="AB148" s="145">
        <v>0</v>
      </c>
      <c r="AC148" s="145">
        <v>0</v>
      </c>
      <c r="AD148" s="145">
        <v>0</v>
      </c>
      <c r="AE148" s="142">
        <f t="shared" si="12"/>
        <v>0</v>
      </c>
      <c r="AF148" s="141"/>
      <c r="AG148" s="67"/>
      <c r="AH148" s="67"/>
      <c r="AI148" s="24"/>
      <c r="AJ148" s="24"/>
      <c r="AK148" s="24"/>
      <c r="AL148" s="71"/>
      <c r="AM148" s="69"/>
      <c r="AN148" s="141"/>
      <c r="AO148" s="141"/>
      <c r="AP148" s="141"/>
      <c r="AQ148" s="141"/>
      <c r="AR148" s="141"/>
      <c r="AS148" s="141"/>
      <c r="AT148" s="141"/>
      <c r="AU148" s="141"/>
      <c r="AV148" s="141"/>
      <c r="AW148" s="141"/>
    </row>
    <row r="149" spans="1:49" ht="45" hidden="1" customHeight="1">
      <c r="A149" s="153">
        <f t="shared" si="13"/>
        <v>146</v>
      </c>
      <c r="B149" s="153"/>
      <c r="C149" s="153"/>
      <c r="D149" s="28"/>
      <c r="E149" s="69"/>
      <c r="F149" s="39">
        <v>0</v>
      </c>
      <c r="G149" s="21"/>
      <c r="H149" s="21"/>
      <c r="I149" s="21"/>
      <c r="J149" s="141"/>
      <c r="K149" s="21"/>
      <c r="L149" s="69"/>
      <c r="M149" s="141"/>
      <c r="N149" s="59">
        <v>2</v>
      </c>
      <c r="O149" s="59"/>
      <c r="P149" s="105"/>
      <c r="Q149" s="105"/>
      <c r="R149" s="105"/>
      <c r="S149" s="90"/>
      <c r="T149" s="90"/>
      <c r="U149" s="93"/>
      <c r="V149" s="93"/>
      <c r="W149" s="93"/>
      <c r="X149" s="29">
        <v>0</v>
      </c>
      <c r="Y149" s="145">
        <v>0</v>
      </c>
      <c r="Z149" s="145">
        <v>0</v>
      </c>
      <c r="AA149" s="145">
        <v>0</v>
      </c>
      <c r="AB149" s="145">
        <v>0</v>
      </c>
      <c r="AC149" s="145">
        <v>0</v>
      </c>
      <c r="AD149" s="145">
        <v>0</v>
      </c>
      <c r="AE149" s="142">
        <f t="shared" si="12"/>
        <v>0</v>
      </c>
      <c r="AF149" s="141"/>
      <c r="AG149" s="67"/>
      <c r="AH149" s="67"/>
      <c r="AI149" s="24"/>
      <c r="AJ149" s="24"/>
      <c r="AK149" s="24"/>
      <c r="AL149" s="71"/>
      <c r="AM149" s="69"/>
      <c r="AN149" s="141"/>
      <c r="AO149" s="141"/>
      <c r="AP149" s="141"/>
      <c r="AQ149" s="141"/>
      <c r="AR149" s="141"/>
      <c r="AS149" s="141"/>
      <c r="AT149" s="141"/>
      <c r="AU149" s="141"/>
      <c r="AV149" s="141"/>
      <c r="AW149" s="141"/>
    </row>
    <row r="150" spans="1:49" ht="45" hidden="1" customHeight="1">
      <c r="A150" s="153">
        <f t="shared" si="13"/>
        <v>147</v>
      </c>
      <c r="B150" s="153"/>
      <c r="C150" s="153"/>
      <c r="D150" s="28"/>
      <c r="E150" s="69"/>
      <c r="F150" s="39">
        <v>0</v>
      </c>
      <c r="G150" s="21"/>
      <c r="H150" s="21"/>
      <c r="I150" s="21"/>
      <c r="J150" s="141"/>
      <c r="K150" s="21"/>
      <c r="L150" s="69"/>
      <c r="M150" s="141"/>
      <c r="N150" s="59">
        <v>2.5</v>
      </c>
      <c r="O150" s="59"/>
      <c r="P150" s="105"/>
      <c r="Q150" s="105"/>
      <c r="R150" s="105"/>
      <c r="S150" s="90"/>
      <c r="T150" s="90"/>
      <c r="U150" s="93"/>
      <c r="V150" s="93"/>
      <c r="W150" s="93"/>
      <c r="X150" s="29">
        <v>0</v>
      </c>
      <c r="Y150" s="145">
        <v>0</v>
      </c>
      <c r="Z150" s="145">
        <v>0</v>
      </c>
      <c r="AA150" s="145">
        <v>0</v>
      </c>
      <c r="AB150" s="145">
        <v>0</v>
      </c>
      <c r="AC150" s="145">
        <v>0</v>
      </c>
      <c r="AD150" s="145">
        <v>0</v>
      </c>
      <c r="AE150" s="142">
        <f t="shared" si="12"/>
        <v>0</v>
      </c>
      <c r="AF150" s="141"/>
      <c r="AG150" s="67"/>
      <c r="AH150" s="67"/>
      <c r="AI150" s="24"/>
      <c r="AJ150" s="24"/>
      <c r="AK150" s="24"/>
      <c r="AL150" s="71"/>
      <c r="AM150" s="69"/>
      <c r="AN150" s="141"/>
      <c r="AO150" s="141"/>
      <c r="AP150" s="141"/>
      <c r="AQ150" s="141"/>
      <c r="AR150" s="141"/>
      <c r="AS150" s="141"/>
      <c r="AT150" s="141"/>
      <c r="AU150" s="141"/>
      <c r="AV150" s="141"/>
      <c r="AW150" s="141"/>
    </row>
    <row r="151" spans="1:49" ht="45" hidden="1" customHeight="1">
      <c r="A151" s="153">
        <f t="shared" si="13"/>
        <v>148</v>
      </c>
      <c r="B151" s="153"/>
      <c r="C151" s="153"/>
      <c r="D151" s="28"/>
      <c r="E151" s="69"/>
      <c r="F151" s="39">
        <v>0</v>
      </c>
      <c r="G151" s="25"/>
      <c r="H151" s="25"/>
      <c r="I151" s="25"/>
      <c r="J151" s="154"/>
      <c r="K151" s="25"/>
      <c r="L151" s="69"/>
      <c r="M151" s="141"/>
      <c r="N151" s="59">
        <v>3</v>
      </c>
      <c r="O151" s="59"/>
      <c r="P151" s="105"/>
      <c r="Q151" s="105"/>
      <c r="R151" s="105"/>
      <c r="S151" s="90"/>
      <c r="T151" s="90"/>
      <c r="U151" s="93"/>
      <c r="V151" s="94"/>
      <c r="W151" s="94"/>
      <c r="X151" s="29">
        <v>0</v>
      </c>
      <c r="Y151" s="145">
        <v>0</v>
      </c>
      <c r="Z151" s="145">
        <v>0</v>
      </c>
      <c r="AA151" s="145">
        <v>0</v>
      </c>
      <c r="AB151" s="145">
        <v>0</v>
      </c>
      <c r="AC151" s="145">
        <v>0</v>
      </c>
      <c r="AD151" s="145">
        <v>0</v>
      </c>
      <c r="AE151" s="142">
        <f t="shared" si="12"/>
        <v>0</v>
      </c>
      <c r="AF151" s="141"/>
      <c r="AG151" s="67"/>
      <c r="AH151" s="67"/>
      <c r="AI151" s="24"/>
      <c r="AJ151" s="24"/>
      <c r="AK151" s="24"/>
      <c r="AL151" s="71"/>
      <c r="AM151" s="69"/>
      <c r="AN151" s="141"/>
      <c r="AO151" s="141"/>
      <c r="AP151" s="141"/>
      <c r="AQ151" s="141"/>
      <c r="AR151" s="141"/>
      <c r="AS151" s="141"/>
      <c r="AT151" s="141"/>
      <c r="AU151" s="141"/>
      <c r="AV151" s="141"/>
      <c r="AW151" s="141"/>
    </row>
    <row r="152" spans="1:49" ht="45" hidden="1" customHeight="1">
      <c r="A152" s="153">
        <f t="shared" si="13"/>
        <v>149</v>
      </c>
      <c r="B152" s="153"/>
      <c r="C152" s="153"/>
      <c r="D152" s="28"/>
      <c r="E152" s="69"/>
      <c r="F152" s="39">
        <v>0</v>
      </c>
      <c r="G152" s="21"/>
      <c r="H152" s="21"/>
      <c r="I152" s="21"/>
      <c r="J152" s="141"/>
      <c r="K152" s="21"/>
      <c r="L152" s="69"/>
      <c r="M152" s="141"/>
      <c r="N152" s="59">
        <v>3.5</v>
      </c>
      <c r="O152" s="59"/>
      <c r="P152" s="105"/>
      <c r="Q152" s="105"/>
      <c r="R152" s="105"/>
      <c r="S152" s="90"/>
      <c r="T152" s="90"/>
      <c r="U152" s="93"/>
      <c r="V152" s="96"/>
      <c r="W152" s="96"/>
      <c r="X152" s="29">
        <v>0</v>
      </c>
      <c r="Y152" s="145">
        <v>0</v>
      </c>
      <c r="Z152" s="145">
        <v>0</v>
      </c>
      <c r="AA152" s="145">
        <v>0</v>
      </c>
      <c r="AB152" s="145">
        <v>0</v>
      </c>
      <c r="AC152" s="145">
        <v>0</v>
      </c>
      <c r="AD152" s="145">
        <v>0</v>
      </c>
      <c r="AE152" s="142">
        <f t="shared" si="12"/>
        <v>0</v>
      </c>
      <c r="AF152" s="141"/>
      <c r="AG152" s="67"/>
      <c r="AH152" s="67"/>
      <c r="AI152" s="24"/>
      <c r="AJ152" s="24"/>
      <c r="AK152" s="24"/>
      <c r="AL152" s="71"/>
      <c r="AM152" s="69"/>
      <c r="AN152" s="141"/>
      <c r="AO152" s="141"/>
      <c r="AP152" s="141"/>
      <c r="AQ152" s="141"/>
      <c r="AR152" s="141"/>
      <c r="AS152" s="141"/>
      <c r="AT152" s="141"/>
      <c r="AU152" s="141"/>
      <c r="AV152" s="141"/>
      <c r="AW152" s="141"/>
    </row>
    <row r="153" spans="1:49" ht="45" hidden="1" customHeight="1">
      <c r="A153" s="153">
        <f t="shared" si="13"/>
        <v>150</v>
      </c>
      <c r="B153" s="153"/>
      <c r="C153" s="153"/>
      <c r="D153" s="28"/>
      <c r="E153" s="69"/>
      <c r="F153" s="39">
        <v>0</v>
      </c>
      <c r="G153" s="21"/>
      <c r="H153" s="21"/>
      <c r="I153" s="21"/>
      <c r="J153" s="141"/>
      <c r="K153" s="21"/>
      <c r="L153" s="69"/>
      <c r="M153" s="141"/>
      <c r="N153" s="59">
        <v>4</v>
      </c>
      <c r="O153" s="59"/>
      <c r="P153" s="105"/>
      <c r="Q153" s="105"/>
      <c r="R153" s="105"/>
      <c r="S153" s="90"/>
      <c r="T153" s="90"/>
      <c r="U153" s="93"/>
      <c r="V153" s="96"/>
      <c r="W153" s="96"/>
      <c r="X153" s="29">
        <v>0</v>
      </c>
      <c r="Y153" s="145">
        <v>0</v>
      </c>
      <c r="Z153" s="145">
        <v>0</v>
      </c>
      <c r="AA153" s="145">
        <v>0</v>
      </c>
      <c r="AB153" s="145">
        <v>0</v>
      </c>
      <c r="AC153" s="145">
        <v>0</v>
      </c>
      <c r="AD153" s="145">
        <v>0</v>
      </c>
      <c r="AE153" s="142">
        <f t="shared" si="12"/>
        <v>0</v>
      </c>
      <c r="AF153" s="141"/>
      <c r="AG153" s="67"/>
      <c r="AH153" s="67"/>
      <c r="AI153" s="24"/>
      <c r="AJ153" s="24"/>
      <c r="AK153" s="24"/>
      <c r="AL153" s="71"/>
      <c r="AM153" s="69"/>
      <c r="AN153" s="141"/>
      <c r="AO153" s="141"/>
      <c r="AP153" s="141"/>
      <c r="AQ153" s="141"/>
      <c r="AR153" s="141"/>
      <c r="AS153" s="141"/>
      <c r="AT153" s="141"/>
      <c r="AU153" s="141"/>
      <c r="AV153" s="141"/>
      <c r="AW153" s="141"/>
    </row>
    <row r="154" spans="1:49" ht="45" hidden="1" customHeight="1">
      <c r="A154" s="153">
        <f t="shared" si="13"/>
        <v>151</v>
      </c>
      <c r="B154" s="153"/>
      <c r="C154" s="28"/>
      <c r="D154" s="28"/>
      <c r="E154" s="69"/>
      <c r="F154" s="39">
        <v>0</v>
      </c>
      <c r="G154" s="21"/>
      <c r="H154" s="21"/>
      <c r="I154" s="21"/>
      <c r="J154" s="141"/>
      <c r="K154" s="21"/>
      <c r="L154" s="69"/>
      <c r="M154" s="141"/>
      <c r="N154" s="59">
        <v>4.5</v>
      </c>
      <c r="O154" s="59"/>
      <c r="P154" s="105"/>
      <c r="Q154" s="105"/>
      <c r="R154" s="105"/>
      <c r="S154" s="92"/>
      <c r="T154" s="90"/>
      <c r="U154" s="93"/>
      <c r="V154" s="96"/>
      <c r="W154" s="96"/>
      <c r="X154" s="29">
        <v>0</v>
      </c>
      <c r="Y154" s="145">
        <v>0</v>
      </c>
      <c r="Z154" s="145">
        <v>0</v>
      </c>
      <c r="AA154" s="145">
        <v>0</v>
      </c>
      <c r="AB154" s="145">
        <v>0</v>
      </c>
      <c r="AC154" s="145">
        <v>0</v>
      </c>
      <c r="AD154" s="145">
        <v>0</v>
      </c>
      <c r="AE154" s="142">
        <f t="shared" si="12"/>
        <v>0</v>
      </c>
      <c r="AF154" s="141"/>
      <c r="AG154" s="67"/>
      <c r="AH154" s="67"/>
      <c r="AI154" s="24"/>
      <c r="AJ154" s="24"/>
      <c r="AK154" s="24"/>
      <c r="AL154" s="71"/>
      <c r="AM154" s="69"/>
      <c r="AN154" s="141"/>
      <c r="AO154" s="141"/>
      <c r="AP154" s="141"/>
      <c r="AQ154" s="141"/>
      <c r="AR154" s="141"/>
      <c r="AS154" s="141"/>
      <c r="AT154" s="141"/>
      <c r="AU154" s="141"/>
      <c r="AV154" s="141"/>
      <c r="AW154" s="141"/>
    </row>
    <row r="155" spans="1:49" ht="45" hidden="1" customHeight="1">
      <c r="A155" s="153">
        <f t="shared" si="13"/>
        <v>152</v>
      </c>
      <c r="B155" s="153"/>
      <c r="C155" s="140"/>
      <c r="D155" s="140"/>
      <c r="E155" s="69"/>
      <c r="F155" s="70">
        <v>0</v>
      </c>
      <c r="G155" s="21"/>
      <c r="H155" s="21"/>
      <c r="I155" s="21"/>
      <c r="J155" s="141"/>
      <c r="K155" s="21"/>
      <c r="L155" s="69"/>
      <c r="M155" s="141"/>
      <c r="N155" s="59">
        <v>5</v>
      </c>
      <c r="O155" s="59"/>
      <c r="P155" s="105"/>
      <c r="Q155" s="105"/>
      <c r="R155" s="105"/>
      <c r="S155" s="90"/>
      <c r="T155" s="91"/>
      <c r="U155" s="93"/>
      <c r="V155" s="96"/>
      <c r="W155" s="96"/>
      <c r="X155" s="29">
        <v>0</v>
      </c>
      <c r="Y155" s="145">
        <v>0</v>
      </c>
      <c r="Z155" s="145">
        <v>0</v>
      </c>
      <c r="AA155" s="145">
        <v>0</v>
      </c>
      <c r="AB155" s="145">
        <v>0</v>
      </c>
      <c r="AC155" s="145">
        <v>0</v>
      </c>
      <c r="AD155" s="145">
        <v>0</v>
      </c>
      <c r="AE155" s="142">
        <f t="shared" si="12"/>
        <v>0</v>
      </c>
      <c r="AF155" s="141"/>
      <c r="AG155" s="67"/>
      <c r="AH155" s="67"/>
      <c r="AI155" s="24"/>
      <c r="AJ155" s="24"/>
      <c r="AK155" s="24"/>
      <c r="AL155" s="71"/>
      <c r="AM155" s="69"/>
      <c r="AN155" s="141"/>
      <c r="AO155" s="141"/>
      <c r="AP155" s="141"/>
      <c r="AQ155" s="141"/>
      <c r="AR155" s="141"/>
      <c r="AS155" s="141"/>
      <c r="AT155" s="141"/>
      <c r="AU155" s="141"/>
      <c r="AV155" s="141"/>
      <c r="AW155" s="141"/>
    </row>
  </sheetData>
  <autoFilter ref="A3:AW155" xr:uid="{696602BA-561E-4DCB-9536-28EA9CF1990B}">
    <filterColumn colId="6">
      <filters>
        <filter val="Bertrand"/>
      </filters>
    </filterColumn>
    <sortState xmlns:xlrd2="http://schemas.microsoft.com/office/spreadsheetml/2017/richdata2" ref="A4:AW155">
      <sortCondition ref="C3:C155"/>
    </sortState>
  </autoFilter>
  <mergeCells count="6">
    <mergeCell ref="E1:M2"/>
    <mergeCell ref="S1:W2"/>
    <mergeCell ref="AM1:AR1"/>
    <mergeCell ref="AS1:AW1"/>
    <mergeCell ref="Z2:AA2"/>
    <mergeCell ref="AB2:AD2"/>
  </mergeCells>
  <conditionalFormatting sqref="F4:F155">
    <cfRule type="iconSet" priority="6">
      <iconSet iconSet="5Rating">
        <cfvo type="percent" val="0"/>
        <cfvo type="percent" val="20"/>
        <cfvo type="percent" val="40"/>
        <cfvo type="percent" val="60"/>
        <cfvo type="percent" val="80"/>
      </iconSet>
    </cfRule>
  </conditionalFormatting>
  <conditionalFormatting sqref="N4:R155">
    <cfRule type="colorScale" priority="10">
      <colorScale>
        <cfvo type="min"/>
        <cfvo type="percentile" val="50"/>
        <cfvo type="max"/>
        <color rgb="FFF8696B"/>
        <color rgb="FFFFEB84"/>
        <color rgb="FF63BE7B"/>
      </colorScale>
    </cfRule>
  </conditionalFormatting>
  <conditionalFormatting sqref="P4:Q155">
    <cfRule type="containsText" dxfId="60" priority="1" operator="containsText" text="NON DÉFINI">
      <formula>NOT(ISERROR(SEARCH("NON DÉFINI",P4)))</formula>
    </cfRule>
    <cfRule type="containsText" dxfId="59" priority="2" operator="containsText" text="EXCELLENT">
      <formula>NOT(ISERROR(SEARCH("EXCELLENT",P4)))</formula>
    </cfRule>
    <cfRule type="containsText" dxfId="58" priority="3" operator="containsText" text="BON">
      <formula>NOT(ISERROR(SEARCH("BON",P4)))</formula>
    </cfRule>
    <cfRule type="containsText" dxfId="57" priority="4" operator="containsText" text="WARNING !">
      <formula>NOT(ISERROR(SEARCH("WARNING !",P4)))</formula>
    </cfRule>
    <cfRule type="containsText" dxfId="56" priority="5" operator="containsText" text="A AMÉLIORER">
      <formula>NOT(ISERROR(SEARCH("A AMÉLIORER",P4)))</formula>
    </cfRule>
  </conditionalFormatting>
  <conditionalFormatting sqref="S4:T155">
    <cfRule type="cellIs" dxfId="55" priority="7" operator="between">
      <formula>TODAY()</formula>
      <formula>TODAY()+7</formula>
    </cfRule>
    <cfRule type="cellIs" dxfId="54" priority="8" operator="greaterThanOrEqual">
      <formula>TODAY()+30</formula>
    </cfRule>
    <cfRule type="cellIs" dxfId="53" priority="9" operator="lessThan">
      <formula>TODAY()-30</formula>
    </cfRule>
  </conditionalFormatting>
  <conditionalFormatting sqref="X4:AE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F4:AH155 M4:M155" xr:uid="{102CC3D9-080B-47EF-9E3F-B8DC43920838}"/>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324C2C11-5522-4C6F-A411-9C4D7E9916A8}">
          <x14:formula1>
            <xm:f>'Guide suivi GDP '!$E$9:$E$13</xm:f>
          </x14:formula1>
          <xm:sqref>P4:Q150</xm:sqref>
        </x14:dataValidation>
        <x14:dataValidation type="list" allowBlank="1" showInputMessage="1" showErrorMessage="1" xr:uid="{46FFA981-5218-4B16-BBA3-EDDE4F4A3787}">
          <x14:formula1>
            <xm:f>'Guide suivi GDP '!$E$3:$E$8</xm:f>
          </x14:formula1>
          <xm:sqref>J4:J155</xm:sqref>
        </x14:dataValidation>
        <x14:dataValidation type="list" allowBlank="1" showInputMessage="1" showErrorMessage="1" xr:uid="{F1A37E59-7F33-47A6-B050-04ED4D38F11B}">
          <x14:formula1>
            <xm:f>'Guide suivi GDP '!$E$20:$E$24</xm:f>
          </x14:formula1>
          <xm:sqref>K4:K155</xm:sqref>
        </x14:dataValidation>
        <x14:dataValidation type="list" showInputMessage="1" showErrorMessage="1" xr:uid="{9E391FB4-329F-42DE-83A5-71A724E3EF88}">
          <x14:formula1>
            <xm:f>'Guide suivi GDP '!$E$31:$E$33</xm:f>
          </x14:formula1>
          <xm:sqref>B4:B155</xm:sqref>
        </x14:dataValidation>
        <x14:dataValidation type="list" showInputMessage="1" showErrorMessage="1" xr:uid="{7D1A6C47-2BEA-4463-B326-5DB36D57B4BB}">
          <x14:formula1>
            <xm:f>'Guide suivi GDP '!$E$34:$E$36</xm:f>
          </x14:formula1>
          <xm:sqref>C4:C155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F79D-D233-4D6F-BF54-84976762F215}">
  <dimension ref="A1:AG150"/>
  <sheetViews>
    <sheetView workbookViewId="0">
      <pane xSplit="4" ySplit="3" topLeftCell="K14" activePane="bottomRight" state="frozen"/>
      <selection pane="topRight"/>
      <selection pane="bottomLeft"/>
      <selection pane="bottomRight" activeCell="K14" sqref="K14"/>
    </sheetView>
  </sheetViews>
  <sheetFormatPr baseColWidth="10" defaultColWidth="9.140625" defaultRowHeight="12.75"/>
  <cols>
    <col min="3" max="3" width="21.28515625" customWidth="1"/>
    <col min="7" max="7" width="19" customWidth="1"/>
    <col min="8" max="8" width="16.140625" customWidth="1"/>
    <col min="9" max="9" width="26.140625" customWidth="1"/>
    <col min="10" max="10" width="21.5703125" customWidth="1"/>
    <col min="11" max="11" width="41.140625" customWidth="1"/>
    <col min="13" max="13" width="29.5703125" customWidth="1"/>
    <col min="18" max="18" width="14.42578125" customWidth="1"/>
  </cols>
  <sheetData>
    <row r="1" spans="1:33" ht="15.75">
      <c r="A1" s="78"/>
      <c r="B1" s="88" t="s">
        <v>717</v>
      </c>
      <c r="C1" s="99">
        <v>45924</v>
      </c>
      <c r="D1" s="88" t="s">
        <v>718</v>
      </c>
      <c r="E1" s="82"/>
      <c r="F1" s="82"/>
      <c r="G1" s="204" t="s">
        <v>719</v>
      </c>
      <c r="H1" s="204"/>
      <c r="I1" s="204"/>
      <c r="J1" s="204"/>
      <c r="K1" s="205"/>
      <c r="L1" s="202" t="s">
        <v>720</v>
      </c>
      <c r="M1" s="202"/>
      <c r="N1" s="202"/>
      <c r="O1" s="202"/>
      <c r="P1" s="202"/>
      <c r="Q1" s="202"/>
      <c r="R1" s="203"/>
      <c r="S1" s="79"/>
      <c r="T1" s="79" t="s">
        <v>721</v>
      </c>
      <c r="U1" s="80"/>
      <c r="V1" s="80"/>
      <c r="W1" s="80"/>
      <c r="X1" s="80"/>
      <c r="Y1" s="80"/>
      <c r="Z1" s="80"/>
      <c r="AA1" s="80"/>
      <c r="AB1" s="77" t="s">
        <v>721</v>
      </c>
      <c r="AC1" s="81"/>
      <c r="AD1" s="81"/>
      <c r="AE1" s="81"/>
      <c r="AF1" s="81"/>
      <c r="AG1" s="81"/>
    </row>
    <row r="2" spans="1:33" ht="18">
      <c r="A2" s="82"/>
      <c r="B2" s="82"/>
      <c r="C2" s="82"/>
      <c r="D2" s="87">
        <f>SUBTOTAL(3,D4:D150)</f>
        <v>43</v>
      </c>
      <c r="E2" s="100">
        <f>SUBTOTAL(1,E4:E31)</f>
        <v>3.0714285714285716</v>
      </c>
      <c r="F2" s="100">
        <f>SUBTOTAL(1,F4:F31)</f>
        <v>3.5238095238095237</v>
      </c>
      <c r="G2" s="204"/>
      <c r="H2" s="204"/>
      <c r="I2" s="204"/>
      <c r="J2" s="204"/>
      <c r="K2" s="205"/>
      <c r="L2" s="202"/>
      <c r="M2" s="202"/>
      <c r="N2" s="202"/>
      <c r="O2" s="202"/>
      <c r="P2" s="202"/>
      <c r="Q2" s="202"/>
      <c r="R2" s="203"/>
      <c r="S2" s="83"/>
      <c r="T2" s="156" t="s">
        <v>68</v>
      </c>
      <c r="U2" s="156" t="s">
        <v>69</v>
      </c>
      <c r="V2" s="209" t="s">
        <v>71</v>
      </c>
      <c r="W2" s="209"/>
      <c r="X2" s="209" t="s">
        <v>76</v>
      </c>
      <c r="Y2" s="209"/>
      <c r="Z2" s="209"/>
      <c r="AA2" s="84">
        <f>SUBTOTAL(1,AA4:AA31)</f>
        <v>0</v>
      </c>
      <c r="AB2" s="81"/>
      <c r="AC2" s="81"/>
      <c r="AD2" s="81"/>
      <c r="AE2" s="81"/>
      <c r="AF2" s="81"/>
      <c r="AG2" s="81"/>
    </row>
    <row r="3" spans="1:33" ht="76.5">
      <c r="A3" s="72" t="s">
        <v>724</v>
      </c>
      <c r="B3" s="72" t="s">
        <v>725</v>
      </c>
      <c r="C3" s="72" t="s">
        <v>60</v>
      </c>
      <c r="D3" s="72" t="s">
        <v>85</v>
      </c>
      <c r="E3" s="73" t="s">
        <v>726</v>
      </c>
      <c r="F3" s="73" t="s">
        <v>727</v>
      </c>
      <c r="G3" s="72" t="s">
        <v>728</v>
      </c>
      <c r="H3" s="72" t="s">
        <v>601</v>
      </c>
      <c r="I3" s="97" t="s">
        <v>602</v>
      </c>
      <c r="J3" s="97" t="s">
        <v>603</v>
      </c>
      <c r="K3" s="97" t="s">
        <v>604</v>
      </c>
      <c r="L3" s="73" t="s">
        <v>729</v>
      </c>
      <c r="M3" s="73" t="s">
        <v>730</v>
      </c>
      <c r="N3" s="73" t="s">
        <v>229</v>
      </c>
      <c r="O3" s="73" t="s">
        <v>86</v>
      </c>
      <c r="P3" s="73" t="s">
        <v>731</v>
      </c>
      <c r="Q3" s="73" t="s">
        <v>732</v>
      </c>
      <c r="R3" s="73" t="s">
        <v>733</v>
      </c>
      <c r="S3" s="73" t="s">
        <v>734</v>
      </c>
      <c r="T3" s="73" t="s">
        <v>90</v>
      </c>
      <c r="U3" s="73" t="s">
        <v>91</v>
      </c>
      <c r="V3" s="73" t="s">
        <v>92</v>
      </c>
      <c r="W3" s="73" t="s">
        <v>93</v>
      </c>
      <c r="X3" s="73" t="s">
        <v>94</v>
      </c>
      <c r="Y3" s="73" t="s">
        <v>95</v>
      </c>
      <c r="Z3" s="73" t="s">
        <v>96</v>
      </c>
      <c r="AA3" s="73" t="s">
        <v>80</v>
      </c>
      <c r="AB3" s="72" t="s">
        <v>735</v>
      </c>
      <c r="AC3" s="72" t="s">
        <v>736</v>
      </c>
      <c r="AD3" s="72" t="s">
        <v>737</v>
      </c>
      <c r="AE3" s="72" t="s">
        <v>738</v>
      </c>
      <c r="AF3" s="72" t="s">
        <v>739</v>
      </c>
      <c r="AG3" s="72" t="s">
        <v>740</v>
      </c>
    </row>
    <row r="4" spans="1:33" ht="63.75">
      <c r="A4" s="153">
        <v>1</v>
      </c>
      <c r="B4" s="153" t="s">
        <v>57</v>
      </c>
      <c r="C4" s="153" t="s">
        <v>61</v>
      </c>
      <c r="D4" s="153" t="s">
        <v>653</v>
      </c>
      <c r="E4" s="59">
        <v>4</v>
      </c>
      <c r="F4" s="59">
        <v>4</v>
      </c>
      <c r="G4" s="90">
        <v>45922</v>
      </c>
      <c r="H4" s="90">
        <v>45923</v>
      </c>
      <c r="I4" s="93" t="s">
        <v>751</v>
      </c>
      <c r="J4" s="94"/>
      <c r="K4" s="94"/>
      <c r="L4" s="69"/>
      <c r="M4" s="69" t="s">
        <v>752</v>
      </c>
      <c r="N4" s="39">
        <v>2</v>
      </c>
      <c r="O4" s="141" t="s">
        <v>753</v>
      </c>
      <c r="P4" s="141" t="s">
        <v>754</v>
      </c>
      <c r="Q4" s="141" t="s">
        <v>26</v>
      </c>
      <c r="R4" s="141" t="s">
        <v>45</v>
      </c>
      <c r="S4" s="141"/>
      <c r="T4" s="29">
        <v>0</v>
      </c>
      <c r="U4" s="145">
        <v>0</v>
      </c>
      <c r="V4" s="145">
        <v>0</v>
      </c>
      <c r="W4" s="145">
        <v>0</v>
      </c>
      <c r="X4" s="145">
        <v>0</v>
      </c>
      <c r="Y4" s="145">
        <v>0</v>
      </c>
      <c r="Z4" s="145">
        <v>0</v>
      </c>
      <c r="AA4" s="142">
        <f t="shared" ref="AA4:AA35" si="0">AVERAGE(T4:Z4)</f>
        <v>0</v>
      </c>
      <c r="AB4" s="141"/>
      <c r="AC4" s="67"/>
      <c r="AD4" s="67"/>
      <c r="AE4" s="24"/>
      <c r="AF4" s="24"/>
      <c r="AG4" s="24"/>
    </row>
    <row r="5" spans="1:33" ht="63.75">
      <c r="A5" s="153">
        <v>2</v>
      </c>
      <c r="B5" s="153" t="s">
        <v>57</v>
      </c>
      <c r="C5" s="153" t="s">
        <v>61</v>
      </c>
      <c r="D5" s="28" t="s">
        <v>708</v>
      </c>
      <c r="E5" s="60">
        <v>2.5</v>
      </c>
      <c r="F5" s="60">
        <v>5</v>
      </c>
      <c r="G5" s="90"/>
      <c r="H5" s="90">
        <v>45953</v>
      </c>
      <c r="I5" s="93"/>
      <c r="J5" s="95" t="s">
        <v>710</v>
      </c>
      <c r="K5" s="95"/>
      <c r="L5" s="69"/>
      <c r="M5" s="69" t="s">
        <v>758</v>
      </c>
      <c r="N5" s="39">
        <v>2</v>
      </c>
      <c r="O5" s="141" t="s">
        <v>753</v>
      </c>
      <c r="P5" s="141" t="s">
        <v>759</v>
      </c>
      <c r="Q5" s="141" t="s">
        <v>26</v>
      </c>
      <c r="R5" s="21"/>
      <c r="S5" s="141"/>
      <c r="T5" s="29">
        <v>0</v>
      </c>
      <c r="U5" s="145">
        <v>0</v>
      </c>
      <c r="V5" s="145">
        <v>0</v>
      </c>
      <c r="W5" s="145">
        <v>0</v>
      </c>
      <c r="X5" s="145">
        <v>0</v>
      </c>
      <c r="Y5" s="145">
        <v>0</v>
      </c>
      <c r="Z5" s="145">
        <v>0</v>
      </c>
      <c r="AA5" s="142">
        <f t="shared" si="0"/>
        <v>0</v>
      </c>
      <c r="AB5" s="141"/>
      <c r="AC5" s="67"/>
      <c r="AD5" s="67"/>
      <c r="AE5" s="24"/>
      <c r="AF5" s="24"/>
      <c r="AG5" s="24"/>
    </row>
    <row r="6" spans="1:33" ht="90">
      <c r="A6" s="153">
        <v>3</v>
      </c>
      <c r="B6" s="153" t="s">
        <v>57</v>
      </c>
      <c r="C6" s="153" t="s">
        <v>61</v>
      </c>
      <c r="D6" s="28" t="s">
        <v>670</v>
      </c>
      <c r="E6" s="59">
        <v>1</v>
      </c>
      <c r="F6" s="59">
        <v>4</v>
      </c>
      <c r="G6" s="90" t="s">
        <v>762</v>
      </c>
      <c r="H6" s="90" t="s">
        <v>762</v>
      </c>
      <c r="I6" s="93" t="s">
        <v>923</v>
      </c>
      <c r="J6" s="96"/>
      <c r="K6" s="96"/>
      <c r="L6" s="69"/>
      <c r="M6" s="69" t="s">
        <v>763</v>
      </c>
      <c r="N6" s="39">
        <v>2</v>
      </c>
      <c r="O6" s="141" t="s">
        <v>764</v>
      </c>
      <c r="P6" s="141" t="s">
        <v>765</v>
      </c>
      <c r="Q6" s="141" t="s">
        <v>22</v>
      </c>
      <c r="R6" s="141"/>
      <c r="S6" s="141"/>
      <c r="T6" s="29">
        <v>0</v>
      </c>
      <c r="U6" s="145">
        <v>0</v>
      </c>
      <c r="V6" s="145">
        <v>0</v>
      </c>
      <c r="W6" s="145">
        <v>0</v>
      </c>
      <c r="X6" s="145">
        <v>0</v>
      </c>
      <c r="Y6" s="145">
        <v>0</v>
      </c>
      <c r="Z6" s="145">
        <v>0</v>
      </c>
      <c r="AA6" s="142">
        <f t="shared" si="0"/>
        <v>0</v>
      </c>
      <c r="AB6" s="141"/>
      <c r="AC6" s="67"/>
      <c r="AD6" s="67"/>
      <c r="AE6" s="24"/>
      <c r="AF6" s="24"/>
      <c r="AG6" s="24"/>
    </row>
    <row r="7" spans="1:33" ht="136.5" customHeight="1">
      <c r="A7" s="153">
        <v>4</v>
      </c>
      <c r="B7" s="153" t="s">
        <v>57</v>
      </c>
      <c r="C7" s="153" t="s">
        <v>61</v>
      </c>
      <c r="D7" s="28" t="s">
        <v>677</v>
      </c>
      <c r="E7" s="59">
        <v>4</v>
      </c>
      <c r="F7" s="59">
        <v>4</v>
      </c>
      <c r="G7" s="90">
        <v>45922</v>
      </c>
      <c r="H7" s="90">
        <v>45936</v>
      </c>
      <c r="I7" s="93" t="s">
        <v>924</v>
      </c>
      <c r="J7" s="96" t="s">
        <v>768</v>
      </c>
      <c r="K7" s="96"/>
      <c r="L7" s="69"/>
      <c r="M7" s="69" t="s">
        <v>769</v>
      </c>
      <c r="N7" s="39">
        <v>2</v>
      </c>
      <c r="O7" s="141" t="s">
        <v>764</v>
      </c>
      <c r="P7" s="141" t="s">
        <v>770</v>
      </c>
      <c r="Q7" s="141" t="s">
        <v>26</v>
      </c>
      <c r="R7" s="141"/>
      <c r="S7" s="141"/>
      <c r="T7" s="29">
        <v>0</v>
      </c>
      <c r="U7" s="145">
        <v>0</v>
      </c>
      <c r="V7" s="145">
        <v>0</v>
      </c>
      <c r="W7" s="145">
        <v>0</v>
      </c>
      <c r="X7" s="145">
        <v>0</v>
      </c>
      <c r="Y7" s="145">
        <v>0</v>
      </c>
      <c r="Z7" s="145">
        <v>0</v>
      </c>
      <c r="AA7" s="142">
        <f t="shared" si="0"/>
        <v>0</v>
      </c>
      <c r="AB7" s="141"/>
      <c r="AC7" s="67"/>
      <c r="AD7" s="67"/>
      <c r="AE7" s="24"/>
      <c r="AF7" s="24"/>
      <c r="AG7" s="24"/>
    </row>
    <row r="8" spans="1:33" ht="76.5">
      <c r="A8" s="153">
        <v>5</v>
      </c>
      <c r="B8" s="153" t="s">
        <v>57</v>
      </c>
      <c r="C8" s="153" t="s">
        <v>61</v>
      </c>
      <c r="D8" s="28" t="s">
        <v>611</v>
      </c>
      <c r="E8" s="59">
        <v>3</v>
      </c>
      <c r="F8" s="59">
        <v>4</v>
      </c>
      <c r="G8" s="90">
        <v>45909</v>
      </c>
      <c r="H8" s="90">
        <v>45951</v>
      </c>
      <c r="I8" s="93" t="s">
        <v>612</v>
      </c>
      <c r="J8" s="96" t="s">
        <v>613</v>
      </c>
      <c r="K8" s="96"/>
      <c r="L8" s="69"/>
      <c r="M8" s="69" t="s">
        <v>772</v>
      </c>
      <c r="N8" s="39">
        <v>2</v>
      </c>
      <c r="O8" s="141" t="s">
        <v>753</v>
      </c>
      <c r="P8" s="141" t="s">
        <v>770</v>
      </c>
      <c r="Q8" s="141" t="s">
        <v>26</v>
      </c>
      <c r="R8" s="141"/>
      <c r="S8" s="141"/>
      <c r="T8" s="29">
        <v>0</v>
      </c>
      <c r="U8" s="145">
        <v>0</v>
      </c>
      <c r="V8" s="145">
        <v>0</v>
      </c>
      <c r="W8" s="145">
        <v>0</v>
      </c>
      <c r="X8" s="145">
        <v>0</v>
      </c>
      <c r="Y8" s="145">
        <v>0</v>
      </c>
      <c r="Z8" s="145">
        <v>0</v>
      </c>
      <c r="AA8" s="142">
        <f t="shared" si="0"/>
        <v>0</v>
      </c>
      <c r="AB8" s="141"/>
      <c r="AC8" s="67"/>
      <c r="AD8" s="67"/>
      <c r="AE8" s="24"/>
      <c r="AF8" s="24"/>
      <c r="AG8" s="24"/>
    </row>
    <row r="9" spans="1:33" ht="127.5">
      <c r="A9" s="153">
        <v>6</v>
      </c>
      <c r="B9" s="153" t="s">
        <v>57</v>
      </c>
      <c r="C9" s="153" t="s">
        <v>61</v>
      </c>
      <c r="D9" s="28" t="s">
        <v>693</v>
      </c>
      <c r="E9" s="59">
        <v>3</v>
      </c>
      <c r="F9" s="59">
        <v>4</v>
      </c>
      <c r="G9" s="90"/>
      <c r="H9" s="90">
        <v>45936</v>
      </c>
      <c r="I9" s="93" t="s">
        <v>925</v>
      </c>
      <c r="J9" s="96" t="s">
        <v>695</v>
      </c>
      <c r="K9" s="96"/>
      <c r="L9" s="69"/>
      <c r="M9" s="69" t="s">
        <v>775</v>
      </c>
      <c r="N9" s="39">
        <v>2</v>
      </c>
      <c r="O9" s="141" t="s">
        <v>764</v>
      </c>
      <c r="P9" s="141" t="s">
        <v>770</v>
      </c>
      <c r="Q9" s="141" t="s">
        <v>26</v>
      </c>
      <c r="R9" s="141"/>
      <c r="S9" s="141"/>
      <c r="T9" s="29">
        <v>0</v>
      </c>
      <c r="U9" s="145">
        <v>0</v>
      </c>
      <c r="V9" s="145">
        <v>0</v>
      </c>
      <c r="W9" s="145">
        <v>0</v>
      </c>
      <c r="X9" s="145">
        <v>0</v>
      </c>
      <c r="Y9" s="145">
        <v>0</v>
      </c>
      <c r="Z9" s="145">
        <v>0</v>
      </c>
      <c r="AA9" s="142">
        <f t="shared" si="0"/>
        <v>0</v>
      </c>
      <c r="AB9" s="141"/>
      <c r="AC9" s="67"/>
      <c r="AD9" s="67"/>
      <c r="AE9" s="24"/>
      <c r="AF9" s="24"/>
      <c r="AG9" s="24"/>
    </row>
    <row r="10" spans="1:33" ht="127.5">
      <c r="A10" s="153">
        <v>7</v>
      </c>
      <c r="B10" s="153" t="s">
        <v>57</v>
      </c>
      <c r="C10" s="153" t="s">
        <v>61</v>
      </c>
      <c r="D10" s="28" t="s">
        <v>617</v>
      </c>
      <c r="E10" s="59">
        <v>4</v>
      </c>
      <c r="F10" s="59">
        <v>4</v>
      </c>
      <c r="G10" s="90">
        <v>45923</v>
      </c>
      <c r="H10" s="90">
        <v>45926</v>
      </c>
      <c r="I10" s="93" t="s">
        <v>926</v>
      </c>
      <c r="J10" s="96" t="s">
        <v>777</v>
      </c>
      <c r="K10" s="96"/>
      <c r="L10" s="69"/>
      <c r="M10" s="69" t="s">
        <v>775</v>
      </c>
      <c r="N10" s="39">
        <v>2</v>
      </c>
      <c r="O10" s="141" t="s">
        <v>150</v>
      </c>
      <c r="P10" s="141" t="s">
        <v>764</v>
      </c>
      <c r="Q10" s="141" t="s">
        <v>26</v>
      </c>
      <c r="R10" s="141"/>
      <c r="S10" s="141"/>
      <c r="T10" s="29">
        <v>0</v>
      </c>
      <c r="U10" s="145">
        <v>0</v>
      </c>
      <c r="V10" s="145">
        <v>0</v>
      </c>
      <c r="W10" s="145">
        <v>0</v>
      </c>
      <c r="X10" s="145">
        <v>0</v>
      </c>
      <c r="Y10" s="145">
        <v>0</v>
      </c>
      <c r="Z10" s="145">
        <v>0</v>
      </c>
      <c r="AA10" s="142">
        <f t="shared" si="0"/>
        <v>0</v>
      </c>
      <c r="AB10" s="141"/>
      <c r="AC10" s="67"/>
      <c r="AD10" s="67"/>
      <c r="AE10" s="24"/>
      <c r="AF10" s="24"/>
      <c r="AG10" s="24"/>
    </row>
    <row r="11" spans="1:33" ht="102">
      <c r="A11" s="153">
        <v>8</v>
      </c>
      <c r="B11" s="153" t="s">
        <v>57</v>
      </c>
      <c r="C11" s="153" t="s">
        <v>61</v>
      </c>
      <c r="D11" s="28" t="s">
        <v>615</v>
      </c>
      <c r="E11" s="59">
        <v>5</v>
      </c>
      <c r="F11" s="59">
        <v>5</v>
      </c>
      <c r="G11" s="90">
        <v>45919</v>
      </c>
      <c r="H11" s="90">
        <v>45933</v>
      </c>
      <c r="I11" s="93" t="s">
        <v>927</v>
      </c>
      <c r="J11" s="96"/>
      <c r="K11" s="96"/>
      <c r="L11" s="69"/>
      <c r="M11" s="69" t="s">
        <v>780</v>
      </c>
      <c r="N11" s="39">
        <v>3</v>
      </c>
      <c r="O11" s="141" t="s">
        <v>764</v>
      </c>
      <c r="P11" s="141" t="s">
        <v>770</v>
      </c>
      <c r="Q11" s="141" t="s">
        <v>14</v>
      </c>
      <c r="R11" s="141"/>
      <c r="S11" s="141"/>
      <c r="T11" s="29">
        <v>0</v>
      </c>
      <c r="U11" s="145">
        <v>0</v>
      </c>
      <c r="V11" s="145">
        <v>0</v>
      </c>
      <c r="W11" s="145">
        <v>0</v>
      </c>
      <c r="X11" s="145">
        <v>0</v>
      </c>
      <c r="Y11" s="145">
        <v>0</v>
      </c>
      <c r="Z11" s="145">
        <v>0</v>
      </c>
      <c r="AA11" s="142">
        <f t="shared" si="0"/>
        <v>0</v>
      </c>
      <c r="AB11" s="141"/>
      <c r="AC11" s="67"/>
      <c r="AD11" s="67"/>
      <c r="AE11" s="24"/>
      <c r="AF11" s="24"/>
      <c r="AG11" s="24"/>
    </row>
    <row r="12" spans="1:33" ht="61.5">
      <c r="A12" s="153">
        <v>9</v>
      </c>
      <c r="B12" s="153" t="s">
        <v>57</v>
      </c>
      <c r="C12" s="153" t="s">
        <v>61</v>
      </c>
      <c r="D12" s="28" t="s">
        <v>246</v>
      </c>
      <c r="E12" s="59">
        <v>2</v>
      </c>
      <c r="F12" s="59">
        <v>2</v>
      </c>
      <c r="G12" s="90">
        <v>45905</v>
      </c>
      <c r="H12" s="90">
        <v>45933</v>
      </c>
      <c r="I12" s="93" t="s">
        <v>782</v>
      </c>
      <c r="J12" s="96" t="s">
        <v>783</v>
      </c>
      <c r="K12" s="96" t="s">
        <v>702</v>
      </c>
      <c r="L12" s="69"/>
      <c r="M12" s="69" t="s">
        <v>784</v>
      </c>
      <c r="N12" s="39">
        <v>2</v>
      </c>
      <c r="O12" s="141" t="s">
        <v>150</v>
      </c>
      <c r="P12" s="141" t="s">
        <v>753</v>
      </c>
      <c r="Q12" s="141" t="s">
        <v>14</v>
      </c>
      <c r="R12" s="141"/>
      <c r="S12" s="141"/>
      <c r="T12" s="29">
        <v>0</v>
      </c>
      <c r="U12" s="145">
        <v>0</v>
      </c>
      <c r="V12" s="145">
        <v>0</v>
      </c>
      <c r="W12" s="145">
        <v>0</v>
      </c>
      <c r="X12" s="145">
        <v>0</v>
      </c>
      <c r="Y12" s="145">
        <v>0</v>
      </c>
      <c r="Z12" s="145">
        <v>0</v>
      </c>
      <c r="AA12" s="142">
        <f t="shared" si="0"/>
        <v>0</v>
      </c>
      <c r="AB12" s="141"/>
      <c r="AC12" s="67"/>
      <c r="AD12" s="67"/>
      <c r="AE12" s="24"/>
      <c r="AF12" s="24"/>
      <c r="AG12" s="24"/>
    </row>
    <row r="13" spans="1:33" ht="102">
      <c r="A13" s="153">
        <v>10</v>
      </c>
      <c r="B13" s="153" t="s">
        <v>57</v>
      </c>
      <c r="C13" s="153" t="s">
        <v>61</v>
      </c>
      <c r="D13" s="28" t="s">
        <v>633</v>
      </c>
      <c r="E13" s="59">
        <v>4</v>
      </c>
      <c r="F13" s="59">
        <v>4</v>
      </c>
      <c r="G13" s="90">
        <v>45916</v>
      </c>
      <c r="H13" s="90">
        <v>45933</v>
      </c>
      <c r="I13" s="93" t="s">
        <v>928</v>
      </c>
      <c r="J13" s="96" t="s">
        <v>635</v>
      </c>
      <c r="K13" s="96"/>
      <c r="L13" s="69"/>
      <c r="M13" s="69" t="s">
        <v>787</v>
      </c>
      <c r="N13" s="39">
        <v>3</v>
      </c>
      <c r="O13" s="141" t="s">
        <v>764</v>
      </c>
      <c r="P13" s="141" t="s">
        <v>770</v>
      </c>
      <c r="Q13" s="141" t="s">
        <v>14</v>
      </c>
      <c r="R13" s="141"/>
      <c r="S13" s="141"/>
      <c r="T13" s="29">
        <v>0</v>
      </c>
      <c r="U13" s="145">
        <v>0</v>
      </c>
      <c r="V13" s="145">
        <v>0</v>
      </c>
      <c r="W13" s="145">
        <v>0</v>
      </c>
      <c r="X13" s="145">
        <v>0</v>
      </c>
      <c r="Y13" s="145">
        <v>0</v>
      </c>
      <c r="Z13" s="145">
        <v>0</v>
      </c>
      <c r="AA13" s="142">
        <f t="shared" si="0"/>
        <v>0</v>
      </c>
      <c r="AB13" s="141"/>
      <c r="AC13" s="67"/>
      <c r="AD13" s="67"/>
      <c r="AE13" s="24"/>
      <c r="AF13" s="24"/>
      <c r="AG13" s="24"/>
    </row>
    <row r="14" spans="1:33" ht="166.5" customHeight="1">
      <c r="A14" s="153">
        <v>11</v>
      </c>
      <c r="B14" s="153" t="s">
        <v>57</v>
      </c>
      <c r="C14" s="153" t="s">
        <v>61</v>
      </c>
      <c r="D14" s="28" t="s">
        <v>643</v>
      </c>
      <c r="E14" s="59">
        <v>3</v>
      </c>
      <c r="F14" s="59">
        <v>3</v>
      </c>
      <c r="G14" s="90">
        <v>45919</v>
      </c>
      <c r="H14" s="90">
        <v>45960</v>
      </c>
      <c r="I14" s="93" t="s">
        <v>929</v>
      </c>
      <c r="J14" s="96" t="s">
        <v>645</v>
      </c>
      <c r="K14" s="96"/>
      <c r="L14" s="69"/>
      <c r="M14" s="69" t="s">
        <v>789</v>
      </c>
      <c r="N14" s="39">
        <v>2</v>
      </c>
      <c r="O14" s="141" t="s">
        <v>764</v>
      </c>
      <c r="P14" s="141" t="s">
        <v>770</v>
      </c>
      <c r="Q14" s="141" t="s">
        <v>6</v>
      </c>
      <c r="R14" s="141"/>
      <c r="S14" s="141"/>
      <c r="T14" s="29">
        <v>0</v>
      </c>
      <c r="U14" s="145">
        <v>0</v>
      </c>
      <c r="V14" s="145">
        <v>0</v>
      </c>
      <c r="W14" s="145">
        <v>0</v>
      </c>
      <c r="X14" s="145">
        <v>0</v>
      </c>
      <c r="Y14" s="145">
        <v>0</v>
      </c>
      <c r="Z14" s="145">
        <v>0</v>
      </c>
      <c r="AA14" s="142">
        <f t="shared" si="0"/>
        <v>0</v>
      </c>
      <c r="AB14" s="141"/>
      <c r="AC14" s="67"/>
      <c r="AD14" s="67"/>
      <c r="AE14" s="24"/>
      <c r="AF14" s="24"/>
      <c r="AG14" s="24"/>
    </row>
    <row r="15" spans="1:33" ht="76.5">
      <c r="A15" s="153">
        <v>12</v>
      </c>
      <c r="B15" s="153" t="s">
        <v>57</v>
      </c>
      <c r="C15" s="153" t="s">
        <v>61</v>
      </c>
      <c r="D15" s="28" t="s">
        <v>703</v>
      </c>
      <c r="E15" s="59">
        <v>2</v>
      </c>
      <c r="F15" s="59">
        <v>2</v>
      </c>
      <c r="G15" s="90">
        <v>45915</v>
      </c>
      <c r="H15" s="90">
        <v>45924</v>
      </c>
      <c r="I15" s="93"/>
      <c r="J15" s="96" t="s">
        <v>704</v>
      </c>
      <c r="K15" s="96"/>
      <c r="L15" s="69"/>
      <c r="M15" s="69" t="s">
        <v>791</v>
      </c>
      <c r="N15" s="39">
        <v>2</v>
      </c>
      <c r="O15" s="141" t="s">
        <v>764</v>
      </c>
      <c r="P15" s="141" t="s">
        <v>770</v>
      </c>
      <c r="Q15" s="141" t="s">
        <v>6</v>
      </c>
      <c r="R15" s="141"/>
      <c r="S15" s="141"/>
      <c r="T15" s="29">
        <v>0</v>
      </c>
      <c r="U15" s="145">
        <v>0</v>
      </c>
      <c r="V15" s="145">
        <v>0</v>
      </c>
      <c r="W15" s="145">
        <v>0</v>
      </c>
      <c r="X15" s="145">
        <v>0</v>
      </c>
      <c r="Y15" s="145">
        <v>0</v>
      </c>
      <c r="Z15" s="145">
        <v>0</v>
      </c>
      <c r="AA15" s="142">
        <f t="shared" si="0"/>
        <v>0</v>
      </c>
      <c r="AB15" s="141"/>
      <c r="AC15" s="67"/>
      <c r="AD15" s="67"/>
      <c r="AE15" s="24"/>
      <c r="AF15" s="24"/>
      <c r="AG15" s="24"/>
    </row>
    <row r="16" spans="1:33" ht="61.5">
      <c r="A16" s="153">
        <v>13</v>
      </c>
      <c r="B16" s="153" t="s">
        <v>57</v>
      </c>
      <c r="C16" s="153" t="s">
        <v>61</v>
      </c>
      <c r="D16" s="28" t="s">
        <v>630</v>
      </c>
      <c r="E16" s="59">
        <v>2</v>
      </c>
      <c r="F16" s="59">
        <v>4</v>
      </c>
      <c r="G16" s="90"/>
      <c r="H16" s="90">
        <v>45925</v>
      </c>
      <c r="I16" s="93"/>
      <c r="J16" s="96" t="s">
        <v>632</v>
      </c>
      <c r="K16" s="96"/>
      <c r="L16" s="69"/>
      <c r="M16" s="69" t="s">
        <v>793</v>
      </c>
      <c r="N16" s="39">
        <v>1</v>
      </c>
      <c r="O16" s="141" t="s">
        <v>794</v>
      </c>
      <c r="P16" s="141" t="s">
        <v>765</v>
      </c>
      <c r="Q16" s="141" t="s">
        <v>6</v>
      </c>
      <c r="R16" s="21"/>
      <c r="S16" s="141"/>
      <c r="T16" s="29">
        <v>0</v>
      </c>
      <c r="U16" s="145">
        <v>0</v>
      </c>
      <c r="V16" s="145">
        <v>0</v>
      </c>
      <c r="W16" s="145">
        <v>0</v>
      </c>
      <c r="X16" s="145">
        <v>0</v>
      </c>
      <c r="Y16" s="145">
        <v>0</v>
      </c>
      <c r="Z16" s="145">
        <v>0</v>
      </c>
      <c r="AA16" s="142">
        <f t="shared" si="0"/>
        <v>0</v>
      </c>
      <c r="AB16" s="141"/>
      <c r="AC16" s="67"/>
      <c r="AD16" s="67"/>
      <c r="AE16" s="24"/>
      <c r="AF16" s="24"/>
      <c r="AG16" s="24"/>
    </row>
    <row r="17" spans="1:33" ht="61.5">
      <c r="A17" s="153">
        <v>14</v>
      </c>
      <c r="B17" s="153" t="s">
        <v>57</v>
      </c>
      <c r="C17" s="153" t="s">
        <v>61</v>
      </c>
      <c r="D17" s="28" t="s">
        <v>639</v>
      </c>
      <c r="E17" s="59"/>
      <c r="F17" s="59"/>
      <c r="G17" s="90"/>
      <c r="H17" s="90"/>
      <c r="I17" s="93"/>
      <c r="J17" s="96"/>
      <c r="K17" s="96"/>
      <c r="L17" s="69"/>
      <c r="M17" s="69" t="s">
        <v>796</v>
      </c>
      <c r="N17" s="39">
        <v>3</v>
      </c>
      <c r="O17" s="141" t="s">
        <v>794</v>
      </c>
      <c r="P17" s="141" t="s">
        <v>797</v>
      </c>
      <c r="Q17" s="141" t="s">
        <v>6</v>
      </c>
      <c r="R17" s="21"/>
      <c r="S17" s="141"/>
      <c r="T17" s="29">
        <v>0</v>
      </c>
      <c r="U17" s="145">
        <v>0</v>
      </c>
      <c r="V17" s="145">
        <v>0</v>
      </c>
      <c r="W17" s="145">
        <v>0</v>
      </c>
      <c r="X17" s="145">
        <v>0</v>
      </c>
      <c r="Y17" s="145">
        <v>0</v>
      </c>
      <c r="Z17" s="145">
        <v>0</v>
      </c>
      <c r="AA17" s="142">
        <f t="shared" si="0"/>
        <v>0</v>
      </c>
      <c r="AB17" s="141"/>
      <c r="AC17" s="67"/>
      <c r="AD17" s="67"/>
      <c r="AE17" s="24"/>
      <c r="AF17" s="24"/>
      <c r="AG17" s="24"/>
    </row>
    <row r="18" spans="1:33" ht="61.5">
      <c r="A18" s="153">
        <v>15</v>
      </c>
      <c r="B18" s="153" t="s">
        <v>57</v>
      </c>
      <c r="C18" s="153" t="s">
        <v>61</v>
      </c>
      <c r="D18" s="28" t="s">
        <v>697</v>
      </c>
      <c r="E18" s="59">
        <v>1</v>
      </c>
      <c r="F18" s="59">
        <v>4</v>
      </c>
      <c r="G18" s="90">
        <v>45778</v>
      </c>
      <c r="H18" s="90">
        <v>46023</v>
      </c>
      <c r="I18" s="93" t="s">
        <v>799</v>
      </c>
      <c r="J18" s="96" t="s">
        <v>699</v>
      </c>
      <c r="K18" s="96"/>
      <c r="L18" s="69"/>
      <c r="M18" s="69" t="s">
        <v>800</v>
      </c>
      <c r="N18" s="39">
        <v>2</v>
      </c>
      <c r="O18" s="141" t="s">
        <v>764</v>
      </c>
      <c r="P18" s="141" t="s">
        <v>770</v>
      </c>
      <c r="Q18" s="141" t="s">
        <v>6</v>
      </c>
      <c r="R18" s="21"/>
      <c r="S18" s="141"/>
      <c r="T18" s="29">
        <v>0</v>
      </c>
      <c r="U18" s="145">
        <v>0</v>
      </c>
      <c r="V18" s="145">
        <v>0</v>
      </c>
      <c r="W18" s="145">
        <v>0</v>
      </c>
      <c r="X18" s="145">
        <v>0</v>
      </c>
      <c r="Y18" s="145">
        <v>0</v>
      </c>
      <c r="Z18" s="145">
        <v>0</v>
      </c>
      <c r="AA18" s="142">
        <f t="shared" si="0"/>
        <v>0</v>
      </c>
      <c r="AB18" s="141"/>
      <c r="AC18" s="67"/>
      <c r="AD18" s="67"/>
      <c r="AE18" s="24"/>
      <c r="AF18" s="24"/>
      <c r="AG18" s="24"/>
    </row>
    <row r="19" spans="1:33" ht="90">
      <c r="A19" s="153">
        <v>16</v>
      </c>
      <c r="B19" s="153" t="s">
        <v>57</v>
      </c>
      <c r="C19" s="153" t="s">
        <v>65</v>
      </c>
      <c r="D19" s="28" t="s">
        <v>658</v>
      </c>
      <c r="E19" s="59">
        <v>4</v>
      </c>
      <c r="F19" s="59">
        <v>0</v>
      </c>
      <c r="G19" s="90">
        <v>45931</v>
      </c>
      <c r="H19" s="90" t="s">
        <v>762</v>
      </c>
      <c r="I19" s="93" t="s">
        <v>930</v>
      </c>
      <c r="J19" s="96" t="s">
        <v>803</v>
      </c>
      <c r="K19" s="96" t="s">
        <v>661</v>
      </c>
      <c r="L19" s="69"/>
      <c r="M19" s="69" t="s">
        <v>804</v>
      </c>
      <c r="N19" s="39">
        <v>2</v>
      </c>
      <c r="O19" s="141" t="s">
        <v>150</v>
      </c>
      <c r="P19" s="141" t="s">
        <v>805</v>
      </c>
      <c r="Q19" s="141"/>
      <c r="R19" s="141"/>
      <c r="S19" s="141"/>
      <c r="T19" s="29">
        <v>0</v>
      </c>
      <c r="U19" s="145">
        <v>0</v>
      </c>
      <c r="V19" s="145">
        <v>0</v>
      </c>
      <c r="W19" s="145">
        <v>0</v>
      </c>
      <c r="X19" s="145">
        <v>0</v>
      </c>
      <c r="Y19" s="145">
        <v>0</v>
      </c>
      <c r="Z19" s="145">
        <v>0</v>
      </c>
      <c r="AA19" s="142">
        <f t="shared" si="0"/>
        <v>0</v>
      </c>
      <c r="AB19" s="141"/>
      <c r="AC19" s="67"/>
      <c r="AD19" s="67"/>
      <c r="AE19" s="24"/>
      <c r="AF19" s="24"/>
      <c r="AG19" s="24"/>
    </row>
    <row r="20" spans="1:33" ht="63.75">
      <c r="A20" s="153">
        <v>17</v>
      </c>
      <c r="B20" s="153" t="s">
        <v>57</v>
      </c>
      <c r="C20" s="153" t="s">
        <v>65</v>
      </c>
      <c r="D20" s="28" t="s">
        <v>624</v>
      </c>
      <c r="E20" s="59">
        <v>4</v>
      </c>
      <c r="F20" s="59">
        <v>4</v>
      </c>
      <c r="G20" s="90"/>
      <c r="H20" s="90">
        <v>45929</v>
      </c>
      <c r="I20" s="93" t="s">
        <v>931</v>
      </c>
      <c r="J20" s="96" t="s">
        <v>808</v>
      </c>
      <c r="K20" s="96" t="s">
        <v>932</v>
      </c>
      <c r="L20" s="69"/>
      <c r="M20" s="69"/>
      <c r="N20" s="39">
        <v>2</v>
      </c>
      <c r="O20" s="141" t="s">
        <v>123</v>
      </c>
      <c r="P20" s="141" t="s">
        <v>797</v>
      </c>
      <c r="Q20" s="141"/>
      <c r="R20" s="141"/>
      <c r="S20" s="141"/>
      <c r="T20" s="29">
        <v>0</v>
      </c>
      <c r="U20" s="145">
        <v>0</v>
      </c>
      <c r="V20" s="145">
        <v>0</v>
      </c>
      <c r="W20" s="145">
        <v>0</v>
      </c>
      <c r="X20" s="145">
        <v>0</v>
      </c>
      <c r="Y20" s="145">
        <v>0</v>
      </c>
      <c r="Z20" s="145">
        <v>0</v>
      </c>
      <c r="AA20" s="142">
        <f t="shared" si="0"/>
        <v>0</v>
      </c>
      <c r="AB20" s="141"/>
      <c r="AC20" s="67"/>
      <c r="AD20" s="67"/>
      <c r="AE20" s="24"/>
      <c r="AF20" s="24"/>
      <c r="AG20" s="24"/>
    </row>
    <row r="21" spans="1:33" ht="61.5">
      <c r="A21" s="153">
        <v>18</v>
      </c>
      <c r="B21" s="153" t="s">
        <v>57</v>
      </c>
      <c r="C21" s="153" t="s">
        <v>65</v>
      </c>
      <c r="D21" s="28" t="s">
        <v>620</v>
      </c>
      <c r="E21" s="59">
        <v>4</v>
      </c>
      <c r="F21" s="59">
        <v>4</v>
      </c>
      <c r="G21" s="90"/>
      <c r="H21" s="90">
        <v>45929</v>
      </c>
      <c r="I21" s="93" t="s">
        <v>810</v>
      </c>
      <c r="J21" s="96"/>
      <c r="K21" s="96" t="s">
        <v>623</v>
      </c>
      <c r="L21" s="69"/>
      <c r="M21" s="69"/>
      <c r="N21" s="39">
        <v>1</v>
      </c>
      <c r="O21" s="141" t="s">
        <v>123</v>
      </c>
      <c r="P21" s="141" t="s">
        <v>811</v>
      </c>
      <c r="Q21" s="141"/>
      <c r="R21" s="141"/>
      <c r="S21" s="141"/>
      <c r="T21" s="29">
        <v>0</v>
      </c>
      <c r="U21" s="145">
        <v>0</v>
      </c>
      <c r="V21" s="145">
        <v>0</v>
      </c>
      <c r="W21" s="145">
        <v>0</v>
      </c>
      <c r="X21" s="145">
        <v>0</v>
      </c>
      <c r="Y21" s="145">
        <v>0</v>
      </c>
      <c r="Z21" s="145">
        <v>0</v>
      </c>
      <c r="AA21" s="142">
        <f t="shared" si="0"/>
        <v>0</v>
      </c>
      <c r="AB21" s="141"/>
      <c r="AC21" s="67"/>
      <c r="AD21" s="67"/>
      <c r="AE21" s="24"/>
      <c r="AF21" s="24"/>
      <c r="AG21" s="24"/>
    </row>
    <row r="22" spans="1:33" ht="61.5">
      <c r="A22" s="153">
        <v>19</v>
      </c>
      <c r="B22" s="153" t="s">
        <v>57</v>
      </c>
      <c r="C22" s="153" t="s">
        <v>65</v>
      </c>
      <c r="D22" s="28" t="s">
        <v>665</v>
      </c>
      <c r="E22" s="59">
        <v>4</v>
      </c>
      <c r="F22" s="59">
        <v>4</v>
      </c>
      <c r="G22" s="90">
        <v>45930</v>
      </c>
      <c r="H22" s="90">
        <v>45930</v>
      </c>
      <c r="I22" s="93" t="s">
        <v>813</v>
      </c>
      <c r="J22" s="96"/>
      <c r="K22" s="96"/>
      <c r="L22" s="69"/>
      <c r="M22" s="69"/>
      <c r="N22" s="39">
        <v>1</v>
      </c>
      <c r="O22" s="141" t="s">
        <v>123</v>
      </c>
      <c r="P22" s="141" t="s">
        <v>797</v>
      </c>
      <c r="Q22" s="141"/>
      <c r="R22" s="141"/>
      <c r="S22" s="141"/>
      <c r="T22" s="29">
        <v>0</v>
      </c>
      <c r="U22" s="145">
        <v>0</v>
      </c>
      <c r="V22" s="145">
        <v>0</v>
      </c>
      <c r="W22" s="145">
        <v>0</v>
      </c>
      <c r="X22" s="145">
        <v>0</v>
      </c>
      <c r="Y22" s="145">
        <v>0</v>
      </c>
      <c r="Z22" s="145">
        <v>0</v>
      </c>
      <c r="AA22" s="142">
        <f t="shared" si="0"/>
        <v>0</v>
      </c>
      <c r="AB22" s="141"/>
      <c r="AC22" s="67"/>
      <c r="AD22" s="67"/>
      <c r="AE22" s="24"/>
      <c r="AF22" s="24"/>
      <c r="AG22" s="24"/>
    </row>
    <row r="23" spans="1:33" ht="63.75">
      <c r="A23" s="153">
        <v>20</v>
      </c>
      <c r="B23" s="153" t="s">
        <v>57</v>
      </c>
      <c r="C23" s="153" t="s">
        <v>65</v>
      </c>
      <c r="D23" s="28" t="s">
        <v>690</v>
      </c>
      <c r="E23" s="59">
        <v>4</v>
      </c>
      <c r="F23" s="59">
        <v>4</v>
      </c>
      <c r="G23" s="90"/>
      <c r="H23" s="90">
        <v>45936</v>
      </c>
      <c r="I23" s="93" t="s">
        <v>815</v>
      </c>
      <c r="J23" s="96" t="s">
        <v>692</v>
      </c>
      <c r="K23" s="96" t="s">
        <v>933</v>
      </c>
      <c r="L23" s="69"/>
      <c r="M23" s="69"/>
      <c r="N23" s="39">
        <v>3</v>
      </c>
      <c r="O23" s="141" t="s">
        <v>123</v>
      </c>
      <c r="P23" s="141" t="s">
        <v>816</v>
      </c>
      <c r="Q23" s="141"/>
      <c r="R23" s="141"/>
      <c r="S23" s="141"/>
      <c r="T23" s="29">
        <v>0</v>
      </c>
      <c r="U23" s="145">
        <v>0</v>
      </c>
      <c r="V23" s="145">
        <v>0</v>
      </c>
      <c r="W23" s="145">
        <v>0</v>
      </c>
      <c r="X23" s="145">
        <v>0</v>
      </c>
      <c r="Y23" s="145">
        <v>0</v>
      </c>
      <c r="Z23" s="145">
        <v>0</v>
      </c>
      <c r="AA23" s="142">
        <f t="shared" si="0"/>
        <v>0</v>
      </c>
      <c r="AB23" s="141"/>
      <c r="AC23" s="67"/>
      <c r="AD23" s="67"/>
      <c r="AE23" s="24"/>
      <c r="AF23" s="24"/>
      <c r="AG23" s="24"/>
    </row>
    <row r="24" spans="1:33" ht="61.5">
      <c r="A24" s="153">
        <v>21</v>
      </c>
      <c r="B24" s="153" t="s">
        <v>57</v>
      </c>
      <c r="C24" s="153" t="s">
        <v>65</v>
      </c>
      <c r="D24" s="28" t="s">
        <v>646</v>
      </c>
      <c r="E24" s="59"/>
      <c r="F24" s="59"/>
      <c r="G24" s="90"/>
      <c r="H24" s="90"/>
      <c r="I24" s="93"/>
      <c r="J24" s="96"/>
      <c r="K24" s="96" t="s">
        <v>647</v>
      </c>
      <c r="L24" s="69"/>
      <c r="M24" s="69"/>
      <c r="N24" s="39">
        <v>3</v>
      </c>
      <c r="O24" s="141" t="s">
        <v>409</v>
      </c>
      <c r="P24" s="141" t="s">
        <v>805</v>
      </c>
      <c r="Q24" s="141"/>
      <c r="R24" s="141"/>
      <c r="S24" s="141"/>
      <c r="T24" s="29">
        <v>0</v>
      </c>
      <c r="U24" s="145">
        <v>0</v>
      </c>
      <c r="V24" s="145">
        <v>0</v>
      </c>
      <c r="W24" s="145">
        <v>0</v>
      </c>
      <c r="X24" s="145">
        <v>0</v>
      </c>
      <c r="Y24" s="145">
        <v>0</v>
      </c>
      <c r="Z24" s="145">
        <v>0</v>
      </c>
      <c r="AA24" s="142">
        <f t="shared" si="0"/>
        <v>0</v>
      </c>
      <c r="AB24" s="141"/>
      <c r="AC24" s="67"/>
      <c r="AD24" s="67"/>
      <c r="AE24" s="24"/>
      <c r="AF24" s="24"/>
      <c r="AG24" s="24"/>
    </row>
    <row r="25" spans="1:33" ht="76.5">
      <c r="A25" s="153">
        <v>22</v>
      </c>
      <c r="B25" s="153" t="s">
        <v>57</v>
      </c>
      <c r="C25" s="153" t="s">
        <v>65</v>
      </c>
      <c r="D25" s="28" t="s">
        <v>125</v>
      </c>
      <c r="E25" s="59">
        <v>0</v>
      </c>
      <c r="F25" s="59">
        <v>2</v>
      </c>
      <c r="G25" s="90"/>
      <c r="H25" s="90"/>
      <c r="I25" s="93"/>
      <c r="J25" s="96" t="s">
        <v>637</v>
      </c>
      <c r="K25" s="96"/>
      <c r="L25" s="69"/>
      <c r="M25" s="69"/>
      <c r="N25" s="39">
        <v>3</v>
      </c>
      <c r="O25" s="141" t="s">
        <v>123</v>
      </c>
      <c r="P25" s="141" t="s">
        <v>797</v>
      </c>
      <c r="Q25" s="141"/>
      <c r="R25" s="141"/>
      <c r="S25" s="141"/>
      <c r="T25" s="29">
        <v>0</v>
      </c>
      <c r="U25" s="145">
        <v>0</v>
      </c>
      <c r="V25" s="145">
        <v>0</v>
      </c>
      <c r="W25" s="145">
        <v>0</v>
      </c>
      <c r="X25" s="145">
        <v>0</v>
      </c>
      <c r="Y25" s="145">
        <v>0</v>
      </c>
      <c r="Z25" s="145">
        <v>0</v>
      </c>
      <c r="AA25" s="142">
        <f t="shared" si="0"/>
        <v>0</v>
      </c>
      <c r="AB25" s="141"/>
      <c r="AC25" s="67"/>
      <c r="AD25" s="67"/>
      <c r="AE25" s="24"/>
      <c r="AF25" s="24"/>
      <c r="AG25" s="24"/>
    </row>
    <row r="26" spans="1:33" ht="61.5">
      <c r="A26" s="153">
        <v>23</v>
      </c>
      <c r="B26" s="153" t="s">
        <v>57</v>
      </c>
      <c r="C26" s="153" t="s">
        <v>65</v>
      </c>
      <c r="D26" s="28" t="s">
        <v>143</v>
      </c>
      <c r="E26" s="59"/>
      <c r="F26" s="59"/>
      <c r="G26" s="90"/>
      <c r="H26" s="90"/>
      <c r="I26" s="93"/>
      <c r="J26" s="96"/>
      <c r="K26" s="96"/>
      <c r="L26" s="69"/>
      <c r="M26" s="69" t="s">
        <v>820</v>
      </c>
      <c r="N26" s="39">
        <v>1</v>
      </c>
      <c r="O26" s="141" t="s">
        <v>794</v>
      </c>
      <c r="P26" s="141" t="s">
        <v>765</v>
      </c>
      <c r="Q26" s="141"/>
      <c r="R26" s="21"/>
      <c r="S26" s="141"/>
      <c r="T26" s="29">
        <v>0</v>
      </c>
      <c r="U26" s="145">
        <v>0</v>
      </c>
      <c r="V26" s="145">
        <v>0</v>
      </c>
      <c r="W26" s="145">
        <v>0</v>
      </c>
      <c r="X26" s="145">
        <v>0</v>
      </c>
      <c r="Y26" s="145">
        <v>0</v>
      </c>
      <c r="Z26" s="145">
        <v>0</v>
      </c>
      <c r="AA26" s="142">
        <f t="shared" si="0"/>
        <v>0</v>
      </c>
      <c r="AB26" s="141"/>
      <c r="AC26" s="67"/>
      <c r="AD26" s="67"/>
      <c r="AE26" s="24"/>
      <c r="AF26" s="24"/>
      <c r="AG26" s="24"/>
    </row>
    <row r="27" spans="1:33" ht="114.75">
      <c r="A27" s="153">
        <v>24</v>
      </c>
      <c r="B27" s="153" t="s">
        <v>57</v>
      </c>
      <c r="C27" s="153" t="s">
        <v>65</v>
      </c>
      <c r="D27" s="28" t="s">
        <v>655</v>
      </c>
      <c r="E27" s="59"/>
      <c r="F27" s="59"/>
      <c r="G27" s="90">
        <v>45933</v>
      </c>
      <c r="H27" s="90" t="s">
        <v>762</v>
      </c>
      <c r="I27" s="93" t="s">
        <v>934</v>
      </c>
      <c r="J27" s="96" t="s">
        <v>823</v>
      </c>
      <c r="K27" s="96"/>
      <c r="L27" s="69"/>
      <c r="M27" s="69" t="s">
        <v>824</v>
      </c>
      <c r="N27" s="39">
        <v>2</v>
      </c>
      <c r="O27" s="141" t="s">
        <v>123</v>
      </c>
      <c r="P27" s="141" t="s">
        <v>811</v>
      </c>
      <c r="Q27" s="141"/>
      <c r="R27" s="141"/>
      <c r="S27" s="141"/>
      <c r="T27" s="29">
        <v>0</v>
      </c>
      <c r="U27" s="145">
        <v>0</v>
      </c>
      <c r="V27" s="145">
        <v>0</v>
      </c>
      <c r="W27" s="145">
        <v>0</v>
      </c>
      <c r="X27" s="145">
        <v>0</v>
      </c>
      <c r="Y27" s="145">
        <v>0</v>
      </c>
      <c r="Z27" s="145">
        <v>0</v>
      </c>
      <c r="AA27" s="142">
        <f t="shared" si="0"/>
        <v>0</v>
      </c>
      <c r="AB27" s="141"/>
      <c r="AC27" s="67"/>
      <c r="AD27" s="67"/>
      <c r="AE27" s="24"/>
      <c r="AF27" s="24"/>
      <c r="AG27" s="24"/>
    </row>
    <row r="28" spans="1:33" ht="105">
      <c r="A28" s="153">
        <v>25</v>
      </c>
      <c r="B28" s="153" t="s">
        <v>57</v>
      </c>
      <c r="C28" s="153" t="s">
        <v>65</v>
      </c>
      <c r="D28" s="28" t="s">
        <v>650</v>
      </c>
      <c r="E28" s="59">
        <v>4</v>
      </c>
      <c r="F28" s="59">
        <v>3</v>
      </c>
      <c r="G28" s="90"/>
      <c r="H28" s="90">
        <v>45930</v>
      </c>
      <c r="I28" s="93" t="s">
        <v>826</v>
      </c>
      <c r="J28" s="96"/>
      <c r="K28" s="96" t="s">
        <v>935</v>
      </c>
      <c r="L28" s="69"/>
      <c r="M28" s="69" t="s">
        <v>827</v>
      </c>
      <c r="N28" s="39">
        <v>3</v>
      </c>
      <c r="O28" s="141" t="s">
        <v>150</v>
      </c>
      <c r="P28" s="141" t="s">
        <v>797</v>
      </c>
      <c r="Q28" s="141"/>
      <c r="R28" s="21"/>
      <c r="S28" s="141"/>
      <c r="T28" s="29">
        <v>0</v>
      </c>
      <c r="U28" s="145">
        <v>0</v>
      </c>
      <c r="V28" s="145">
        <v>0</v>
      </c>
      <c r="W28" s="145">
        <v>0</v>
      </c>
      <c r="X28" s="145">
        <v>0</v>
      </c>
      <c r="Y28" s="145">
        <v>0</v>
      </c>
      <c r="Z28" s="145">
        <v>0</v>
      </c>
      <c r="AA28" s="142">
        <f t="shared" si="0"/>
        <v>0</v>
      </c>
      <c r="AB28" s="141"/>
      <c r="AC28" s="67"/>
      <c r="AD28" s="67"/>
      <c r="AE28" s="24"/>
      <c r="AF28" s="24"/>
      <c r="AG28" s="24"/>
    </row>
    <row r="29" spans="1:33" ht="61.5">
      <c r="A29" s="153">
        <v>26</v>
      </c>
      <c r="B29" s="153" t="s">
        <v>57</v>
      </c>
      <c r="C29" s="153" t="s">
        <v>65</v>
      </c>
      <c r="D29" s="28" t="s">
        <v>176</v>
      </c>
      <c r="E29" s="59"/>
      <c r="F29" s="59"/>
      <c r="G29" s="90"/>
      <c r="H29" s="90"/>
      <c r="I29" s="93"/>
      <c r="J29" s="96"/>
      <c r="K29" s="96"/>
      <c r="L29" s="69"/>
      <c r="M29" s="69" t="s">
        <v>829</v>
      </c>
      <c r="N29" s="39">
        <v>1</v>
      </c>
      <c r="O29" s="141" t="s">
        <v>794</v>
      </c>
      <c r="P29" s="141" t="s">
        <v>797</v>
      </c>
      <c r="Q29" s="141"/>
      <c r="R29" s="141"/>
      <c r="S29" s="141"/>
      <c r="T29" s="29">
        <v>0</v>
      </c>
      <c r="U29" s="145">
        <v>0</v>
      </c>
      <c r="V29" s="145">
        <v>0</v>
      </c>
      <c r="W29" s="145">
        <v>0</v>
      </c>
      <c r="X29" s="145">
        <v>0</v>
      </c>
      <c r="Y29" s="145">
        <v>0</v>
      </c>
      <c r="Z29" s="145">
        <v>0</v>
      </c>
      <c r="AA29" s="142">
        <f t="shared" si="0"/>
        <v>0</v>
      </c>
      <c r="AB29" s="141"/>
      <c r="AC29" s="67"/>
      <c r="AD29" s="67"/>
      <c r="AE29" s="24"/>
      <c r="AF29" s="24"/>
      <c r="AG29" s="24"/>
    </row>
    <row r="30" spans="1:33" ht="61.5">
      <c r="A30" s="153">
        <v>27</v>
      </c>
      <c r="B30" s="153" t="s">
        <v>57</v>
      </c>
      <c r="C30" s="153" t="s">
        <v>65</v>
      </c>
      <c r="D30" s="28" t="s">
        <v>688</v>
      </c>
      <c r="E30" s="59"/>
      <c r="F30" s="59"/>
      <c r="G30" s="90">
        <v>45870</v>
      </c>
      <c r="H30" s="90">
        <v>45936</v>
      </c>
      <c r="I30" s="93" t="s">
        <v>831</v>
      </c>
      <c r="J30" s="96"/>
      <c r="K30" s="96"/>
      <c r="L30" s="69"/>
      <c r="M30" s="69" t="s">
        <v>832</v>
      </c>
      <c r="N30" s="39">
        <v>1</v>
      </c>
      <c r="O30" s="141" t="s">
        <v>123</v>
      </c>
      <c r="P30" s="141" t="s">
        <v>805</v>
      </c>
      <c r="Q30" s="141"/>
      <c r="R30" s="141"/>
      <c r="S30" s="141"/>
      <c r="T30" s="29">
        <v>0</v>
      </c>
      <c r="U30" s="145">
        <v>0</v>
      </c>
      <c r="V30" s="145">
        <v>0</v>
      </c>
      <c r="W30" s="145">
        <v>0</v>
      </c>
      <c r="X30" s="145">
        <v>0</v>
      </c>
      <c r="Y30" s="145">
        <v>0</v>
      </c>
      <c r="Z30" s="145">
        <v>0</v>
      </c>
      <c r="AA30" s="142">
        <f t="shared" si="0"/>
        <v>0</v>
      </c>
      <c r="AB30" s="141"/>
      <c r="AC30" s="67"/>
      <c r="AD30" s="67"/>
      <c r="AE30" s="24"/>
      <c r="AF30" s="24"/>
      <c r="AG30" s="24"/>
    </row>
    <row r="31" spans="1:33" ht="61.5">
      <c r="A31" s="153">
        <v>28</v>
      </c>
      <c r="B31" s="153" t="s">
        <v>57</v>
      </c>
      <c r="C31" s="153" t="s">
        <v>65</v>
      </c>
      <c r="D31" s="28" t="s">
        <v>696</v>
      </c>
      <c r="E31" s="59"/>
      <c r="F31" s="59"/>
      <c r="G31" s="90"/>
      <c r="H31" s="90"/>
      <c r="I31" s="93"/>
      <c r="J31" s="96"/>
      <c r="K31" s="96"/>
      <c r="L31" s="69"/>
      <c r="M31" s="69" t="s">
        <v>834</v>
      </c>
      <c r="N31" s="39">
        <v>2</v>
      </c>
      <c r="O31" s="141" t="s">
        <v>835</v>
      </c>
      <c r="P31" s="141" t="s">
        <v>811</v>
      </c>
      <c r="Q31" s="141"/>
      <c r="R31" s="141"/>
      <c r="S31" s="141"/>
      <c r="T31" s="29">
        <v>0</v>
      </c>
      <c r="U31" s="145">
        <v>0</v>
      </c>
      <c r="V31" s="145">
        <v>0</v>
      </c>
      <c r="W31" s="145">
        <v>0</v>
      </c>
      <c r="X31" s="145">
        <v>0</v>
      </c>
      <c r="Y31" s="145">
        <v>0</v>
      </c>
      <c r="Z31" s="145">
        <v>0</v>
      </c>
      <c r="AA31" s="142">
        <f t="shared" si="0"/>
        <v>0</v>
      </c>
      <c r="AB31" s="141"/>
      <c r="AC31" s="67"/>
      <c r="AD31" s="67"/>
      <c r="AE31" s="24"/>
      <c r="AF31" s="24"/>
      <c r="AG31" s="24"/>
    </row>
    <row r="32" spans="1:33" ht="61.5">
      <c r="A32" s="153">
        <v>29</v>
      </c>
      <c r="B32" s="153" t="s">
        <v>57</v>
      </c>
      <c r="C32" s="153" t="s">
        <v>65</v>
      </c>
      <c r="D32" s="28" t="s">
        <v>671</v>
      </c>
      <c r="E32" s="59">
        <v>2.5</v>
      </c>
      <c r="F32" s="59">
        <v>2.5</v>
      </c>
      <c r="G32" s="90"/>
      <c r="H32" s="90"/>
      <c r="I32" s="93"/>
      <c r="J32" s="96" t="s">
        <v>673</v>
      </c>
      <c r="K32" s="96"/>
      <c r="L32" s="69"/>
      <c r="M32" s="69" t="s">
        <v>837</v>
      </c>
      <c r="N32" s="39">
        <v>2</v>
      </c>
      <c r="O32" s="141" t="s">
        <v>753</v>
      </c>
      <c r="P32" s="141" t="s">
        <v>805</v>
      </c>
      <c r="Q32" s="141"/>
      <c r="R32" s="141"/>
      <c r="S32" s="141"/>
      <c r="T32" s="29">
        <v>0</v>
      </c>
      <c r="U32" s="145">
        <v>0</v>
      </c>
      <c r="V32" s="145">
        <v>0</v>
      </c>
      <c r="W32" s="145">
        <v>0</v>
      </c>
      <c r="X32" s="145">
        <v>0</v>
      </c>
      <c r="Y32" s="145">
        <v>0</v>
      </c>
      <c r="Z32" s="145">
        <v>0</v>
      </c>
      <c r="AA32" s="142">
        <f t="shared" si="0"/>
        <v>0</v>
      </c>
      <c r="AB32" s="141"/>
      <c r="AC32" s="67"/>
      <c r="AD32" s="67"/>
      <c r="AE32" s="24"/>
      <c r="AF32" s="24"/>
      <c r="AG32" s="24"/>
    </row>
    <row r="33" spans="1:33" ht="63.75">
      <c r="A33" s="153">
        <v>30</v>
      </c>
      <c r="B33" s="153" t="s">
        <v>57</v>
      </c>
      <c r="C33" s="153" t="s">
        <v>65</v>
      </c>
      <c r="D33" s="28" t="s">
        <v>667</v>
      </c>
      <c r="E33" s="59">
        <v>4</v>
      </c>
      <c r="F33" s="59">
        <v>4</v>
      </c>
      <c r="G33" s="90">
        <v>45910</v>
      </c>
      <c r="H33" s="90">
        <v>45945</v>
      </c>
      <c r="I33" s="93"/>
      <c r="J33" s="93" t="s">
        <v>669</v>
      </c>
      <c r="K33" s="96"/>
      <c r="L33" s="69"/>
      <c r="M33" s="69" t="s">
        <v>839</v>
      </c>
      <c r="N33" s="39">
        <v>2</v>
      </c>
      <c r="O33" s="141" t="s">
        <v>123</v>
      </c>
      <c r="P33" s="141" t="s">
        <v>797</v>
      </c>
      <c r="Q33" s="141"/>
      <c r="R33" s="141"/>
      <c r="S33" s="141"/>
      <c r="T33" s="29">
        <v>0</v>
      </c>
      <c r="U33" s="145">
        <v>0</v>
      </c>
      <c r="V33" s="145">
        <v>0</v>
      </c>
      <c r="W33" s="145">
        <v>0</v>
      </c>
      <c r="X33" s="145">
        <v>0</v>
      </c>
      <c r="Y33" s="145">
        <v>0</v>
      </c>
      <c r="Z33" s="145">
        <v>0</v>
      </c>
      <c r="AA33" s="142">
        <f t="shared" si="0"/>
        <v>0</v>
      </c>
      <c r="AB33" s="141"/>
      <c r="AC33" s="67"/>
      <c r="AD33" s="67"/>
      <c r="AE33" s="24"/>
      <c r="AF33" s="24"/>
      <c r="AG33" s="24"/>
    </row>
    <row r="34" spans="1:33" ht="61.5">
      <c r="A34" s="153">
        <v>31</v>
      </c>
      <c r="B34" s="153" t="s">
        <v>57</v>
      </c>
      <c r="C34" s="153" t="s">
        <v>65</v>
      </c>
      <c r="D34" s="28" t="s">
        <v>605</v>
      </c>
      <c r="E34" s="59"/>
      <c r="F34" s="59"/>
      <c r="G34" s="90"/>
      <c r="H34" s="90">
        <v>45946</v>
      </c>
      <c r="I34" s="93" t="s">
        <v>841</v>
      </c>
      <c r="J34" s="96"/>
      <c r="K34" s="96"/>
      <c r="L34" s="69"/>
      <c r="M34" s="69" t="s">
        <v>842</v>
      </c>
      <c r="N34" s="39">
        <v>2</v>
      </c>
      <c r="O34" s="141" t="s">
        <v>123</v>
      </c>
      <c r="P34" s="141" t="s">
        <v>811</v>
      </c>
      <c r="Q34" s="141"/>
      <c r="R34" s="21"/>
      <c r="S34" s="141"/>
      <c r="T34" s="29">
        <v>0</v>
      </c>
      <c r="U34" s="145">
        <v>0</v>
      </c>
      <c r="V34" s="145">
        <v>0</v>
      </c>
      <c r="W34" s="145">
        <v>0</v>
      </c>
      <c r="X34" s="145">
        <v>0</v>
      </c>
      <c r="Y34" s="145">
        <v>0</v>
      </c>
      <c r="Z34" s="145">
        <v>0</v>
      </c>
      <c r="AA34" s="142">
        <f t="shared" si="0"/>
        <v>0</v>
      </c>
      <c r="AB34" s="141"/>
      <c r="AC34" s="67"/>
      <c r="AD34" s="67"/>
      <c r="AE34" s="24"/>
      <c r="AF34" s="24"/>
      <c r="AG34" s="24"/>
    </row>
    <row r="35" spans="1:33" ht="75">
      <c r="A35" s="153">
        <v>32</v>
      </c>
      <c r="B35" s="153" t="s">
        <v>57</v>
      </c>
      <c r="C35" s="153" t="s">
        <v>63</v>
      </c>
      <c r="D35" s="28" t="s">
        <v>152</v>
      </c>
      <c r="E35" s="59">
        <v>2</v>
      </c>
      <c r="F35" s="59">
        <v>4</v>
      </c>
      <c r="G35" s="90">
        <v>45922</v>
      </c>
      <c r="H35" s="90">
        <v>45925</v>
      </c>
      <c r="I35" s="93" t="s">
        <v>686</v>
      </c>
      <c r="J35" s="96" t="s">
        <v>687</v>
      </c>
      <c r="K35" s="96" t="s">
        <v>844</v>
      </c>
      <c r="L35" s="69"/>
      <c r="M35" s="69" t="s">
        <v>845</v>
      </c>
      <c r="N35" s="39">
        <v>3</v>
      </c>
      <c r="O35" s="141" t="s">
        <v>753</v>
      </c>
      <c r="P35" s="141" t="s">
        <v>210</v>
      </c>
      <c r="Q35" s="141"/>
      <c r="R35" s="141"/>
      <c r="S35" s="141"/>
      <c r="T35" s="29">
        <v>0</v>
      </c>
      <c r="U35" s="145">
        <v>0</v>
      </c>
      <c r="V35" s="145">
        <v>0</v>
      </c>
      <c r="W35" s="145">
        <v>0</v>
      </c>
      <c r="X35" s="145">
        <v>0</v>
      </c>
      <c r="Y35" s="145">
        <v>0</v>
      </c>
      <c r="Z35" s="145">
        <v>0</v>
      </c>
      <c r="AA35" s="142">
        <f t="shared" si="0"/>
        <v>0</v>
      </c>
      <c r="AB35" s="141"/>
      <c r="AC35" s="67"/>
      <c r="AD35" s="67"/>
      <c r="AE35" s="24"/>
      <c r="AF35" s="24"/>
      <c r="AG35" s="24"/>
    </row>
    <row r="36" spans="1:33" ht="187.5" customHeight="1">
      <c r="A36" s="153">
        <v>33</v>
      </c>
      <c r="B36" s="153" t="s">
        <v>57</v>
      </c>
      <c r="C36" s="153" t="s">
        <v>63</v>
      </c>
      <c r="D36" s="28" t="s">
        <v>674</v>
      </c>
      <c r="E36" s="59">
        <v>4</v>
      </c>
      <c r="F36" s="59">
        <v>4</v>
      </c>
      <c r="G36" s="90" t="s">
        <v>936</v>
      </c>
      <c r="H36" s="90" t="s">
        <v>937</v>
      </c>
      <c r="I36" s="93" t="s">
        <v>938</v>
      </c>
      <c r="J36" s="93" t="s">
        <v>939</v>
      </c>
      <c r="K36" s="96"/>
      <c r="L36" s="69"/>
      <c r="M36" s="69"/>
      <c r="N36" s="39">
        <v>3</v>
      </c>
      <c r="O36" s="141" t="s">
        <v>150</v>
      </c>
      <c r="P36" s="141" t="s">
        <v>805</v>
      </c>
      <c r="Q36" s="141"/>
      <c r="R36" s="21"/>
      <c r="S36" s="141"/>
      <c r="T36" s="29">
        <v>0</v>
      </c>
      <c r="U36" s="145">
        <v>0</v>
      </c>
      <c r="V36" s="145">
        <v>0</v>
      </c>
      <c r="W36" s="145">
        <v>0</v>
      </c>
      <c r="X36" s="145">
        <v>0</v>
      </c>
      <c r="Y36" s="145">
        <v>0</v>
      </c>
      <c r="Z36" s="145">
        <v>0</v>
      </c>
      <c r="AA36" s="142">
        <f t="shared" ref="AA36:AA67" si="1">AVERAGE(T36:Z36)</f>
        <v>0</v>
      </c>
      <c r="AB36" s="141"/>
      <c r="AC36" s="67"/>
      <c r="AD36" s="67"/>
      <c r="AE36" s="24"/>
      <c r="AF36" s="24"/>
      <c r="AG36" s="24"/>
    </row>
    <row r="37" spans="1:33" ht="89.25">
      <c r="A37" s="153">
        <v>34</v>
      </c>
      <c r="B37" s="153" t="s">
        <v>57</v>
      </c>
      <c r="C37" s="153" t="s">
        <v>63</v>
      </c>
      <c r="D37" s="28" t="s">
        <v>154</v>
      </c>
      <c r="E37" s="59">
        <v>5</v>
      </c>
      <c r="F37" s="59">
        <v>5</v>
      </c>
      <c r="G37" s="90">
        <v>45917</v>
      </c>
      <c r="H37" s="90">
        <v>45929</v>
      </c>
      <c r="I37" s="93" t="s">
        <v>640</v>
      </c>
      <c r="J37" s="96" t="s">
        <v>850</v>
      </c>
      <c r="K37" s="96" t="s">
        <v>940</v>
      </c>
      <c r="L37" s="69"/>
      <c r="M37" s="69" t="s">
        <v>851</v>
      </c>
      <c r="N37" s="39">
        <v>1</v>
      </c>
      <c r="O37" s="141" t="s">
        <v>150</v>
      </c>
      <c r="P37" s="141" t="s">
        <v>765</v>
      </c>
      <c r="Q37" s="141"/>
      <c r="R37" s="141"/>
      <c r="S37" s="141"/>
      <c r="T37" s="29">
        <v>0</v>
      </c>
      <c r="U37" s="145">
        <v>0</v>
      </c>
      <c r="V37" s="145">
        <v>0</v>
      </c>
      <c r="W37" s="145">
        <v>0</v>
      </c>
      <c r="X37" s="145">
        <v>0</v>
      </c>
      <c r="Y37" s="145">
        <v>0</v>
      </c>
      <c r="Z37" s="145">
        <v>0</v>
      </c>
      <c r="AA37" s="142">
        <f t="shared" si="1"/>
        <v>0</v>
      </c>
      <c r="AB37" s="141"/>
      <c r="AC37" s="67"/>
      <c r="AD37" s="67"/>
      <c r="AE37" s="24"/>
      <c r="AF37" s="24"/>
      <c r="AG37" s="24"/>
    </row>
    <row r="38" spans="1:33" ht="61.5">
      <c r="A38" s="153">
        <v>35</v>
      </c>
      <c r="B38" s="153" t="s">
        <v>57</v>
      </c>
      <c r="C38" s="153" t="s">
        <v>63</v>
      </c>
      <c r="D38" s="28" t="s">
        <v>141</v>
      </c>
      <c r="E38" s="59">
        <v>0</v>
      </c>
      <c r="F38" s="59">
        <v>0</v>
      </c>
      <c r="G38" s="90">
        <v>45902</v>
      </c>
      <c r="H38" s="90">
        <v>45925</v>
      </c>
      <c r="I38" s="93"/>
      <c r="J38" s="96" t="s">
        <v>853</v>
      </c>
      <c r="K38" s="96"/>
      <c r="L38" s="69"/>
      <c r="M38" s="69"/>
      <c r="N38" s="39">
        <v>1</v>
      </c>
      <c r="O38" s="141" t="s">
        <v>150</v>
      </c>
      <c r="P38" s="141" t="s">
        <v>210</v>
      </c>
      <c r="Q38" s="141"/>
      <c r="R38" s="141"/>
      <c r="S38" s="141"/>
      <c r="T38" s="29">
        <v>0</v>
      </c>
      <c r="U38" s="145">
        <v>0</v>
      </c>
      <c r="V38" s="145">
        <v>0</v>
      </c>
      <c r="W38" s="145">
        <v>0</v>
      </c>
      <c r="X38" s="145">
        <v>0</v>
      </c>
      <c r="Y38" s="145">
        <v>0</v>
      </c>
      <c r="Z38" s="145">
        <v>0</v>
      </c>
      <c r="AA38" s="142">
        <f t="shared" si="1"/>
        <v>0</v>
      </c>
      <c r="AB38" s="141"/>
      <c r="AC38" s="67"/>
      <c r="AD38" s="67"/>
      <c r="AE38" s="24"/>
      <c r="AF38" s="24"/>
      <c r="AG38" s="24"/>
    </row>
    <row r="39" spans="1:33" ht="61.5">
      <c r="A39" s="153">
        <v>36</v>
      </c>
      <c r="B39" s="153" t="s">
        <v>57</v>
      </c>
      <c r="C39" s="153" t="s">
        <v>63</v>
      </c>
      <c r="D39" s="28" t="s">
        <v>608</v>
      </c>
      <c r="E39" s="59">
        <v>2</v>
      </c>
      <c r="F39" s="59">
        <v>5</v>
      </c>
      <c r="G39" s="90">
        <v>45924</v>
      </c>
      <c r="H39" s="90">
        <v>45937</v>
      </c>
      <c r="I39" s="93" t="s">
        <v>609</v>
      </c>
      <c r="J39" s="96" t="s">
        <v>856</v>
      </c>
      <c r="K39" s="96"/>
      <c r="L39" s="69"/>
      <c r="M39" s="69"/>
      <c r="N39" s="39">
        <v>1</v>
      </c>
      <c r="O39" s="141" t="s">
        <v>150</v>
      </c>
      <c r="P39" s="141" t="s">
        <v>765</v>
      </c>
      <c r="Q39" s="141"/>
      <c r="R39" s="141"/>
      <c r="S39" s="141"/>
      <c r="T39" s="29">
        <v>0</v>
      </c>
      <c r="U39" s="145">
        <v>0</v>
      </c>
      <c r="V39" s="145">
        <v>0</v>
      </c>
      <c r="W39" s="145">
        <v>0</v>
      </c>
      <c r="X39" s="145">
        <v>0</v>
      </c>
      <c r="Y39" s="145">
        <v>0</v>
      </c>
      <c r="Z39" s="145">
        <v>0</v>
      </c>
      <c r="AA39" s="142">
        <f t="shared" si="1"/>
        <v>0</v>
      </c>
      <c r="AB39" s="141"/>
      <c r="AC39" s="67"/>
      <c r="AD39" s="67"/>
      <c r="AE39" s="24"/>
      <c r="AF39" s="24"/>
      <c r="AG39" s="24"/>
    </row>
    <row r="40" spans="1:33" ht="61.5">
      <c r="A40" s="153">
        <v>37</v>
      </c>
      <c r="B40" s="153" t="s">
        <v>57</v>
      </c>
      <c r="C40" s="153" t="s">
        <v>63</v>
      </c>
      <c r="D40" s="28" t="s">
        <v>683</v>
      </c>
      <c r="E40" s="59">
        <v>5</v>
      </c>
      <c r="F40" s="59">
        <v>5</v>
      </c>
      <c r="G40" s="90">
        <v>45922</v>
      </c>
      <c r="H40" s="90">
        <v>45931</v>
      </c>
      <c r="I40" s="93"/>
      <c r="J40" s="96"/>
      <c r="K40" s="96" t="s">
        <v>685</v>
      </c>
      <c r="L40" s="69"/>
      <c r="M40" s="69"/>
      <c r="N40" s="39">
        <v>1</v>
      </c>
      <c r="O40" s="141" t="s">
        <v>150</v>
      </c>
      <c r="P40" s="141" t="s">
        <v>765</v>
      </c>
      <c r="Q40" s="141"/>
      <c r="R40" s="141"/>
      <c r="S40" s="141"/>
      <c r="T40" s="29">
        <v>0</v>
      </c>
      <c r="U40" s="145">
        <v>0</v>
      </c>
      <c r="V40" s="145">
        <v>0</v>
      </c>
      <c r="W40" s="145">
        <v>0</v>
      </c>
      <c r="X40" s="145">
        <v>0</v>
      </c>
      <c r="Y40" s="145">
        <v>0</v>
      </c>
      <c r="Z40" s="145">
        <v>0</v>
      </c>
      <c r="AA40" s="142">
        <f t="shared" si="1"/>
        <v>0</v>
      </c>
      <c r="AB40" s="141"/>
      <c r="AC40" s="67"/>
      <c r="AD40" s="67"/>
      <c r="AE40" s="24"/>
      <c r="AF40" s="24"/>
      <c r="AG40" s="24"/>
    </row>
    <row r="41" spans="1:33" ht="90">
      <c r="A41" s="153">
        <v>38</v>
      </c>
      <c r="B41" s="153" t="s">
        <v>57</v>
      </c>
      <c r="C41" s="153" t="s">
        <v>63</v>
      </c>
      <c r="D41" s="28" t="s">
        <v>680</v>
      </c>
      <c r="E41" s="59">
        <v>5</v>
      </c>
      <c r="F41" s="59">
        <v>5</v>
      </c>
      <c r="G41" s="90">
        <v>45922</v>
      </c>
      <c r="H41" s="90">
        <v>45931</v>
      </c>
      <c r="I41" s="93"/>
      <c r="J41" s="95" t="s">
        <v>859</v>
      </c>
      <c r="K41" s="95" t="s">
        <v>941</v>
      </c>
      <c r="L41" s="69"/>
      <c r="M41" s="69"/>
      <c r="N41" s="39">
        <v>1</v>
      </c>
      <c r="O41" s="141" t="s">
        <v>150</v>
      </c>
      <c r="P41" s="141" t="s">
        <v>765</v>
      </c>
      <c r="Q41" s="141"/>
      <c r="R41" s="141"/>
      <c r="S41" s="141"/>
      <c r="T41" s="29">
        <v>0</v>
      </c>
      <c r="U41" s="145">
        <v>0</v>
      </c>
      <c r="V41" s="145">
        <v>0</v>
      </c>
      <c r="W41" s="145">
        <v>0</v>
      </c>
      <c r="X41" s="145">
        <v>0</v>
      </c>
      <c r="Y41" s="145">
        <v>0</v>
      </c>
      <c r="Z41" s="145">
        <v>0</v>
      </c>
      <c r="AA41" s="142">
        <f t="shared" si="1"/>
        <v>0</v>
      </c>
      <c r="AB41" s="141"/>
      <c r="AC41" s="67"/>
      <c r="AD41" s="67"/>
      <c r="AE41" s="24"/>
      <c r="AF41" s="24"/>
      <c r="AG41" s="24"/>
    </row>
    <row r="42" spans="1:33" ht="61.5">
      <c r="A42" s="153">
        <v>39</v>
      </c>
      <c r="B42" s="153" t="s">
        <v>57</v>
      </c>
      <c r="C42" s="153" t="s">
        <v>63</v>
      </c>
      <c r="D42" s="28" t="s">
        <v>705</v>
      </c>
      <c r="E42" s="59"/>
      <c r="F42" s="59"/>
      <c r="G42" s="90"/>
      <c r="H42" s="90"/>
      <c r="I42" s="93"/>
      <c r="J42" s="96"/>
      <c r="K42" s="96"/>
      <c r="L42" s="69"/>
      <c r="M42" s="69"/>
      <c r="N42" s="39">
        <v>2</v>
      </c>
      <c r="O42" s="141" t="s">
        <v>409</v>
      </c>
      <c r="P42" s="141" t="s">
        <v>861</v>
      </c>
      <c r="Q42" s="141"/>
      <c r="R42" s="141"/>
      <c r="S42" s="141"/>
      <c r="T42" s="29">
        <v>0</v>
      </c>
      <c r="U42" s="145">
        <v>0</v>
      </c>
      <c r="V42" s="145">
        <v>0</v>
      </c>
      <c r="W42" s="145">
        <v>0</v>
      </c>
      <c r="X42" s="145">
        <v>0</v>
      </c>
      <c r="Y42" s="145">
        <v>0</v>
      </c>
      <c r="Z42" s="145">
        <v>0</v>
      </c>
      <c r="AA42" s="142">
        <f t="shared" si="1"/>
        <v>0</v>
      </c>
      <c r="AB42" s="141"/>
      <c r="AC42" s="67"/>
      <c r="AD42" s="67"/>
      <c r="AE42" s="24"/>
      <c r="AF42" s="24"/>
      <c r="AG42" s="24"/>
    </row>
    <row r="43" spans="1:33" ht="61.5">
      <c r="A43" s="153">
        <v>40</v>
      </c>
      <c r="B43" s="153" t="s">
        <v>57</v>
      </c>
      <c r="C43" s="153" t="s">
        <v>63</v>
      </c>
      <c r="D43" s="28" t="s">
        <v>713</v>
      </c>
      <c r="E43" s="59">
        <v>4</v>
      </c>
      <c r="F43" s="59">
        <v>4</v>
      </c>
      <c r="G43" s="90"/>
      <c r="H43" s="90">
        <v>45925</v>
      </c>
      <c r="I43" s="93" t="s">
        <v>714</v>
      </c>
      <c r="J43" s="96" t="s">
        <v>863</v>
      </c>
      <c r="K43" s="96"/>
      <c r="L43" s="69"/>
      <c r="M43" s="69"/>
      <c r="N43" s="39">
        <v>1</v>
      </c>
      <c r="O43" s="141" t="s">
        <v>150</v>
      </c>
      <c r="P43" s="141" t="s">
        <v>764</v>
      </c>
      <c r="Q43" s="141"/>
      <c r="R43" s="141"/>
      <c r="S43" s="141"/>
      <c r="T43" s="29">
        <v>0</v>
      </c>
      <c r="U43" s="145">
        <v>0</v>
      </c>
      <c r="V43" s="145">
        <v>0</v>
      </c>
      <c r="W43" s="145">
        <v>0</v>
      </c>
      <c r="X43" s="145">
        <v>0</v>
      </c>
      <c r="Y43" s="145">
        <v>0</v>
      </c>
      <c r="Z43" s="145">
        <v>0</v>
      </c>
      <c r="AA43" s="142">
        <f t="shared" si="1"/>
        <v>0</v>
      </c>
      <c r="AB43" s="141"/>
      <c r="AC43" s="67"/>
      <c r="AD43" s="67"/>
      <c r="AE43" s="24"/>
      <c r="AF43" s="24"/>
      <c r="AG43" s="24"/>
    </row>
    <row r="44" spans="1:33" ht="61.5">
      <c r="A44" s="153">
        <v>41</v>
      </c>
      <c r="B44" s="153" t="s">
        <v>57</v>
      </c>
      <c r="C44" s="153" t="s">
        <v>63</v>
      </c>
      <c r="D44" s="28" t="s">
        <v>648</v>
      </c>
      <c r="E44" s="59"/>
      <c r="F44" s="59"/>
      <c r="G44" s="90"/>
      <c r="H44" s="90">
        <v>45925</v>
      </c>
      <c r="I44" s="93"/>
      <c r="J44" s="96" t="s">
        <v>865</v>
      </c>
      <c r="K44" s="96"/>
      <c r="L44" s="69"/>
      <c r="M44" s="69"/>
      <c r="N44" s="39">
        <v>2</v>
      </c>
      <c r="O44" s="141" t="s">
        <v>150</v>
      </c>
      <c r="P44" s="141" t="s">
        <v>805</v>
      </c>
      <c r="Q44" s="141"/>
      <c r="R44" s="141"/>
      <c r="S44" s="141"/>
      <c r="T44" s="29">
        <v>0</v>
      </c>
      <c r="U44" s="145">
        <v>0</v>
      </c>
      <c r="V44" s="145">
        <v>0</v>
      </c>
      <c r="W44" s="145">
        <v>0</v>
      </c>
      <c r="X44" s="145">
        <v>0</v>
      </c>
      <c r="Y44" s="145">
        <v>0</v>
      </c>
      <c r="Z44" s="145">
        <v>0</v>
      </c>
      <c r="AA44" s="142">
        <f t="shared" si="1"/>
        <v>0</v>
      </c>
      <c r="AB44" s="141"/>
      <c r="AC44" s="67"/>
      <c r="AD44" s="67"/>
      <c r="AE44" s="24"/>
      <c r="AF44" s="24"/>
      <c r="AG44" s="24"/>
    </row>
    <row r="45" spans="1:33" ht="61.5">
      <c r="A45" s="153">
        <v>42</v>
      </c>
      <c r="B45" s="153" t="s">
        <v>57</v>
      </c>
      <c r="C45" s="153" t="s">
        <v>63</v>
      </c>
      <c r="D45" s="28" t="s">
        <v>628</v>
      </c>
      <c r="E45" s="59"/>
      <c r="F45" s="59"/>
      <c r="G45" s="90"/>
      <c r="H45" s="90" t="s">
        <v>867</v>
      </c>
      <c r="I45" s="93" t="s">
        <v>629</v>
      </c>
      <c r="J45" s="96"/>
      <c r="K45" s="96"/>
      <c r="L45" s="69"/>
      <c r="M45" s="69"/>
      <c r="N45" s="39">
        <v>2</v>
      </c>
      <c r="O45" s="141" t="s">
        <v>150</v>
      </c>
      <c r="P45" s="141" t="s">
        <v>797</v>
      </c>
      <c r="Q45" s="141"/>
      <c r="R45" s="141"/>
      <c r="S45" s="141"/>
      <c r="T45" s="29">
        <v>0</v>
      </c>
      <c r="U45" s="145">
        <v>0</v>
      </c>
      <c r="V45" s="145">
        <v>0</v>
      </c>
      <c r="W45" s="145">
        <v>0</v>
      </c>
      <c r="X45" s="145">
        <v>0</v>
      </c>
      <c r="Y45" s="145">
        <v>0</v>
      </c>
      <c r="Z45" s="145">
        <v>0</v>
      </c>
      <c r="AA45" s="142">
        <f t="shared" si="1"/>
        <v>0</v>
      </c>
      <c r="AB45" s="141"/>
      <c r="AC45" s="67"/>
      <c r="AD45" s="67"/>
      <c r="AE45" s="24"/>
      <c r="AF45" s="24"/>
      <c r="AG45" s="24"/>
    </row>
    <row r="46" spans="1:33" ht="61.5">
      <c r="A46" s="153">
        <v>43</v>
      </c>
      <c r="B46" s="153" t="s">
        <v>57</v>
      </c>
      <c r="C46" s="153" t="s">
        <v>63</v>
      </c>
      <c r="D46" s="28" t="s">
        <v>942</v>
      </c>
      <c r="E46" s="59"/>
      <c r="F46" s="59"/>
      <c r="G46" s="90">
        <v>45933</v>
      </c>
      <c r="H46" s="90" t="s">
        <v>762</v>
      </c>
      <c r="I46" s="93" t="s">
        <v>943</v>
      </c>
      <c r="J46" s="96" t="s">
        <v>944</v>
      </c>
      <c r="K46" s="96"/>
      <c r="L46" s="69"/>
      <c r="M46" s="69"/>
      <c r="N46" s="39">
        <v>0</v>
      </c>
      <c r="O46" s="141" t="s">
        <v>150</v>
      </c>
      <c r="P46" s="141" t="s">
        <v>805</v>
      </c>
      <c r="Q46" s="141"/>
      <c r="R46" s="21"/>
      <c r="S46" s="141"/>
      <c r="T46" s="29">
        <v>0</v>
      </c>
      <c r="U46" s="145">
        <v>0</v>
      </c>
      <c r="V46" s="145">
        <v>0</v>
      </c>
      <c r="W46" s="145">
        <v>0</v>
      </c>
      <c r="X46" s="145">
        <v>0</v>
      </c>
      <c r="Y46" s="145">
        <v>0</v>
      </c>
      <c r="Z46" s="145">
        <v>0</v>
      </c>
      <c r="AA46" s="142">
        <f t="shared" si="1"/>
        <v>0</v>
      </c>
      <c r="AB46" s="141"/>
      <c r="AC46" s="67"/>
      <c r="AD46" s="67"/>
      <c r="AE46" s="24"/>
      <c r="AF46" s="24"/>
      <c r="AG46" s="24"/>
    </row>
    <row r="47" spans="1:33" ht="61.5">
      <c r="A47" s="153">
        <v>44</v>
      </c>
      <c r="B47" s="153" t="s">
        <v>57</v>
      </c>
      <c r="C47" s="153"/>
      <c r="D47" s="28"/>
      <c r="E47" s="59"/>
      <c r="F47" s="59"/>
      <c r="G47" s="90"/>
      <c r="H47" s="90"/>
      <c r="I47" s="93"/>
      <c r="J47" s="96"/>
      <c r="K47" s="96"/>
      <c r="L47" s="69"/>
      <c r="M47" s="69"/>
      <c r="N47" s="39">
        <v>0</v>
      </c>
      <c r="O47" s="141"/>
      <c r="P47" s="141"/>
      <c r="Q47" s="141"/>
      <c r="R47" s="141"/>
      <c r="S47" s="141"/>
      <c r="T47" s="29">
        <v>0</v>
      </c>
      <c r="U47" s="145">
        <v>0</v>
      </c>
      <c r="V47" s="145">
        <v>0</v>
      </c>
      <c r="W47" s="145">
        <v>0</v>
      </c>
      <c r="X47" s="145">
        <v>0</v>
      </c>
      <c r="Y47" s="145">
        <v>0</v>
      </c>
      <c r="Z47" s="145">
        <v>0</v>
      </c>
      <c r="AA47" s="142">
        <f t="shared" si="1"/>
        <v>0</v>
      </c>
      <c r="AB47" s="141"/>
      <c r="AC47" s="67"/>
      <c r="AD47" s="67"/>
      <c r="AE47" s="24"/>
      <c r="AF47" s="24"/>
      <c r="AG47" s="24"/>
    </row>
    <row r="48" spans="1:33" ht="61.5">
      <c r="A48" s="153">
        <v>45</v>
      </c>
      <c r="B48" s="153" t="s">
        <v>57</v>
      </c>
      <c r="C48" s="153"/>
      <c r="D48" s="28"/>
      <c r="E48" s="59"/>
      <c r="F48" s="59"/>
      <c r="G48" s="90"/>
      <c r="H48" s="90"/>
      <c r="I48" s="93"/>
      <c r="J48" s="96"/>
      <c r="K48" s="96"/>
      <c r="L48" s="69"/>
      <c r="M48" s="69"/>
      <c r="N48" s="39">
        <v>0</v>
      </c>
      <c r="O48" s="141"/>
      <c r="P48" s="141"/>
      <c r="Q48" s="141"/>
      <c r="R48" s="141"/>
      <c r="S48" s="141"/>
      <c r="T48" s="29">
        <v>0</v>
      </c>
      <c r="U48" s="145">
        <v>0</v>
      </c>
      <c r="V48" s="145">
        <v>0</v>
      </c>
      <c r="W48" s="145">
        <v>0</v>
      </c>
      <c r="X48" s="145">
        <v>0</v>
      </c>
      <c r="Y48" s="145">
        <v>0</v>
      </c>
      <c r="Z48" s="145">
        <v>0</v>
      </c>
      <c r="AA48" s="142">
        <f t="shared" si="1"/>
        <v>0</v>
      </c>
      <c r="AB48" s="141"/>
      <c r="AC48" s="67"/>
      <c r="AD48" s="67"/>
      <c r="AE48" s="24"/>
      <c r="AF48" s="24"/>
      <c r="AG48" s="24"/>
    </row>
    <row r="49" spans="1:33" ht="61.5">
      <c r="A49" s="153">
        <v>46</v>
      </c>
      <c r="B49" s="153" t="s">
        <v>57</v>
      </c>
      <c r="C49" s="153"/>
      <c r="D49" s="28"/>
      <c r="E49" s="59"/>
      <c r="F49" s="59"/>
      <c r="G49" s="90"/>
      <c r="H49" s="90"/>
      <c r="I49" s="93"/>
      <c r="J49" s="96"/>
      <c r="K49" s="96"/>
      <c r="L49" s="69"/>
      <c r="M49" s="69"/>
      <c r="N49" s="39">
        <v>0</v>
      </c>
      <c r="O49" s="141"/>
      <c r="P49" s="141"/>
      <c r="Q49" s="141"/>
      <c r="R49" s="141"/>
      <c r="S49" s="141"/>
      <c r="T49" s="29">
        <v>0</v>
      </c>
      <c r="U49" s="145">
        <v>0</v>
      </c>
      <c r="V49" s="145">
        <v>0</v>
      </c>
      <c r="W49" s="145">
        <v>0</v>
      </c>
      <c r="X49" s="145">
        <v>0</v>
      </c>
      <c r="Y49" s="145">
        <v>0</v>
      </c>
      <c r="Z49" s="145">
        <v>0</v>
      </c>
      <c r="AA49" s="142">
        <f t="shared" si="1"/>
        <v>0</v>
      </c>
      <c r="AB49" s="141"/>
      <c r="AC49" s="67"/>
      <c r="AD49" s="67"/>
      <c r="AE49" s="24"/>
      <c r="AF49" s="24"/>
      <c r="AG49" s="24"/>
    </row>
    <row r="50" spans="1:33" ht="61.5">
      <c r="A50" s="153">
        <v>47</v>
      </c>
      <c r="B50" s="153" t="s">
        <v>57</v>
      </c>
      <c r="C50" s="153"/>
      <c r="D50" s="28"/>
      <c r="E50" s="59"/>
      <c r="F50" s="59"/>
      <c r="G50" s="90"/>
      <c r="H50" s="90"/>
      <c r="I50" s="93"/>
      <c r="J50" s="96"/>
      <c r="K50" s="96"/>
      <c r="L50" s="69"/>
      <c r="M50" s="69"/>
      <c r="N50" s="39">
        <v>0</v>
      </c>
      <c r="O50" s="141"/>
      <c r="P50" s="141"/>
      <c r="Q50" s="141"/>
      <c r="R50" s="141"/>
      <c r="S50" s="141"/>
      <c r="T50" s="29">
        <v>0</v>
      </c>
      <c r="U50" s="145">
        <v>0</v>
      </c>
      <c r="V50" s="145">
        <v>0</v>
      </c>
      <c r="W50" s="145">
        <v>0</v>
      </c>
      <c r="X50" s="145">
        <v>0</v>
      </c>
      <c r="Y50" s="145">
        <v>0</v>
      </c>
      <c r="Z50" s="145">
        <v>0</v>
      </c>
      <c r="AA50" s="142">
        <f t="shared" si="1"/>
        <v>0</v>
      </c>
      <c r="AB50" s="141"/>
      <c r="AC50" s="67"/>
      <c r="AD50" s="67"/>
      <c r="AE50" s="24"/>
      <c r="AF50" s="24"/>
      <c r="AG50" s="24"/>
    </row>
    <row r="51" spans="1:33" ht="61.5">
      <c r="A51" s="153">
        <v>48</v>
      </c>
      <c r="B51" s="153" t="s">
        <v>57</v>
      </c>
      <c r="C51" s="153"/>
      <c r="D51" s="28"/>
      <c r="E51" s="59"/>
      <c r="F51" s="59"/>
      <c r="G51" s="90"/>
      <c r="H51" s="90"/>
      <c r="I51" s="93"/>
      <c r="J51" s="96"/>
      <c r="K51" s="96"/>
      <c r="L51" s="69"/>
      <c r="M51" s="69"/>
      <c r="N51" s="39">
        <v>0</v>
      </c>
      <c r="O51" s="141"/>
      <c r="P51" s="141"/>
      <c r="Q51" s="141"/>
      <c r="R51" s="141"/>
      <c r="S51" s="141"/>
      <c r="T51" s="29">
        <v>0</v>
      </c>
      <c r="U51" s="145">
        <v>0</v>
      </c>
      <c r="V51" s="145">
        <v>0</v>
      </c>
      <c r="W51" s="145">
        <v>0</v>
      </c>
      <c r="X51" s="145">
        <v>0</v>
      </c>
      <c r="Y51" s="145">
        <v>0</v>
      </c>
      <c r="Z51" s="145">
        <v>0</v>
      </c>
      <c r="AA51" s="142">
        <f t="shared" si="1"/>
        <v>0</v>
      </c>
      <c r="AB51" s="141"/>
      <c r="AC51" s="67"/>
      <c r="AD51" s="67"/>
      <c r="AE51" s="24"/>
      <c r="AF51" s="24"/>
      <c r="AG51" s="24"/>
    </row>
    <row r="52" spans="1:33" ht="61.5">
      <c r="A52" s="153">
        <v>49</v>
      </c>
      <c r="B52" s="153" t="s">
        <v>57</v>
      </c>
      <c r="C52" s="153"/>
      <c r="D52" s="28"/>
      <c r="E52" s="59"/>
      <c r="F52" s="59"/>
      <c r="G52" s="90"/>
      <c r="H52" s="90"/>
      <c r="I52" s="93"/>
      <c r="J52" s="96"/>
      <c r="K52" s="96"/>
      <c r="L52" s="69"/>
      <c r="M52" s="69"/>
      <c r="N52" s="39">
        <v>0</v>
      </c>
      <c r="O52" s="141"/>
      <c r="P52" s="141"/>
      <c r="Q52" s="141"/>
      <c r="R52" s="141"/>
      <c r="S52" s="141"/>
      <c r="T52" s="29">
        <v>0</v>
      </c>
      <c r="U52" s="145">
        <v>0</v>
      </c>
      <c r="V52" s="145">
        <v>0</v>
      </c>
      <c r="W52" s="145">
        <v>0</v>
      </c>
      <c r="X52" s="145">
        <v>0</v>
      </c>
      <c r="Y52" s="145">
        <v>0</v>
      </c>
      <c r="Z52" s="145">
        <v>0</v>
      </c>
      <c r="AA52" s="142">
        <f t="shared" si="1"/>
        <v>0</v>
      </c>
      <c r="AB52" s="141"/>
      <c r="AC52" s="67"/>
      <c r="AD52" s="67"/>
      <c r="AE52" s="24"/>
      <c r="AF52" s="24"/>
      <c r="AG52" s="24"/>
    </row>
    <row r="53" spans="1:33" ht="61.5">
      <c r="A53" s="153">
        <v>50</v>
      </c>
      <c r="B53" s="153" t="s">
        <v>57</v>
      </c>
      <c r="C53" s="153"/>
      <c r="D53" s="28"/>
      <c r="E53" s="59"/>
      <c r="F53" s="59"/>
      <c r="G53" s="90"/>
      <c r="H53" s="90"/>
      <c r="I53" s="93"/>
      <c r="J53" s="94"/>
      <c r="K53" s="94"/>
      <c r="L53" s="69"/>
      <c r="M53" s="69"/>
      <c r="N53" s="39">
        <v>0</v>
      </c>
      <c r="O53" s="141"/>
      <c r="P53" s="141"/>
      <c r="Q53" s="141"/>
      <c r="R53" s="141"/>
      <c r="S53" s="141"/>
      <c r="T53" s="29">
        <v>0</v>
      </c>
      <c r="U53" s="145">
        <v>0</v>
      </c>
      <c r="V53" s="145">
        <v>0</v>
      </c>
      <c r="W53" s="145">
        <v>0</v>
      </c>
      <c r="X53" s="145">
        <v>0</v>
      </c>
      <c r="Y53" s="145">
        <v>0</v>
      </c>
      <c r="Z53" s="145">
        <v>0</v>
      </c>
      <c r="AA53" s="142">
        <f t="shared" si="1"/>
        <v>0</v>
      </c>
      <c r="AB53" s="141"/>
      <c r="AC53" s="67"/>
      <c r="AD53" s="67"/>
      <c r="AE53" s="24"/>
      <c r="AF53" s="24"/>
      <c r="AG53" s="24"/>
    </row>
    <row r="54" spans="1:33" ht="61.5">
      <c r="A54" s="153">
        <v>51</v>
      </c>
      <c r="B54" s="153" t="s">
        <v>57</v>
      </c>
      <c r="C54" s="153"/>
      <c r="D54" s="28"/>
      <c r="E54" s="59"/>
      <c r="F54" s="59"/>
      <c r="G54" s="90"/>
      <c r="H54" s="90"/>
      <c r="I54" s="93"/>
      <c r="J54" s="96"/>
      <c r="K54" s="96"/>
      <c r="L54" s="69"/>
      <c r="M54" s="69"/>
      <c r="N54" s="39">
        <v>0</v>
      </c>
      <c r="O54" s="141"/>
      <c r="P54" s="141"/>
      <c r="Q54" s="141"/>
      <c r="R54" s="141"/>
      <c r="S54" s="141"/>
      <c r="T54" s="29">
        <v>0</v>
      </c>
      <c r="U54" s="145">
        <v>0</v>
      </c>
      <c r="V54" s="145">
        <v>0</v>
      </c>
      <c r="W54" s="145">
        <v>0</v>
      </c>
      <c r="X54" s="145">
        <v>0</v>
      </c>
      <c r="Y54" s="145">
        <v>0</v>
      </c>
      <c r="Z54" s="145">
        <v>0</v>
      </c>
      <c r="AA54" s="142">
        <f t="shared" si="1"/>
        <v>0</v>
      </c>
      <c r="AB54" s="141"/>
      <c r="AC54" s="67"/>
      <c r="AD54" s="67"/>
      <c r="AE54" s="24"/>
      <c r="AF54" s="24"/>
      <c r="AG54" s="24"/>
    </row>
    <row r="55" spans="1:33" ht="61.5">
      <c r="A55" s="153">
        <v>52</v>
      </c>
      <c r="B55" s="153" t="s">
        <v>57</v>
      </c>
      <c r="C55" s="28"/>
      <c r="D55" s="28"/>
      <c r="E55" s="59"/>
      <c r="F55" s="59"/>
      <c r="G55" s="90"/>
      <c r="H55" s="90"/>
      <c r="I55" s="93"/>
      <c r="J55" s="96"/>
      <c r="K55" s="96"/>
      <c r="L55" s="69"/>
      <c r="M55" s="69"/>
      <c r="N55" s="39">
        <v>0</v>
      </c>
      <c r="O55" s="141"/>
      <c r="P55" s="141"/>
      <c r="Q55" s="141"/>
      <c r="R55" s="141"/>
      <c r="S55" s="141"/>
      <c r="T55" s="29">
        <v>0</v>
      </c>
      <c r="U55" s="145">
        <v>0</v>
      </c>
      <c r="V55" s="145">
        <v>0</v>
      </c>
      <c r="W55" s="145">
        <v>0</v>
      </c>
      <c r="X55" s="145">
        <v>0</v>
      </c>
      <c r="Y55" s="145">
        <v>0</v>
      </c>
      <c r="Z55" s="145">
        <v>0</v>
      </c>
      <c r="AA55" s="142">
        <f t="shared" si="1"/>
        <v>0</v>
      </c>
      <c r="AB55" s="141"/>
      <c r="AC55" s="67"/>
      <c r="AD55" s="67"/>
      <c r="AE55" s="24"/>
      <c r="AF55" s="24"/>
      <c r="AG55" s="24"/>
    </row>
    <row r="56" spans="1:33" ht="61.5">
      <c r="A56" s="153">
        <v>53</v>
      </c>
      <c r="B56" s="153" t="s">
        <v>57</v>
      </c>
      <c r="C56" s="140"/>
      <c r="D56" s="28"/>
      <c r="E56" s="59"/>
      <c r="F56" s="59"/>
      <c r="G56" s="90"/>
      <c r="H56" s="90"/>
      <c r="I56" s="93"/>
      <c r="J56" s="96"/>
      <c r="K56" s="96"/>
      <c r="L56" s="69"/>
      <c r="M56" s="69"/>
      <c r="N56" s="39">
        <v>0</v>
      </c>
      <c r="O56" s="141"/>
      <c r="P56" s="141"/>
      <c r="Q56" s="141"/>
      <c r="R56" s="141"/>
      <c r="S56" s="141"/>
      <c r="T56" s="29">
        <v>0</v>
      </c>
      <c r="U56" s="145">
        <v>0</v>
      </c>
      <c r="V56" s="145">
        <v>0</v>
      </c>
      <c r="W56" s="145">
        <v>0</v>
      </c>
      <c r="X56" s="145">
        <v>0</v>
      </c>
      <c r="Y56" s="145">
        <v>0</v>
      </c>
      <c r="Z56" s="145">
        <v>0</v>
      </c>
      <c r="AA56" s="142">
        <f t="shared" si="1"/>
        <v>0</v>
      </c>
      <c r="AB56" s="141"/>
      <c r="AC56" s="67"/>
      <c r="AD56" s="67"/>
      <c r="AE56" s="24"/>
      <c r="AF56" s="24"/>
      <c r="AG56" s="24"/>
    </row>
    <row r="57" spans="1:33" ht="61.5">
      <c r="A57" s="153">
        <v>54</v>
      </c>
      <c r="B57" s="153" t="s">
        <v>57</v>
      </c>
      <c r="C57" s="140"/>
      <c r="D57" s="28"/>
      <c r="E57" s="59"/>
      <c r="F57" s="59"/>
      <c r="G57" s="90"/>
      <c r="H57" s="90"/>
      <c r="I57" s="93"/>
      <c r="J57" s="96"/>
      <c r="K57" s="96"/>
      <c r="L57" s="69"/>
      <c r="M57" s="69"/>
      <c r="N57" s="39">
        <v>0</v>
      </c>
      <c r="O57" s="141"/>
      <c r="P57" s="141"/>
      <c r="Q57" s="141"/>
      <c r="R57" s="21"/>
      <c r="S57" s="141"/>
      <c r="T57" s="29">
        <v>0</v>
      </c>
      <c r="U57" s="145">
        <v>0</v>
      </c>
      <c r="V57" s="145">
        <v>0</v>
      </c>
      <c r="W57" s="145">
        <v>0</v>
      </c>
      <c r="X57" s="145">
        <v>0</v>
      </c>
      <c r="Y57" s="145">
        <v>0</v>
      </c>
      <c r="Z57" s="145">
        <v>0</v>
      </c>
      <c r="AA57" s="142">
        <f t="shared" si="1"/>
        <v>0</v>
      </c>
      <c r="AB57" s="141"/>
      <c r="AC57" s="67"/>
      <c r="AD57" s="67"/>
      <c r="AE57" s="24"/>
      <c r="AF57" s="24"/>
      <c r="AG57" s="24"/>
    </row>
    <row r="58" spans="1:33" ht="61.5">
      <c r="A58" s="153">
        <v>55</v>
      </c>
      <c r="B58" s="153" t="s">
        <v>57</v>
      </c>
      <c r="C58" s="140"/>
      <c r="D58" s="28"/>
      <c r="E58" s="59"/>
      <c r="F58" s="59"/>
      <c r="G58" s="90"/>
      <c r="H58" s="90"/>
      <c r="I58" s="93"/>
      <c r="J58" s="96"/>
      <c r="K58" s="96"/>
      <c r="L58" s="69"/>
      <c r="M58" s="69"/>
      <c r="N58" s="39">
        <v>0</v>
      </c>
      <c r="O58" s="141"/>
      <c r="P58" s="141"/>
      <c r="Q58" s="141"/>
      <c r="R58" s="141"/>
      <c r="S58" s="141"/>
      <c r="T58" s="29">
        <v>0</v>
      </c>
      <c r="U58" s="145">
        <v>0</v>
      </c>
      <c r="V58" s="145">
        <v>0</v>
      </c>
      <c r="W58" s="145">
        <v>0</v>
      </c>
      <c r="X58" s="145">
        <v>0</v>
      </c>
      <c r="Y58" s="145">
        <v>0</v>
      </c>
      <c r="Z58" s="145">
        <v>0</v>
      </c>
      <c r="AA58" s="142">
        <f t="shared" si="1"/>
        <v>0</v>
      </c>
      <c r="AB58" s="141"/>
      <c r="AC58" s="67"/>
      <c r="AD58" s="67"/>
      <c r="AE58" s="24"/>
      <c r="AF58" s="24"/>
      <c r="AG58" s="24"/>
    </row>
    <row r="59" spans="1:33" ht="61.5">
      <c r="A59" s="153">
        <v>56</v>
      </c>
      <c r="B59" s="153" t="s">
        <v>57</v>
      </c>
      <c r="C59" s="140"/>
      <c r="D59" s="28"/>
      <c r="E59" s="59"/>
      <c r="F59" s="59"/>
      <c r="G59" s="90"/>
      <c r="H59" s="90"/>
      <c r="I59" s="93"/>
      <c r="J59" s="96"/>
      <c r="K59" s="96"/>
      <c r="L59" s="69"/>
      <c r="M59" s="69"/>
      <c r="N59" s="39">
        <v>0</v>
      </c>
      <c r="O59" s="141"/>
      <c r="P59" s="141"/>
      <c r="Q59" s="141"/>
      <c r="R59" s="141"/>
      <c r="S59" s="141"/>
      <c r="T59" s="29">
        <v>0</v>
      </c>
      <c r="U59" s="145">
        <v>0</v>
      </c>
      <c r="V59" s="145">
        <v>0</v>
      </c>
      <c r="W59" s="145">
        <v>0</v>
      </c>
      <c r="X59" s="145">
        <v>0</v>
      </c>
      <c r="Y59" s="145">
        <v>0</v>
      </c>
      <c r="Z59" s="145">
        <v>0</v>
      </c>
      <c r="AA59" s="142">
        <f t="shared" si="1"/>
        <v>0</v>
      </c>
      <c r="AB59" s="141"/>
      <c r="AC59" s="67"/>
      <c r="AD59" s="67"/>
      <c r="AE59" s="24"/>
      <c r="AF59" s="24"/>
      <c r="AG59" s="24"/>
    </row>
    <row r="60" spans="1:33" ht="61.5">
      <c r="A60" s="153">
        <v>57</v>
      </c>
      <c r="B60" s="153" t="s">
        <v>57</v>
      </c>
      <c r="C60" s="58"/>
      <c r="D60" s="28"/>
      <c r="E60" s="59"/>
      <c r="F60" s="59"/>
      <c r="G60" s="90"/>
      <c r="H60" s="90"/>
      <c r="I60" s="93"/>
      <c r="J60" s="96"/>
      <c r="K60" s="96"/>
      <c r="L60" s="69"/>
      <c r="M60" s="69"/>
      <c r="N60" s="39">
        <v>0</v>
      </c>
      <c r="O60" s="141"/>
      <c r="P60" s="141"/>
      <c r="Q60" s="141"/>
      <c r="R60" s="141"/>
      <c r="S60" s="141"/>
      <c r="T60" s="29">
        <v>0</v>
      </c>
      <c r="U60" s="145">
        <v>0</v>
      </c>
      <c r="V60" s="145">
        <v>0</v>
      </c>
      <c r="W60" s="145">
        <v>0</v>
      </c>
      <c r="X60" s="145">
        <v>0</v>
      </c>
      <c r="Y60" s="145">
        <v>0</v>
      </c>
      <c r="Z60" s="145">
        <v>0</v>
      </c>
      <c r="AA60" s="142">
        <f t="shared" si="1"/>
        <v>0</v>
      </c>
      <c r="AB60" s="141"/>
      <c r="AC60" s="67"/>
      <c r="AD60" s="67"/>
      <c r="AE60" s="24"/>
      <c r="AF60" s="24"/>
      <c r="AG60" s="24"/>
    </row>
    <row r="61" spans="1:33" ht="61.5">
      <c r="A61" s="153">
        <v>58</v>
      </c>
      <c r="B61" s="153" t="s">
        <v>57</v>
      </c>
      <c r="C61" s="140"/>
      <c r="D61" s="28"/>
      <c r="E61" s="59"/>
      <c r="F61" s="59"/>
      <c r="G61" s="90"/>
      <c r="H61" s="90"/>
      <c r="I61" s="93"/>
      <c r="J61" s="96"/>
      <c r="K61" s="96"/>
      <c r="L61" s="69"/>
      <c r="M61" s="69"/>
      <c r="N61" s="39">
        <v>0</v>
      </c>
      <c r="O61" s="21"/>
      <c r="P61" s="21"/>
      <c r="Q61" s="141"/>
      <c r="R61" s="21"/>
      <c r="S61" s="141"/>
      <c r="T61" s="29">
        <v>0</v>
      </c>
      <c r="U61" s="145">
        <v>0</v>
      </c>
      <c r="V61" s="145">
        <v>0</v>
      </c>
      <c r="W61" s="145">
        <v>0</v>
      </c>
      <c r="X61" s="145">
        <v>0</v>
      </c>
      <c r="Y61" s="145">
        <v>0</v>
      </c>
      <c r="Z61" s="145">
        <v>0</v>
      </c>
      <c r="AA61" s="142">
        <f t="shared" si="1"/>
        <v>0</v>
      </c>
      <c r="AB61" s="141"/>
      <c r="AC61" s="67"/>
      <c r="AD61" s="67"/>
      <c r="AE61" s="24"/>
      <c r="AF61" s="24"/>
      <c r="AG61" s="24"/>
    </row>
    <row r="62" spans="1:33" ht="61.5">
      <c r="A62" s="153">
        <v>59</v>
      </c>
      <c r="B62" s="153" t="s">
        <v>57</v>
      </c>
      <c r="C62" s="140"/>
      <c r="D62" s="28"/>
      <c r="E62" s="59"/>
      <c r="F62" s="59"/>
      <c r="G62" s="90"/>
      <c r="H62" s="90"/>
      <c r="I62" s="93"/>
      <c r="J62" s="96"/>
      <c r="K62" s="96"/>
      <c r="L62" s="69"/>
      <c r="M62" s="69"/>
      <c r="N62" s="39">
        <v>0</v>
      </c>
      <c r="O62" s="141"/>
      <c r="P62" s="141"/>
      <c r="Q62" s="141"/>
      <c r="R62" s="141"/>
      <c r="S62" s="141"/>
      <c r="T62" s="29">
        <v>0</v>
      </c>
      <c r="U62" s="145">
        <v>0</v>
      </c>
      <c r="V62" s="145">
        <v>0</v>
      </c>
      <c r="W62" s="145">
        <v>0</v>
      </c>
      <c r="X62" s="145">
        <v>0</v>
      </c>
      <c r="Y62" s="145">
        <v>0</v>
      </c>
      <c r="Z62" s="145">
        <v>0</v>
      </c>
      <c r="AA62" s="142">
        <f t="shared" si="1"/>
        <v>0</v>
      </c>
      <c r="AB62" s="141"/>
      <c r="AC62" s="67"/>
      <c r="AD62" s="67"/>
      <c r="AE62" s="24"/>
      <c r="AF62" s="24"/>
      <c r="AG62" s="24"/>
    </row>
    <row r="63" spans="1:33" ht="61.5">
      <c r="A63" s="153">
        <v>60</v>
      </c>
      <c r="B63" s="153" t="s">
        <v>57</v>
      </c>
      <c r="C63" s="140"/>
      <c r="D63" s="28"/>
      <c r="E63" s="59"/>
      <c r="F63" s="59"/>
      <c r="G63" s="90"/>
      <c r="H63" s="90"/>
      <c r="I63" s="93"/>
      <c r="J63" s="96"/>
      <c r="K63" s="96"/>
      <c r="L63" s="69"/>
      <c r="M63" s="69"/>
      <c r="N63" s="39">
        <v>0</v>
      </c>
      <c r="O63" s="141"/>
      <c r="P63" s="141"/>
      <c r="Q63" s="141"/>
      <c r="R63" s="141"/>
      <c r="S63" s="141"/>
      <c r="T63" s="29">
        <v>0</v>
      </c>
      <c r="U63" s="145">
        <v>0</v>
      </c>
      <c r="V63" s="145">
        <v>0</v>
      </c>
      <c r="W63" s="145">
        <v>0</v>
      </c>
      <c r="X63" s="145">
        <v>0</v>
      </c>
      <c r="Y63" s="145">
        <v>0</v>
      </c>
      <c r="Z63" s="145">
        <v>0</v>
      </c>
      <c r="AA63" s="142">
        <f t="shared" si="1"/>
        <v>0</v>
      </c>
      <c r="AB63" s="141"/>
      <c r="AC63" s="67"/>
      <c r="AD63" s="67"/>
      <c r="AE63" s="24"/>
      <c r="AF63" s="24"/>
      <c r="AG63" s="24"/>
    </row>
    <row r="64" spans="1:33" ht="61.5">
      <c r="A64" s="153">
        <v>61</v>
      </c>
      <c r="B64" s="140" t="s">
        <v>217</v>
      </c>
      <c r="C64" s="140"/>
      <c r="D64" s="28"/>
      <c r="E64" s="59"/>
      <c r="F64" s="59"/>
      <c r="G64" s="90"/>
      <c r="H64" s="90"/>
      <c r="I64" s="93"/>
      <c r="J64" s="96"/>
      <c r="K64" s="96"/>
      <c r="L64" s="69"/>
      <c r="M64" s="69"/>
      <c r="N64" s="39">
        <v>0</v>
      </c>
      <c r="O64" s="141"/>
      <c r="P64" s="141"/>
      <c r="Q64" s="141"/>
      <c r="R64" s="141"/>
      <c r="S64" s="141"/>
      <c r="T64" s="29">
        <v>0</v>
      </c>
      <c r="U64" s="145">
        <v>0</v>
      </c>
      <c r="V64" s="145">
        <v>0</v>
      </c>
      <c r="W64" s="145">
        <v>0</v>
      </c>
      <c r="X64" s="145">
        <v>0</v>
      </c>
      <c r="Y64" s="145">
        <v>0</v>
      </c>
      <c r="Z64" s="145">
        <v>0</v>
      </c>
      <c r="AA64" s="142">
        <f t="shared" si="1"/>
        <v>0</v>
      </c>
      <c r="AB64" s="141"/>
      <c r="AC64" s="67"/>
      <c r="AD64" s="67"/>
      <c r="AE64" s="24"/>
      <c r="AF64" s="24"/>
      <c r="AG64" s="24"/>
    </row>
    <row r="65" spans="1:33" ht="61.5">
      <c r="A65" s="153">
        <v>62</v>
      </c>
      <c r="B65" s="140" t="s">
        <v>521</v>
      </c>
      <c r="C65" s="140"/>
      <c r="D65" s="28"/>
      <c r="E65" s="59"/>
      <c r="F65" s="59"/>
      <c r="G65" s="90"/>
      <c r="H65" s="90"/>
      <c r="I65" s="93"/>
      <c r="J65" s="96"/>
      <c r="K65" s="96"/>
      <c r="L65" s="69"/>
      <c r="M65" s="69"/>
      <c r="N65" s="39">
        <v>0</v>
      </c>
      <c r="O65" s="141"/>
      <c r="P65" s="141"/>
      <c r="Q65" s="141"/>
      <c r="R65" s="141"/>
      <c r="S65" s="141"/>
      <c r="T65" s="29">
        <v>0</v>
      </c>
      <c r="U65" s="145">
        <v>0</v>
      </c>
      <c r="V65" s="145">
        <v>0</v>
      </c>
      <c r="W65" s="145">
        <v>0</v>
      </c>
      <c r="X65" s="145">
        <v>0</v>
      </c>
      <c r="Y65" s="145">
        <v>0</v>
      </c>
      <c r="Z65" s="145">
        <v>0</v>
      </c>
      <c r="AA65" s="142">
        <f t="shared" si="1"/>
        <v>0</v>
      </c>
      <c r="AB65" s="141"/>
      <c r="AC65" s="67"/>
      <c r="AD65" s="67"/>
      <c r="AE65" s="24"/>
      <c r="AF65" s="24"/>
      <c r="AG65" s="24"/>
    </row>
    <row r="66" spans="1:33" ht="61.5">
      <c r="A66" s="153">
        <v>63</v>
      </c>
      <c r="B66" s="140"/>
      <c r="C66" s="140"/>
      <c r="D66" s="28"/>
      <c r="E66" s="59"/>
      <c r="F66" s="59"/>
      <c r="G66" s="90"/>
      <c r="H66" s="90"/>
      <c r="I66" s="93"/>
      <c r="J66" s="96"/>
      <c r="K66" s="96"/>
      <c r="L66" s="69"/>
      <c r="M66" s="69"/>
      <c r="N66" s="39">
        <v>0</v>
      </c>
      <c r="O66" s="141"/>
      <c r="P66" s="141"/>
      <c r="Q66" s="141"/>
      <c r="R66" s="141"/>
      <c r="S66" s="141"/>
      <c r="T66" s="29">
        <v>0</v>
      </c>
      <c r="U66" s="145">
        <v>0</v>
      </c>
      <c r="V66" s="145">
        <v>0</v>
      </c>
      <c r="W66" s="145">
        <v>0</v>
      </c>
      <c r="X66" s="145">
        <v>0</v>
      </c>
      <c r="Y66" s="145">
        <v>0</v>
      </c>
      <c r="Z66" s="145">
        <v>0</v>
      </c>
      <c r="AA66" s="142">
        <f t="shared" si="1"/>
        <v>0</v>
      </c>
      <c r="AB66" s="141"/>
      <c r="AC66" s="67"/>
      <c r="AD66" s="67"/>
      <c r="AE66" s="24"/>
      <c r="AF66" s="24"/>
      <c r="AG66" s="24"/>
    </row>
    <row r="67" spans="1:33" ht="61.5">
      <c r="A67" s="153">
        <v>64</v>
      </c>
      <c r="B67" s="140"/>
      <c r="C67" s="140"/>
      <c r="D67" s="28"/>
      <c r="E67" s="59"/>
      <c r="F67" s="59"/>
      <c r="G67" s="90"/>
      <c r="H67" s="90"/>
      <c r="I67" s="93"/>
      <c r="J67" s="96"/>
      <c r="K67" s="96"/>
      <c r="L67" s="69"/>
      <c r="M67" s="69"/>
      <c r="N67" s="39">
        <v>0</v>
      </c>
      <c r="O67" s="141"/>
      <c r="P67" s="141"/>
      <c r="Q67" s="141"/>
      <c r="R67" s="141"/>
      <c r="S67" s="141"/>
      <c r="T67" s="29">
        <v>0</v>
      </c>
      <c r="U67" s="145">
        <v>0</v>
      </c>
      <c r="V67" s="145">
        <v>0</v>
      </c>
      <c r="W67" s="145">
        <v>0</v>
      </c>
      <c r="X67" s="145">
        <v>0</v>
      </c>
      <c r="Y67" s="145">
        <v>0</v>
      </c>
      <c r="Z67" s="145">
        <v>0</v>
      </c>
      <c r="AA67" s="142">
        <f t="shared" si="1"/>
        <v>0</v>
      </c>
      <c r="AB67" s="141"/>
      <c r="AC67" s="67"/>
      <c r="AD67" s="67"/>
      <c r="AE67" s="24"/>
      <c r="AF67" s="24"/>
      <c r="AG67" s="24"/>
    </row>
    <row r="68" spans="1:33" ht="61.5">
      <c r="A68" s="153">
        <v>65</v>
      </c>
      <c r="B68" s="140"/>
      <c r="C68" s="140"/>
      <c r="D68" s="28"/>
      <c r="E68" s="59"/>
      <c r="F68" s="59"/>
      <c r="G68" s="90"/>
      <c r="H68" s="90"/>
      <c r="I68" s="93"/>
      <c r="J68" s="95"/>
      <c r="K68" s="95"/>
      <c r="L68" s="69"/>
      <c r="M68" s="69"/>
      <c r="N68" s="39">
        <v>0</v>
      </c>
      <c r="O68" s="141"/>
      <c r="P68" s="35"/>
      <c r="Q68" s="35"/>
      <c r="R68" s="65"/>
      <c r="S68" s="141"/>
      <c r="T68" s="29">
        <v>0</v>
      </c>
      <c r="U68" s="145">
        <v>0</v>
      </c>
      <c r="V68" s="145">
        <v>0</v>
      </c>
      <c r="W68" s="145">
        <v>0</v>
      </c>
      <c r="X68" s="145">
        <v>0</v>
      </c>
      <c r="Y68" s="145">
        <v>0</v>
      </c>
      <c r="Z68" s="145">
        <v>0</v>
      </c>
      <c r="AA68" s="142">
        <f t="shared" ref="AA68:AA99" si="2">AVERAGE(T68:Z68)</f>
        <v>0</v>
      </c>
      <c r="AB68" s="141"/>
      <c r="AC68" s="67"/>
      <c r="AD68" s="67"/>
      <c r="AE68" s="24"/>
      <c r="AF68" s="24"/>
      <c r="AG68" s="24"/>
    </row>
    <row r="69" spans="1:33" ht="61.5">
      <c r="A69" s="153">
        <v>66</v>
      </c>
      <c r="B69" s="140"/>
      <c r="C69" s="140"/>
      <c r="D69" s="28"/>
      <c r="E69" s="59"/>
      <c r="F69" s="59"/>
      <c r="G69" s="90"/>
      <c r="H69" s="90"/>
      <c r="I69" s="93"/>
      <c r="J69" s="93"/>
      <c r="K69" s="93"/>
      <c r="L69" s="69"/>
      <c r="M69" s="69"/>
      <c r="N69" s="39">
        <v>0</v>
      </c>
      <c r="O69" s="141"/>
      <c r="P69" s="141"/>
      <c r="Q69" s="141"/>
      <c r="R69" s="141"/>
      <c r="S69" s="141"/>
      <c r="T69" s="29">
        <v>0</v>
      </c>
      <c r="U69" s="145">
        <v>0</v>
      </c>
      <c r="V69" s="145">
        <v>0</v>
      </c>
      <c r="W69" s="145">
        <v>0</v>
      </c>
      <c r="X69" s="145">
        <v>0</v>
      </c>
      <c r="Y69" s="145">
        <v>0</v>
      </c>
      <c r="Z69" s="145">
        <v>0</v>
      </c>
      <c r="AA69" s="142">
        <f t="shared" si="2"/>
        <v>0</v>
      </c>
      <c r="AB69" s="141"/>
      <c r="AC69" s="67"/>
      <c r="AD69" s="67"/>
      <c r="AE69" s="24"/>
      <c r="AF69" s="24"/>
      <c r="AG69" s="24"/>
    </row>
    <row r="70" spans="1:33" ht="61.5">
      <c r="A70" s="153">
        <v>67</v>
      </c>
      <c r="B70" s="140"/>
      <c r="C70" s="140"/>
      <c r="D70" s="28"/>
      <c r="E70" s="59"/>
      <c r="F70" s="59"/>
      <c r="G70" s="90"/>
      <c r="H70" s="90"/>
      <c r="I70" s="93"/>
      <c r="J70" s="93"/>
      <c r="K70" s="93"/>
      <c r="L70" s="69"/>
      <c r="M70" s="69"/>
      <c r="N70" s="39">
        <v>0</v>
      </c>
      <c r="O70" s="141"/>
      <c r="P70" s="141"/>
      <c r="Q70" s="141"/>
      <c r="R70" s="141"/>
      <c r="S70" s="141"/>
      <c r="T70" s="29">
        <v>0</v>
      </c>
      <c r="U70" s="145">
        <v>0</v>
      </c>
      <c r="V70" s="145">
        <v>0</v>
      </c>
      <c r="W70" s="145">
        <v>0</v>
      </c>
      <c r="X70" s="145">
        <v>0</v>
      </c>
      <c r="Y70" s="145">
        <v>0</v>
      </c>
      <c r="Z70" s="145">
        <v>0</v>
      </c>
      <c r="AA70" s="142">
        <f t="shared" si="2"/>
        <v>0</v>
      </c>
      <c r="AB70" s="141"/>
      <c r="AC70" s="67"/>
      <c r="AD70" s="67"/>
      <c r="AE70" s="24"/>
      <c r="AF70" s="24"/>
      <c r="AG70" s="24"/>
    </row>
    <row r="71" spans="1:33" ht="61.5">
      <c r="A71" s="153">
        <v>68</v>
      </c>
      <c r="B71" s="140"/>
      <c r="C71" s="140"/>
      <c r="D71" s="28"/>
      <c r="E71" s="59"/>
      <c r="F71" s="59"/>
      <c r="G71" s="90"/>
      <c r="H71" s="90"/>
      <c r="I71" s="93"/>
      <c r="J71" s="93"/>
      <c r="K71" s="93"/>
      <c r="L71" s="69"/>
      <c r="M71" s="69"/>
      <c r="N71" s="39">
        <v>0</v>
      </c>
      <c r="O71" s="141"/>
      <c r="P71" s="141"/>
      <c r="Q71" s="141"/>
      <c r="R71" s="141"/>
      <c r="S71" s="141"/>
      <c r="T71" s="29">
        <v>0</v>
      </c>
      <c r="U71" s="145">
        <v>0</v>
      </c>
      <c r="V71" s="145">
        <v>0</v>
      </c>
      <c r="W71" s="145">
        <v>0</v>
      </c>
      <c r="X71" s="145">
        <v>0</v>
      </c>
      <c r="Y71" s="145">
        <v>0</v>
      </c>
      <c r="Z71" s="145">
        <v>0</v>
      </c>
      <c r="AA71" s="142">
        <f t="shared" si="2"/>
        <v>0</v>
      </c>
      <c r="AB71" s="141"/>
      <c r="AC71" s="67"/>
      <c r="AD71" s="67"/>
      <c r="AE71" s="24"/>
      <c r="AF71" s="24"/>
      <c r="AG71" s="24"/>
    </row>
    <row r="72" spans="1:33" ht="61.5">
      <c r="A72" s="153">
        <v>69</v>
      </c>
      <c r="B72" s="140"/>
      <c r="C72" s="140"/>
      <c r="D72" s="28"/>
      <c r="E72" s="59"/>
      <c r="F72" s="59"/>
      <c r="G72" s="90"/>
      <c r="H72" s="90"/>
      <c r="I72" s="93"/>
      <c r="J72" s="93"/>
      <c r="K72" s="93"/>
      <c r="L72" s="69"/>
      <c r="M72" s="69"/>
      <c r="N72" s="39">
        <v>0</v>
      </c>
      <c r="O72" s="141"/>
      <c r="P72" s="141"/>
      <c r="Q72" s="141"/>
      <c r="R72" s="141"/>
      <c r="S72" s="141"/>
      <c r="T72" s="29">
        <v>0</v>
      </c>
      <c r="U72" s="145">
        <v>0</v>
      </c>
      <c r="V72" s="145">
        <v>0</v>
      </c>
      <c r="W72" s="145">
        <v>0</v>
      </c>
      <c r="X72" s="145">
        <v>0</v>
      </c>
      <c r="Y72" s="145">
        <v>0</v>
      </c>
      <c r="Z72" s="145">
        <v>0</v>
      </c>
      <c r="AA72" s="142">
        <f t="shared" si="2"/>
        <v>0</v>
      </c>
      <c r="AB72" s="141"/>
      <c r="AC72" s="67"/>
      <c r="AD72" s="67"/>
      <c r="AE72" s="24"/>
      <c r="AF72" s="24"/>
      <c r="AG72" s="24"/>
    </row>
    <row r="73" spans="1:33" ht="61.5">
      <c r="A73" s="153">
        <v>70</v>
      </c>
      <c r="B73" s="140"/>
      <c r="C73" s="140"/>
      <c r="D73" s="28"/>
      <c r="E73" s="59"/>
      <c r="F73" s="59"/>
      <c r="G73" s="90"/>
      <c r="H73" s="90"/>
      <c r="I73" s="93"/>
      <c r="J73" s="93"/>
      <c r="K73" s="93"/>
      <c r="L73" s="69"/>
      <c r="M73" s="69"/>
      <c r="N73" s="39">
        <v>0</v>
      </c>
      <c r="O73" s="141"/>
      <c r="P73" s="141"/>
      <c r="Q73" s="141"/>
      <c r="R73" s="141"/>
      <c r="S73" s="141"/>
      <c r="T73" s="29">
        <v>0</v>
      </c>
      <c r="U73" s="145">
        <v>0</v>
      </c>
      <c r="V73" s="145">
        <v>0</v>
      </c>
      <c r="W73" s="145">
        <v>0</v>
      </c>
      <c r="X73" s="145">
        <v>0</v>
      </c>
      <c r="Y73" s="145">
        <v>0</v>
      </c>
      <c r="Z73" s="145">
        <v>0</v>
      </c>
      <c r="AA73" s="142">
        <f t="shared" si="2"/>
        <v>0</v>
      </c>
      <c r="AB73" s="141"/>
      <c r="AC73" s="67"/>
      <c r="AD73" s="67"/>
      <c r="AE73" s="24"/>
      <c r="AF73" s="24"/>
      <c r="AG73" s="24"/>
    </row>
    <row r="74" spans="1:33" ht="61.5">
      <c r="A74" s="153">
        <v>71</v>
      </c>
      <c r="B74" s="140"/>
      <c r="C74" s="140"/>
      <c r="D74" s="28"/>
      <c r="E74" s="59"/>
      <c r="F74" s="59"/>
      <c r="G74" s="90"/>
      <c r="H74" s="90"/>
      <c r="I74" s="93"/>
      <c r="J74" s="93"/>
      <c r="K74" s="93"/>
      <c r="L74" s="69"/>
      <c r="M74" s="69"/>
      <c r="N74" s="39">
        <v>0</v>
      </c>
      <c r="O74" s="21"/>
      <c r="P74" s="21"/>
      <c r="Q74" s="141"/>
      <c r="R74" s="21"/>
      <c r="S74" s="141"/>
      <c r="T74" s="29">
        <v>0</v>
      </c>
      <c r="U74" s="145">
        <v>0</v>
      </c>
      <c r="V74" s="145">
        <v>0</v>
      </c>
      <c r="W74" s="145">
        <v>0</v>
      </c>
      <c r="X74" s="145">
        <v>0</v>
      </c>
      <c r="Y74" s="145">
        <v>0</v>
      </c>
      <c r="Z74" s="145">
        <v>0</v>
      </c>
      <c r="AA74" s="142">
        <f t="shared" si="2"/>
        <v>0</v>
      </c>
      <c r="AB74" s="141"/>
      <c r="AC74" s="67"/>
      <c r="AD74" s="67"/>
      <c r="AE74" s="24"/>
      <c r="AF74" s="24"/>
      <c r="AG74" s="24"/>
    </row>
    <row r="75" spans="1:33" ht="61.5">
      <c r="A75" s="153">
        <v>72</v>
      </c>
      <c r="B75" s="140"/>
      <c r="C75" s="140"/>
      <c r="D75" s="28"/>
      <c r="E75" s="59"/>
      <c r="F75" s="59"/>
      <c r="G75" s="90"/>
      <c r="H75" s="90"/>
      <c r="I75" s="93"/>
      <c r="J75" s="93"/>
      <c r="K75" s="93"/>
      <c r="L75" s="69"/>
      <c r="M75" s="69"/>
      <c r="N75" s="39">
        <v>0</v>
      </c>
      <c r="O75" s="53"/>
      <c r="P75" s="53"/>
      <c r="Q75" s="141"/>
      <c r="R75" s="141"/>
      <c r="S75" s="141"/>
      <c r="T75" s="29">
        <v>0</v>
      </c>
      <c r="U75" s="145">
        <v>0</v>
      </c>
      <c r="V75" s="145">
        <v>0</v>
      </c>
      <c r="W75" s="145">
        <v>0</v>
      </c>
      <c r="X75" s="145">
        <v>0</v>
      </c>
      <c r="Y75" s="145">
        <v>0</v>
      </c>
      <c r="Z75" s="145">
        <v>0</v>
      </c>
      <c r="AA75" s="142">
        <f t="shared" si="2"/>
        <v>0</v>
      </c>
      <c r="AB75" s="141"/>
      <c r="AC75" s="67"/>
      <c r="AD75" s="67"/>
      <c r="AE75" s="24"/>
      <c r="AF75" s="24"/>
      <c r="AG75" s="24"/>
    </row>
    <row r="76" spans="1:33" ht="61.5">
      <c r="A76" s="153">
        <v>73</v>
      </c>
      <c r="B76" s="140"/>
      <c r="C76" s="140"/>
      <c r="D76" s="28"/>
      <c r="E76" s="59"/>
      <c r="F76" s="59"/>
      <c r="G76" s="90"/>
      <c r="H76" s="90"/>
      <c r="I76" s="93"/>
      <c r="J76" s="93"/>
      <c r="K76" s="93"/>
      <c r="L76" s="69"/>
      <c r="M76" s="69"/>
      <c r="N76" s="39">
        <v>0</v>
      </c>
      <c r="O76" s="141"/>
      <c r="P76" s="141"/>
      <c r="Q76" s="141"/>
      <c r="R76" s="141"/>
      <c r="S76" s="141"/>
      <c r="T76" s="29">
        <v>0</v>
      </c>
      <c r="U76" s="145">
        <v>0</v>
      </c>
      <c r="V76" s="145">
        <v>0</v>
      </c>
      <c r="W76" s="145">
        <v>0</v>
      </c>
      <c r="X76" s="145">
        <v>0</v>
      </c>
      <c r="Y76" s="145">
        <v>0</v>
      </c>
      <c r="Z76" s="145">
        <v>0</v>
      </c>
      <c r="AA76" s="142">
        <f t="shared" si="2"/>
        <v>0</v>
      </c>
      <c r="AB76" s="141"/>
      <c r="AC76" s="67"/>
      <c r="AD76" s="67"/>
      <c r="AE76" s="24"/>
      <c r="AF76" s="24"/>
      <c r="AG76" s="24"/>
    </row>
    <row r="77" spans="1:33" ht="61.5">
      <c r="A77" s="153">
        <v>74</v>
      </c>
      <c r="B77" s="140"/>
      <c r="C77" s="140"/>
      <c r="D77" s="28"/>
      <c r="E77" s="59"/>
      <c r="F77" s="59"/>
      <c r="G77" s="90"/>
      <c r="H77" s="90"/>
      <c r="I77" s="93"/>
      <c r="J77" s="93"/>
      <c r="K77" s="93"/>
      <c r="L77" s="69"/>
      <c r="M77" s="69"/>
      <c r="N77" s="39">
        <v>0</v>
      </c>
      <c r="O77" s="141"/>
      <c r="P77" s="141"/>
      <c r="Q77" s="141"/>
      <c r="R77" s="141"/>
      <c r="S77" s="141"/>
      <c r="T77" s="29">
        <v>0</v>
      </c>
      <c r="U77" s="145">
        <v>0</v>
      </c>
      <c r="V77" s="145">
        <v>0</v>
      </c>
      <c r="W77" s="145">
        <v>0</v>
      </c>
      <c r="X77" s="145">
        <v>0</v>
      </c>
      <c r="Y77" s="145">
        <v>0</v>
      </c>
      <c r="Z77" s="145">
        <v>0</v>
      </c>
      <c r="AA77" s="142">
        <f t="shared" si="2"/>
        <v>0</v>
      </c>
      <c r="AB77" s="141"/>
      <c r="AC77" s="67"/>
      <c r="AD77" s="67"/>
      <c r="AE77" s="24"/>
      <c r="AF77" s="24"/>
      <c r="AG77" s="24"/>
    </row>
    <row r="78" spans="1:33" ht="61.5">
      <c r="A78" s="153">
        <v>75</v>
      </c>
      <c r="B78" s="140"/>
      <c r="C78" s="140"/>
      <c r="D78" s="28"/>
      <c r="E78" s="59"/>
      <c r="F78" s="59"/>
      <c r="G78" s="90"/>
      <c r="H78" s="90"/>
      <c r="I78" s="93"/>
      <c r="J78" s="96"/>
      <c r="K78" s="96"/>
      <c r="L78" s="69"/>
      <c r="M78" s="69"/>
      <c r="N78" s="39">
        <v>0</v>
      </c>
      <c r="O78" s="141"/>
      <c r="P78" s="141"/>
      <c r="Q78" s="141"/>
      <c r="R78" s="141"/>
      <c r="S78" s="141"/>
      <c r="T78" s="29">
        <v>0</v>
      </c>
      <c r="U78" s="145">
        <v>0</v>
      </c>
      <c r="V78" s="145">
        <v>0</v>
      </c>
      <c r="W78" s="145">
        <v>0</v>
      </c>
      <c r="X78" s="145">
        <v>0</v>
      </c>
      <c r="Y78" s="145">
        <v>0</v>
      </c>
      <c r="Z78" s="145">
        <v>0</v>
      </c>
      <c r="AA78" s="142">
        <f t="shared" si="2"/>
        <v>0</v>
      </c>
      <c r="AB78" s="141"/>
      <c r="AC78" s="67"/>
      <c r="AD78" s="67"/>
      <c r="AE78" s="24"/>
      <c r="AF78" s="24"/>
      <c r="AG78" s="24"/>
    </row>
    <row r="79" spans="1:33" ht="61.5">
      <c r="A79" s="153">
        <v>76</v>
      </c>
      <c r="B79" s="140"/>
      <c r="C79" s="140"/>
      <c r="D79" s="28"/>
      <c r="E79" s="59"/>
      <c r="F79" s="59"/>
      <c r="G79" s="90"/>
      <c r="H79" s="90"/>
      <c r="I79" s="93"/>
      <c r="J79" s="93"/>
      <c r="K79" s="93"/>
      <c r="L79" s="69"/>
      <c r="M79" s="69"/>
      <c r="N79" s="39">
        <v>0</v>
      </c>
      <c r="O79" s="141"/>
      <c r="P79" s="141"/>
      <c r="Q79" s="141"/>
      <c r="R79" s="21"/>
      <c r="S79" s="141"/>
      <c r="T79" s="29">
        <v>0</v>
      </c>
      <c r="U79" s="145">
        <v>0</v>
      </c>
      <c r="V79" s="145">
        <v>0</v>
      </c>
      <c r="W79" s="145">
        <v>0</v>
      </c>
      <c r="X79" s="145">
        <v>0</v>
      </c>
      <c r="Y79" s="145">
        <v>0</v>
      </c>
      <c r="Z79" s="145">
        <v>0</v>
      </c>
      <c r="AA79" s="142">
        <f t="shared" si="2"/>
        <v>0</v>
      </c>
      <c r="AB79" s="141"/>
      <c r="AC79" s="67"/>
      <c r="AD79" s="67"/>
      <c r="AE79" s="24"/>
      <c r="AF79" s="24"/>
      <c r="AG79" s="24"/>
    </row>
    <row r="80" spans="1:33" ht="61.5">
      <c r="A80" s="153">
        <v>77</v>
      </c>
      <c r="B80" s="140"/>
      <c r="C80" s="140"/>
      <c r="D80" s="28"/>
      <c r="E80" s="59"/>
      <c r="F80" s="59"/>
      <c r="G80" s="90"/>
      <c r="H80" s="90"/>
      <c r="I80" s="93"/>
      <c r="J80" s="93"/>
      <c r="K80" s="93"/>
      <c r="L80" s="69"/>
      <c r="M80" s="69"/>
      <c r="N80" s="39">
        <v>0</v>
      </c>
      <c r="O80" s="21"/>
      <c r="P80" s="21"/>
      <c r="Q80" s="141"/>
      <c r="R80" s="21"/>
      <c r="S80" s="141"/>
      <c r="T80" s="29">
        <v>0</v>
      </c>
      <c r="U80" s="145">
        <v>0</v>
      </c>
      <c r="V80" s="145">
        <v>0</v>
      </c>
      <c r="W80" s="145">
        <v>0</v>
      </c>
      <c r="X80" s="145">
        <v>0</v>
      </c>
      <c r="Y80" s="145">
        <v>0</v>
      </c>
      <c r="Z80" s="145">
        <v>0</v>
      </c>
      <c r="AA80" s="142">
        <f t="shared" si="2"/>
        <v>0</v>
      </c>
      <c r="AB80" s="141"/>
      <c r="AC80" s="67"/>
      <c r="AD80" s="67"/>
      <c r="AE80" s="24"/>
      <c r="AF80" s="24"/>
      <c r="AG80" s="24"/>
    </row>
    <row r="81" spans="1:33" ht="61.5">
      <c r="A81" s="153">
        <v>78</v>
      </c>
      <c r="B81" s="140"/>
      <c r="C81" s="140"/>
      <c r="D81" s="140"/>
      <c r="E81" s="59"/>
      <c r="F81" s="59"/>
      <c r="G81" s="90"/>
      <c r="H81" s="90"/>
      <c r="I81" s="93"/>
      <c r="J81" s="93"/>
      <c r="K81" s="93"/>
      <c r="L81" s="69"/>
      <c r="M81" s="69"/>
      <c r="N81" s="39">
        <v>0</v>
      </c>
      <c r="O81" s="21"/>
      <c r="P81" s="21"/>
      <c r="Q81" s="141"/>
      <c r="R81" s="21"/>
      <c r="S81" s="141"/>
      <c r="T81" s="29">
        <v>0</v>
      </c>
      <c r="U81" s="145">
        <v>0</v>
      </c>
      <c r="V81" s="145">
        <v>0</v>
      </c>
      <c r="W81" s="145">
        <v>0</v>
      </c>
      <c r="X81" s="145">
        <v>0</v>
      </c>
      <c r="Y81" s="145">
        <v>0</v>
      </c>
      <c r="Z81" s="145">
        <v>0</v>
      </c>
      <c r="AA81" s="142">
        <f t="shared" si="2"/>
        <v>0</v>
      </c>
      <c r="AB81" s="141"/>
      <c r="AC81" s="67"/>
      <c r="AD81" s="67"/>
      <c r="AE81" s="24"/>
      <c r="AF81" s="24"/>
      <c r="AG81" s="24"/>
    </row>
    <row r="82" spans="1:33" ht="61.5">
      <c r="A82" s="153">
        <v>79</v>
      </c>
      <c r="B82" s="140"/>
      <c r="C82" s="140"/>
      <c r="D82" s="28"/>
      <c r="E82" s="59"/>
      <c r="F82" s="59"/>
      <c r="G82" s="90"/>
      <c r="H82" s="90"/>
      <c r="I82" s="93"/>
      <c r="J82" s="93"/>
      <c r="K82" s="93"/>
      <c r="L82" s="69"/>
      <c r="M82" s="69"/>
      <c r="N82" s="39">
        <v>0</v>
      </c>
      <c r="O82" s="21"/>
      <c r="P82" s="21"/>
      <c r="Q82" s="141"/>
      <c r="R82" s="21"/>
      <c r="S82" s="141"/>
      <c r="T82" s="29">
        <v>0</v>
      </c>
      <c r="U82" s="145">
        <v>0</v>
      </c>
      <c r="V82" s="145">
        <v>0</v>
      </c>
      <c r="W82" s="145">
        <v>0</v>
      </c>
      <c r="X82" s="145">
        <v>0</v>
      </c>
      <c r="Y82" s="145">
        <v>0</v>
      </c>
      <c r="Z82" s="145">
        <v>0</v>
      </c>
      <c r="AA82" s="142">
        <f t="shared" si="2"/>
        <v>0</v>
      </c>
      <c r="AB82" s="141"/>
      <c r="AC82" s="67"/>
      <c r="AD82" s="67"/>
      <c r="AE82" s="24"/>
      <c r="AF82" s="24"/>
      <c r="AG82" s="24"/>
    </row>
    <row r="83" spans="1:33" ht="61.5">
      <c r="A83" s="153">
        <v>80</v>
      </c>
      <c r="B83" s="140"/>
      <c r="C83" s="140"/>
      <c r="D83" s="28"/>
      <c r="E83" s="59"/>
      <c r="F83" s="59"/>
      <c r="G83" s="90"/>
      <c r="H83" s="90"/>
      <c r="I83" s="93"/>
      <c r="J83" s="93"/>
      <c r="K83" s="93"/>
      <c r="L83" s="69"/>
      <c r="M83" s="69"/>
      <c r="N83" s="39">
        <v>0</v>
      </c>
      <c r="O83" s="21"/>
      <c r="P83" s="21"/>
      <c r="Q83" s="141"/>
      <c r="R83" s="21"/>
      <c r="S83" s="141"/>
      <c r="T83" s="29">
        <v>0</v>
      </c>
      <c r="U83" s="145">
        <v>0</v>
      </c>
      <c r="V83" s="145">
        <v>0</v>
      </c>
      <c r="W83" s="145">
        <v>0</v>
      </c>
      <c r="X83" s="145">
        <v>0</v>
      </c>
      <c r="Y83" s="145">
        <v>0</v>
      </c>
      <c r="Z83" s="145">
        <v>0</v>
      </c>
      <c r="AA83" s="142">
        <f t="shared" si="2"/>
        <v>0</v>
      </c>
      <c r="AB83" s="141"/>
      <c r="AC83" s="67"/>
      <c r="AD83" s="67"/>
      <c r="AE83" s="24"/>
      <c r="AF83" s="24"/>
      <c r="AG83" s="24"/>
    </row>
    <row r="84" spans="1:33" ht="61.5">
      <c r="A84" s="153">
        <v>81</v>
      </c>
      <c r="B84" s="140"/>
      <c r="C84" s="140"/>
      <c r="D84" s="28"/>
      <c r="E84" s="59"/>
      <c r="F84" s="59"/>
      <c r="G84" s="90"/>
      <c r="H84" s="90"/>
      <c r="I84" s="93"/>
      <c r="J84" s="93"/>
      <c r="K84" s="93"/>
      <c r="L84" s="69"/>
      <c r="M84" s="69"/>
      <c r="N84" s="39">
        <v>0</v>
      </c>
      <c r="O84" s="21"/>
      <c r="P84" s="21"/>
      <c r="Q84" s="141"/>
      <c r="R84" s="21"/>
      <c r="S84" s="141"/>
      <c r="T84" s="29">
        <v>0</v>
      </c>
      <c r="U84" s="145">
        <v>0</v>
      </c>
      <c r="V84" s="145">
        <v>0</v>
      </c>
      <c r="W84" s="145">
        <v>0</v>
      </c>
      <c r="X84" s="145">
        <v>0</v>
      </c>
      <c r="Y84" s="145">
        <v>0</v>
      </c>
      <c r="Z84" s="145">
        <v>0</v>
      </c>
      <c r="AA84" s="142">
        <f t="shared" si="2"/>
        <v>0</v>
      </c>
      <c r="AB84" s="141"/>
      <c r="AC84" s="67"/>
      <c r="AD84" s="67"/>
      <c r="AE84" s="24"/>
      <c r="AF84" s="24"/>
      <c r="AG84" s="24"/>
    </row>
    <row r="85" spans="1:33" ht="61.5">
      <c r="A85" s="153">
        <v>82</v>
      </c>
      <c r="B85" s="140"/>
      <c r="C85" s="140"/>
      <c r="D85" s="28"/>
      <c r="E85" s="59"/>
      <c r="F85" s="59"/>
      <c r="G85" s="90"/>
      <c r="H85" s="90"/>
      <c r="I85" s="93"/>
      <c r="J85" s="93"/>
      <c r="K85" s="93"/>
      <c r="L85" s="69"/>
      <c r="M85" s="69"/>
      <c r="N85" s="39">
        <v>0</v>
      </c>
      <c r="O85" s="21"/>
      <c r="P85" s="21"/>
      <c r="Q85" s="141"/>
      <c r="R85" s="21"/>
      <c r="S85" s="141"/>
      <c r="T85" s="29">
        <v>0</v>
      </c>
      <c r="U85" s="145">
        <v>0</v>
      </c>
      <c r="V85" s="145">
        <v>0</v>
      </c>
      <c r="W85" s="145">
        <v>0</v>
      </c>
      <c r="X85" s="145">
        <v>0</v>
      </c>
      <c r="Y85" s="145">
        <v>0</v>
      </c>
      <c r="Z85" s="145">
        <v>0</v>
      </c>
      <c r="AA85" s="142">
        <f t="shared" si="2"/>
        <v>0</v>
      </c>
      <c r="AB85" s="141"/>
      <c r="AC85" s="67"/>
      <c r="AD85" s="67"/>
      <c r="AE85" s="24"/>
      <c r="AF85" s="24"/>
      <c r="AG85" s="24"/>
    </row>
    <row r="86" spans="1:33" ht="61.5">
      <c r="A86" s="153">
        <v>83</v>
      </c>
      <c r="B86" s="140"/>
      <c r="C86" s="140"/>
      <c r="D86" s="28"/>
      <c r="E86" s="59"/>
      <c r="F86" s="59"/>
      <c r="G86" s="90"/>
      <c r="H86" s="90"/>
      <c r="I86" s="93"/>
      <c r="J86" s="93"/>
      <c r="K86" s="93"/>
      <c r="L86" s="69"/>
      <c r="M86" s="69"/>
      <c r="N86" s="39">
        <v>0</v>
      </c>
      <c r="O86" s="21"/>
      <c r="P86" s="21"/>
      <c r="Q86" s="141"/>
      <c r="R86" s="21"/>
      <c r="S86" s="141"/>
      <c r="T86" s="29">
        <v>0</v>
      </c>
      <c r="U86" s="145">
        <v>0</v>
      </c>
      <c r="V86" s="145">
        <v>0</v>
      </c>
      <c r="W86" s="145">
        <v>0</v>
      </c>
      <c r="X86" s="145">
        <v>0</v>
      </c>
      <c r="Y86" s="145">
        <v>0</v>
      </c>
      <c r="Z86" s="145">
        <v>0</v>
      </c>
      <c r="AA86" s="142">
        <f t="shared" si="2"/>
        <v>0</v>
      </c>
      <c r="AB86" s="141"/>
      <c r="AC86" s="67"/>
      <c r="AD86" s="67"/>
      <c r="AE86" s="24"/>
      <c r="AF86" s="24"/>
      <c r="AG86" s="24"/>
    </row>
    <row r="87" spans="1:33" ht="61.5">
      <c r="A87" s="153">
        <v>84</v>
      </c>
      <c r="B87" s="140"/>
      <c r="C87" s="140"/>
      <c r="D87" s="28"/>
      <c r="E87" s="59"/>
      <c r="F87" s="59"/>
      <c r="G87" s="90"/>
      <c r="H87" s="90"/>
      <c r="I87" s="93"/>
      <c r="J87" s="93"/>
      <c r="K87" s="93"/>
      <c r="L87" s="69"/>
      <c r="M87" s="69"/>
      <c r="N87" s="39">
        <v>0</v>
      </c>
      <c r="O87" s="21"/>
      <c r="P87" s="21"/>
      <c r="Q87" s="141"/>
      <c r="R87" s="21"/>
      <c r="S87" s="141"/>
      <c r="T87" s="29">
        <v>0</v>
      </c>
      <c r="U87" s="145">
        <v>0</v>
      </c>
      <c r="V87" s="145">
        <v>0</v>
      </c>
      <c r="W87" s="145">
        <v>0</v>
      </c>
      <c r="X87" s="145">
        <v>0</v>
      </c>
      <c r="Y87" s="145">
        <v>0</v>
      </c>
      <c r="Z87" s="145">
        <v>0</v>
      </c>
      <c r="AA87" s="142">
        <f t="shared" si="2"/>
        <v>0</v>
      </c>
      <c r="AB87" s="141"/>
      <c r="AC87" s="67"/>
      <c r="AD87" s="67"/>
      <c r="AE87" s="24"/>
      <c r="AF87" s="24"/>
      <c r="AG87" s="24"/>
    </row>
    <row r="88" spans="1:33" ht="61.5">
      <c r="A88" s="153">
        <v>85</v>
      </c>
      <c r="B88" s="140"/>
      <c r="C88" s="140"/>
      <c r="D88" s="28"/>
      <c r="E88" s="59"/>
      <c r="F88" s="59"/>
      <c r="G88" s="90"/>
      <c r="H88" s="90"/>
      <c r="I88" s="93"/>
      <c r="J88" s="93"/>
      <c r="K88" s="93"/>
      <c r="L88" s="69"/>
      <c r="M88" s="69"/>
      <c r="N88" s="39">
        <v>0</v>
      </c>
      <c r="O88" s="21"/>
      <c r="P88" s="21"/>
      <c r="Q88" s="141"/>
      <c r="R88" s="21"/>
      <c r="S88" s="141"/>
      <c r="T88" s="29">
        <v>0</v>
      </c>
      <c r="U88" s="145">
        <v>0</v>
      </c>
      <c r="V88" s="145">
        <v>0</v>
      </c>
      <c r="W88" s="145">
        <v>0</v>
      </c>
      <c r="X88" s="145">
        <v>0</v>
      </c>
      <c r="Y88" s="145">
        <v>0</v>
      </c>
      <c r="Z88" s="145">
        <v>0</v>
      </c>
      <c r="AA88" s="142">
        <f t="shared" si="2"/>
        <v>0</v>
      </c>
      <c r="AB88" s="141"/>
      <c r="AC88" s="67"/>
      <c r="AD88" s="67"/>
      <c r="AE88" s="24"/>
      <c r="AF88" s="24"/>
      <c r="AG88" s="24"/>
    </row>
    <row r="89" spans="1:33" ht="61.5">
      <c r="A89" s="153">
        <v>86</v>
      </c>
      <c r="B89" s="140"/>
      <c r="C89" s="140"/>
      <c r="D89" s="28"/>
      <c r="E89" s="59"/>
      <c r="F89" s="59"/>
      <c r="G89" s="90"/>
      <c r="H89" s="90"/>
      <c r="I89" s="93"/>
      <c r="J89" s="93"/>
      <c r="K89" s="93"/>
      <c r="L89" s="69"/>
      <c r="M89" s="69"/>
      <c r="N89" s="39">
        <v>0</v>
      </c>
      <c r="O89" s="21"/>
      <c r="P89" s="21"/>
      <c r="Q89" s="141"/>
      <c r="R89" s="21"/>
      <c r="S89" s="141"/>
      <c r="T89" s="29">
        <v>0</v>
      </c>
      <c r="U89" s="145">
        <v>0</v>
      </c>
      <c r="V89" s="145">
        <v>0</v>
      </c>
      <c r="W89" s="145">
        <v>0</v>
      </c>
      <c r="X89" s="145">
        <v>0</v>
      </c>
      <c r="Y89" s="145">
        <v>0</v>
      </c>
      <c r="Z89" s="145">
        <v>0</v>
      </c>
      <c r="AA89" s="142">
        <f t="shared" si="2"/>
        <v>0</v>
      </c>
      <c r="AB89" s="141"/>
      <c r="AC89" s="67"/>
      <c r="AD89" s="67"/>
      <c r="AE89" s="24"/>
      <c r="AF89" s="24"/>
      <c r="AG89" s="24"/>
    </row>
    <row r="90" spans="1:33" ht="61.5">
      <c r="A90" s="153">
        <v>87</v>
      </c>
      <c r="B90" s="140"/>
      <c r="C90" s="140"/>
      <c r="D90" s="28"/>
      <c r="E90" s="59"/>
      <c r="F90" s="59"/>
      <c r="G90" s="90"/>
      <c r="H90" s="90"/>
      <c r="I90" s="93"/>
      <c r="J90" s="93"/>
      <c r="K90" s="93"/>
      <c r="L90" s="69"/>
      <c r="M90" s="69"/>
      <c r="N90" s="39">
        <v>0</v>
      </c>
      <c r="O90" s="21"/>
      <c r="P90" s="21"/>
      <c r="Q90" s="141"/>
      <c r="R90" s="21"/>
      <c r="S90" s="141"/>
      <c r="T90" s="29">
        <v>0</v>
      </c>
      <c r="U90" s="145">
        <v>0</v>
      </c>
      <c r="V90" s="145">
        <v>0</v>
      </c>
      <c r="W90" s="145">
        <v>0</v>
      </c>
      <c r="X90" s="145">
        <v>0</v>
      </c>
      <c r="Y90" s="145">
        <v>0</v>
      </c>
      <c r="Z90" s="145">
        <v>0</v>
      </c>
      <c r="AA90" s="142">
        <f t="shared" si="2"/>
        <v>0</v>
      </c>
      <c r="AB90" s="141"/>
      <c r="AC90" s="67"/>
      <c r="AD90" s="67"/>
      <c r="AE90" s="24"/>
      <c r="AF90" s="24"/>
      <c r="AG90" s="24"/>
    </row>
    <row r="91" spans="1:33" ht="61.5">
      <c r="A91" s="153">
        <v>88</v>
      </c>
      <c r="B91" s="140"/>
      <c r="C91" s="140"/>
      <c r="D91" s="28"/>
      <c r="E91" s="59"/>
      <c r="F91" s="59"/>
      <c r="G91" s="90"/>
      <c r="H91" s="90"/>
      <c r="I91" s="93"/>
      <c r="J91" s="93"/>
      <c r="K91" s="93"/>
      <c r="L91" s="69"/>
      <c r="M91" s="69"/>
      <c r="N91" s="39">
        <v>0</v>
      </c>
      <c r="O91" s="21"/>
      <c r="P91" s="21"/>
      <c r="Q91" s="141"/>
      <c r="R91" s="21"/>
      <c r="S91" s="141"/>
      <c r="T91" s="29">
        <v>0</v>
      </c>
      <c r="U91" s="145">
        <v>0</v>
      </c>
      <c r="V91" s="145">
        <v>0</v>
      </c>
      <c r="W91" s="145">
        <v>0</v>
      </c>
      <c r="X91" s="145">
        <v>0</v>
      </c>
      <c r="Y91" s="145">
        <v>0</v>
      </c>
      <c r="Z91" s="145">
        <v>0</v>
      </c>
      <c r="AA91" s="142">
        <f t="shared" si="2"/>
        <v>0</v>
      </c>
      <c r="AB91" s="141"/>
      <c r="AC91" s="67"/>
      <c r="AD91" s="67"/>
      <c r="AE91" s="24"/>
      <c r="AF91" s="24"/>
      <c r="AG91" s="24"/>
    </row>
    <row r="92" spans="1:33" ht="61.5">
      <c r="A92" s="153">
        <v>89</v>
      </c>
      <c r="B92" s="140"/>
      <c r="C92" s="140"/>
      <c r="D92" s="28"/>
      <c r="E92" s="59"/>
      <c r="F92" s="59"/>
      <c r="G92" s="90"/>
      <c r="H92" s="90"/>
      <c r="I92" s="93"/>
      <c r="J92" s="93"/>
      <c r="K92" s="93"/>
      <c r="L92" s="69"/>
      <c r="M92" s="69"/>
      <c r="N92" s="39">
        <v>0</v>
      </c>
      <c r="O92" s="21"/>
      <c r="P92" s="21"/>
      <c r="Q92" s="141"/>
      <c r="R92" s="21"/>
      <c r="S92" s="141"/>
      <c r="T92" s="29">
        <v>0</v>
      </c>
      <c r="U92" s="145">
        <v>0</v>
      </c>
      <c r="V92" s="145">
        <v>0</v>
      </c>
      <c r="W92" s="145">
        <v>0</v>
      </c>
      <c r="X92" s="145">
        <v>0</v>
      </c>
      <c r="Y92" s="145">
        <v>0</v>
      </c>
      <c r="Z92" s="145">
        <v>0</v>
      </c>
      <c r="AA92" s="142">
        <f t="shared" si="2"/>
        <v>0</v>
      </c>
      <c r="AB92" s="141"/>
      <c r="AC92" s="67"/>
      <c r="AD92" s="67"/>
      <c r="AE92" s="24"/>
      <c r="AF92" s="24"/>
      <c r="AG92" s="24"/>
    </row>
    <row r="93" spans="1:33" ht="61.5">
      <c r="A93" s="153">
        <v>90</v>
      </c>
      <c r="B93" s="140"/>
      <c r="C93" s="140"/>
      <c r="D93" s="28"/>
      <c r="E93" s="59"/>
      <c r="F93" s="59"/>
      <c r="G93" s="90"/>
      <c r="H93" s="90"/>
      <c r="I93" s="93"/>
      <c r="J93" s="93"/>
      <c r="K93" s="93"/>
      <c r="L93" s="69"/>
      <c r="M93" s="69"/>
      <c r="N93" s="39">
        <v>0</v>
      </c>
      <c r="O93" s="21"/>
      <c r="P93" s="21"/>
      <c r="Q93" s="141"/>
      <c r="R93" s="21"/>
      <c r="S93" s="141"/>
      <c r="T93" s="29">
        <v>0</v>
      </c>
      <c r="U93" s="145">
        <v>0</v>
      </c>
      <c r="V93" s="145">
        <v>0</v>
      </c>
      <c r="W93" s="145">
        <v>0</v>
      </c>
      <c r="X93" s="145">
        <v>0</v>
      </c>
      <c r="Y93" s="145">
        <v>0</v>
      </c>
      <c r="Z93" s="145">
        <v>0</v>
      </c>
      <c r="AA93" s="142">
        <f t="shared" si="2"/>
        <v>0</v>
      </c>
      <c r="AB93" s="141"/>
      <c r="AC93" s="67"/>
      <c r="AD93" s="67"/>
      <c r="AE93" s="24"/>
      <c r="AF93" s="24"/>
      <c r="AG93" s="24"/>
    </row>
    <row r="94" spans="1:33" ht="61.5">
      <c r="A94" s="153">
        <v>91</v>
      </c>
      <c r="B94" s="140"/>
      <c r="C94" s="140"/>
      <c r="D94" s="28"/>
      <c r="E94" s="59"/>
      <c r="F94" s="59"/>
      <c r="G94" s="90"/>
      <c r="H94" s="90"/>
      <c r="I94" s="93"/>
      <c r="J94" s="93"/>
      <c r="K94" s="93"/>
      <c r="L94" s="69"/>
      <c r="M94" s="69"/>
      <c r="N94" s="39">
        <v>0</v>
      </c>
      <c r="O94" s="21"/>
      <c r="P94" s="21"/>
      <c r="Q94" s="141"/>
      <c r="R94" s="21"/>
      <c r="S94" s="141"/>
      <c r="T94" s="29">
        <v>0</v>
      </c>
      <c r="U94" s="145">
        <v>0</v>
      </c>
      <c r="V94" s="145">
        <v>0</v>
      </c>
      <c r="W94" s="145">
        <v>0</v>
      </c>
      <c r="X94" s="145">
        <v>0</v>
      </c>
      <c r="Y94" s="145">
        <v>0</v>
      </c>
      <c r="Z94" s="145">
        <v>0</v>
      </c>
      <c r="AA94" s="142">
        <f t="shared" si="2"/>
        <v>0</v>
      </c>
      <c r="AB94" s="141"/>
      <c r="AC94" s="67"/>
      <c r="AD94" s="67"/>
      <c r="AE94" s="24"/>
      <c r="AF94" s="24"/>
      <c r="AG94" s="24"/>
    </row>
    <row r="95" spans="1:33" ht="61.5">
      <c r="A95" s="153">
        <v>92</v>
      </c>
      <c r="B95" s="140"/>
      <c r="C95" s="140"/>
      <c r="D95" s="28"/>
      <c r="E95" s="59"/>
      <c r="F95" s="59"/>
      <c r="G95" s="90"/>
      <c r="H95" s="90"/>
      <c r="I95" s="93"/>
      <c r="J95" s="93"/>
      <c r="K95" s="93"/>
      <c r="L95" s="69"/>
      <c r="M95" s="69"/>
      <c r="N95" s="39">
        <v>0</v>
      </c>
      <c r="O95" s="21"/>
      <c r="P95" s="21"/>
      <c r="Q95" s="141"/>
      <c r="R95" s="21"/>
      <c r="S95" s="141"/>
      <c r="T95" s="29">
        <v>0</v>
      </c>
      <c r="U95" s="145">
        <v>0</v>
      </c>
      <c r="V95" s="145">
        <v>0</v>
      </c>
      <c r="W95" s="145">
        <v>0</v>
      </c>
      <c r="X95" s="145">
        <v>0</v>
      </c>
      <c r="Y95" s="145">
        <v>0</v>
      </c>
      <c r="Z95" s="145">
        <v>0</v>
      </c>
      <c r="AA95" s="142">
        <f t="shared" si="2"/>
        <v>0</v>
      </c>
      <c r="AB95" s="141"/>
      <c r="AC95" s="67"/>
      <c r="AD95" s="67"/>
      <c r="AE95" s="24"/>
      <c r="AF95" s="24"/>
      <c r="AG95" s="24"/>
    </row>
    <row r="96" spans="1:33" ht="61.5">
      <c r="A96" s="153">
        <v>93</v>
      </c>
      <c r="B96" s="140"/>
      <c r="C96" s="140"/>
      <c r="D96" s="28"/>
      <c r="E96" s="59"/>
      <c r="F96" s="59"/>
      <c r="G96" s="90"/>
      <c r="H96" s="90"/>
      <c r="I96" s="93"/>
      <c r="J96" s="93"/>
      <c r="K96" s="93"/>
      <c r="L96" s="69"/>
      <c r="M96" s="69"/>
      <c r="N96" s="39">
        <v>0</v>
      </c>
      <c r="O96" s="21"/>
      <c r="P96" s="21"/>
      <c r="Q96" s="141"/>
      <c r="R96" s="21"/>
      <c r="S96" s="141"/>
      <c r="T96" s="29">
        <v>0</v>
      </c>
      <c r="U96" s="145">
        <v>0</v>
      </c>
      <c r="V96" s="145">
        <v>0</v>
      </c>
      <c r="W96" s="145">
        <v>0</v>
      </c>
      <c r="X96" s="145">
        <v>0</v>
      </c>
      <c r="Y96" s="145">
        <v>0</v>
      </c>
      <c r="Z96" s="145">
        <v>0</v>
      </c>
      <c r="AA96" s="142">
        <f t="shared" si="2"/>
        <v>0</v>
      </c>
      <c r="AB96" s="141"/>
      <c r="AC96" s="67"/>
      <c r="AD96" s="67"/>
      <c r="AE96" s="24"/>
      <c r="AF96" s="24"/>
      <c r="AG96" s="24"/>
    </row>
    <row r="97" spans="1:33" ht="61.5">
      <c r="A97" s="153">
        <v>94</v>
      </c>
      <c r="B97" s="140"/>
      <c r="C97" s="140"/>
      <c r="D97" s="28"/>
      <c r="E97" s="59"/>
      <c r="F97" s="59"/>
      <c r="G97" s="90"/>
      <c r="H97" s="90"/>
      <c r="I97" s="93"/>
      <c r="J97" s="93"/>
      <c r="K97" s="93"/>
      <c r="L97" s="69"/>
      <c r="M97" s="69"/>
      <c r="N97" s="39">
        <v>0</v>
      </c>
      <c r="O97" s="21"/>
      <c r="P97" s="21"/>
      <c r="Q97" s="141"/>
      <c r="R97" s="21"/>
      <c r="S97" s="141"/>
      <c r="T97" s="29">
        <v>0</v>
      </c>
      <c r="U97" s="145">
        <v>0</v>
      </c>
      <c r="V97" s="145">
        <v>0</v>
      </c>
      <c r="W97" s="145">
        <v>0</v>
      </c>
      <c r="X97" s="145">
        <v>0</v>
      </c>
      <c r="Y97" s="145">
        <v>0</v>
      </c>
      <c r="Z97" s="145">
        <v>0</v>
      </c>
      <c r="AA97" s="142">
        <f t="shared" si="2"/>
        <v>0</v>
      </c>
      <c r="AB97" s="141"/>
      <c r="AC97" s="67"/>
      <c r="AD97" s="67"/>
      <c r="AE97" s="24"/>
      <c r="AF97" s="24"/>
      <c r="AG97" s="24"/>
    </row>
    <row r="98" spans="1:33" ht="61.5">
      <c r="A98" s="153">
        <v>95</v>
      </c>
      <c r="B98" s="140"/>
      <c r="C98" s="140"/>
      <c r="D98" s="28"/>
      <c r="E98" s="59"/>
      <c r="F98" s="59"/>
      <c r="G98" s="90"/>
      <c r="H98" s="90"/>
      <c r="I98" s="93"/>
      <c r="J98" s="93"/>
      <c r="K98" s="93"/>
      <c r="L98" s="69"/>
      <c r="M98" s="69"/>
      <c r="N98" s="39">
        <v>0</v>
      </c>
      <c r="O98" s="21"/>
      <c r="P98" s="21"/>
      <c r="Q98" s="141"/>
      <c r="R98" s="21"/>
      <c r="S98" s="141"/>
      <c r="T98" s="29">
        <v>0</v>
      </c>
      <c r="U98" s="145">
        <v>0</v>
      </c>
      <c r="V98" s="145">
        <v>0</v>
      </c>
      <c r="W98" s="145">
        <v>0</v>
      </c>
      <c r="X98" s="145">
        <v>0</v>
      </c>
      <c r="Y98" s="145">
        <v>0</v>
      </c>
      <c r="Z98" s="145">
        <v>0</v>
      </c>
      <c r="AA98" s="142">
        <f t="shared" si="2"/>
        <v>0</v>
      </c>
      <c r="AB98" s="141"/>
      <c r="AC98" s="67"/>
      <c r="AD98" s="67"/>
      <c r="AE98" s="24"/>
      <c r="AF98" s="24"/>
      <c r="AG98" s="24"/>
    </row>
    <row r="99" spans="1:33" ht="61.5">
      <c r="A99" s="153">
        <v>96</v>
      </c>
      <c r="B99" s="140"/>
      <c r="C99" s="140"/>
      <c r="D99" s="28"/>
      <c r="E99" s="59"/>
      <c r="F99" s="59"/>
      <c r="G99" s="90"/>
      <c r="H99" s="90"/>
      <c r="I99" s="93"/>
      <c r="J99" s="93"/>
      <c r="K99" s="93"/>
      <c r="L99" s="69"/>
      <c r="M99" s="69"/>
      <c r="N99" s="39">
        <v>0</v>
      </c>
      <c r="O99" s="21"/>
      <c r="P99" s="21"/>
      <c r="Q99" s="141"/>
      <c r="R99" s="21"/>
      <c r="S99" s="141"/>
      <c r="T99" s="29">
        <v>0</v>
      </c>
      <c r="U99" s="145">
        <v>0</v>
      </c>
      <c r="V99" s="145">
        <v>0</v>
      </c>
      <c r="W99" s="145">
        <v>0</v>
      </c>
      <c r="X99" s="145">
        <v>0</v>
      </c>
      <c r="Y99" s="145">
        <v>0</v>
      </c>
      <c r="Z99" s="145">
        <v>0</v>
      </c>
      <c r="AA99" s="142">
        <f t="shared" si="2"/>
        <v>0</v>
      </c>
      <c r="AB99" s="141"/>
      <c r="AC99" s="67"/>
      <c r="AD99" s="67"/>
      <c r="AE99" s="24"/>
      <c r="AF99" s="24"/>
      <c r="AG99" s="24"/>
    </row>
    <row r="100" spans="1:33" ht="61.5">
      <c r="A100" s="153">
        <v>97</v>
      </c>
      <c r="B100" s="140"/>
      <c r="C100" s="140"/>
      <c r="D100" s="28"/>
      <c r="E100" s="59"/>
      <c r="F100" s="59"/>
      <c r="G100" s="90"/>
      <c r="H100" s="90"/>
      <c r="I100" s="93"/>
      <c r="J100" s="93"/>
      <c r="K100" s="93"/>
      <c r="L100" s="69"/>
      <c r="M100" s="69"/>
      <c r="N100" s="39">
        <v>0</v>
      </c>
      <c r="O100" s="21"/>
      <c r="P100" s="21"/>
      <c r="Q100" s="141"/>
      <c r="R100" s="21"/>
      <c r="S100" s="141"/>
      <c r="T100" s="29">
        <v>0</v>
      </c>
      <c r="U100" s="145">
        <v>0</v>
      </c>
      <c r="V100" s="145">
        <v>0</v>
      </c>
      <c r="W100" s="145">
        <v>0</v>
      </c>
      <c r="X100" s="145">
        <v>0</v>
      </c>
      <c r="Y100" s="145">
        <v>0</v>
      </c>
      <c r="Z100" s="145">
        <v>0</v>
      </c>
      <c r="AA100" s="142">
        <f t="shared" ref="AA100:AA131" si="3">AVERAGE(T100:Z100)</f>
        <v>0</v>
      </c>
      <c r="AB100" s="141"/>
      <c r="AC100" s="67"/>
      <c r="AD100" s="67"/>
      <c r="AE100" s="24"/>
      <c r="AF100" s="24"/>
      <c r="AG100" s="24"/>
    </row>
    <row r="101" spans="1:33" ht="61.5">
      <c r="A101" s="153">
        <v>98</v>
      </c>
      <c r="B101" s="140"/>
      <c r="C101" s="140"/>
      <c r="D101" s="28"/>
      <c r="E101" s="59"/>
      <c r="F101" s="59"/>
      <c r="G101" s="90"/>
      <c r="H101" s="90"/>
      <c r="I101" s="93"/>
      <c r="J101" s="93"/>
      <c r="K101" s="93"/>
      <c r="L101" s="69"/>
      <c r="M101" s="69"/>
      <c r="N101" s="39">
        <v>0</v>
      </c>
      <c r="O101" s="21"/>
      <c r="P101" s="21"/>
      <c r="Q101" s="141"/>
      <c r="R101" s="21"/>
      <c r="S101" s="141"/>
      <c r="T101" s="29">
        <v>0</v>
      </c>
      <c r="U101" s="145">
        <v>0</v>
      </c>
      <c r="V101" s="145">
        <v>0</v>
      </c>
      <c r="W101" s="145">
        <v>0</v>
      </c>
      <c r="X101" s="145">
        <v>0</v>
      </c>
      <c r="Y101" s="145">
        <v>0</v>
      </c>
      <c r="Z101" s="145">
        <v>0</v>
      </c>
      <c r="AA101" s="142">
        <f t="shared" si="3"/>
        <v>0</v>
      </c>
      <c r="AB101" s="141"/>
      <c r="AC101" s="67"/>
      <c r="AD101" s="67"/>
      <c r="AE101" s="24"/>
      <c r="AF101" s="24"/>
      <c r="AG101" s="24"/>
    </row>
    <row r="102" spans="1:33" ht="61.5">
      <c r="A102" s="153">
        <v>99</v>
      </c>
      <c r="B102" s="140"/>
      <c r="C102" s="140"/>
      <c r="D102" s="28"/>
      <c r="E102" s="59"/>
      <c r="F102" s="59"/>
      <c r="G102" s="90"/>
      <c r="H102" s="90"/>
      <c r="I102" s="93"/>
      <c r="J102" s="93"/>
      <c r="K102" s="93"/>
      <c r="L102" s="69"/>
      <c r="M102" s="69"/>
      <c r="N102" s="39">
        <v>0</v>
      </c>
      <c r="O102" s="21"/>
      <c r="P102" s="21"/>
      <c r="Q102" s="141"/>
      <c r="R102" s="21"/>
      <c r="S102" s="141"/>
      <c r="T102" s="29">
        <v>0</v>
      </c>
      <c r="U102" s="145">
        <v>0</v>
      </c>
      <c r="V102" s="145">
        <v>0</v>
      </c>
      <c r="W102" s="145">
        <v>0</v>
      </c>
      <c r="X102" s="145">
        <v>0</v>
      </c>
      <c r="Y102" s="145">
        <v>0</v>
      </c>
      <c r="Z102" s="145">
        <v>0</v>
      </c>
      <c r="AA102" s="142">
        <f t="shared" si="3"/>
        <v>0</v>
      </c>
      <c r="AB102" s="141"/>
      <c r="AC102" s="67"/>
      <c r="AD102" s="67"/>
      <c r="AE102" s="24"/>
      <c r="AF102" s="24"/>
      <c r="AG102" s="24"/>
    </row>
    <row r="103" spans="1:33" ht="61.5">
      <c r="A103" s="153">
        <v>100</v>
      </c>
      <c r="B103" s="140"/>
      <c r="C103" s="140"/>
      <c r="D103" s="28"/>
      <c r="E103" s="59"/>
      <c r="F103" s="59"/>
      <c r="G103" s="90"/>
      <c r="H103" s="90"/>
      <c r="I103" s="93"/>
      <c r="J103" s="93"/>
      <c r="K103" s="93"/>
      <c r="L103" s="69"/>
      <c r="M103" s="69"/>
      <c r="N103" s="39">
        <v>0</v>
      </c>
      <c r="O103" s="21"/>
      <c r="P103" s="21"/>
      <c r="Q103" s="141"/>
      <c r="R103" s="21"/>
      <c r="S103" s="141"/>
      <c r="T103" s="29">
        <v>0</v>
      </c>
      <c r="U103" s="145">
        <v>0</v>
      </c>
      <c r="V103" s="145">
        <v>0</v>
      </c>
      <c r="W103" s="145">
        <v>0</v>
      </c>
      <c r="X103" s="145">
        <v>0</v>
      </c>
      <c r="Y103" s="145">
        <v>0</v>
      </c>
      <c r="Z103" s="145">
        <v>0</v>
      </c>
      <c r="AA103" s="142">
        <f t="shared" si="3"/>
        <v>0</v>
      </c>
      <c r="AB103" s="141"/>
      <c r="AC103" s="67"/>
      <c r="AD103" s="67"/>
      <c r="AE103" s="24"/>
      <c r="AF103" s="24"/>
      <c r="AG103" s="24"/>
    </row>
    <row r="104" spans="1:33" ht="61.5">
      <c r="A104" s="153">
        <v>101</v>
      </c>
      <c r="B104" s="140"/>
      <c r="C104" s="140"/>
      <c r="D104" s="28"/>
      <c r="E104" s="59"/>
      <c r="F104" s="59"/>
      <c r="G104" s="90"/>
      <c r="H104" s="90"/>
      <c r="I104" s="93"/>
      <c r="J104" s="93"/>
      <c r="K104" s="93"/>
      <c r="L104" s="69"/>
      <c r="M104" s="69"/>
      <c r="N104" s="39">
        <v>0</v>
      </c>
      <c r="O104" s="21"/>
      <c r="P104" s="21"/>
      <c r="Q104" s="141"/>
      <c r="R104" s="21"/>
      <c r="S104" s="141"/>
      <c r="T104" s="29">
        <v>0</v>
      </c>
      <c r="U104" s="145">
        <v>0</v>
      </c>
      <c r="V104" s="145">
        <v>0</v>
      </c>
      <c r="W104" s="145">
        <v>0</v>
      </c>
      <c r="X104" s="145">
        <v>0</v>
      </c>
      <c r="Y104" s="145">
        <v>0</v>
      </c>
      <c r="Z104" s="145">
        <v>0</v>
      </c>
      <c r="AA104" s="142">
        <f t="shared" si="3"/>
        <v>0</v>
      </c>
      <c r="AB104" s="141"/>
      <c r="AC104" s="67"/>
      <c r="AD104" s="67"/>
      <c r="AE104" s="24"/>
      <c r="AF104" s="24"/>
      <c r="AG104" s="24"/>
    </row>
    <row r="105" spans="1:33" ht="61.5">
      <c r="A105" s="153">
        <v>102</v>
      </c>
      <c r="B105" s="140"/>
      <c r="C105" s="140"/>
      <c r="D105" s="28"/>
      <c r="E105" s="59"/>
      <c r="F105" s="59"/>
      <c r="G105" s="90"/>
      <c r="H105" s="90"/>
      <c r="I105" s="93"/>
      <c r="J105" s="93"/>
      <c r="K105" s="93"/>
      <c r="L105" s="69"/>
      <c r="M105" s="69"/>
      <c r="N105" s="39">
        <v>0</v>
      </c>
      <c r="O105" s="21"/>
      <c r="P105" s="21"/>
      <c r="Q105" s="141"/>
      <c r="R105" s="21"/>
      <c r="S105" s="141"/>
      <c r="T105" s="29">
        <v>0</v>
      </c>
      <c r="U105" s="145">
        <v>0</v>
      </c>
      <c r="V105" s="145">
        <v>0</v>
      </c>
      <c r="W105" s="145">
        <v>0</v>
      </c>
      <c r="X105" s="145">
        <v>0</v>
      </c>
      <c r="Y105" s="145">
        <v>0</v>
      </c>
      <c r="Z105" s="145">
        <v>0</v>
      </c>
      <c r="AA105" s="142">
        <f t="shared" si="3"/>
        <v>0</v>
      </c>
      <c r="AB105" s="141"/>
      <c r="AC105" s="67"/>
      <c r="AD105" s="67"/>
      <c r="AE105" s="24"/>
      <c r="AF105" s="24"/>
      <c r="AG105" s="24"/>
    </row>
    <row r="106" spans="1:33" ht="61.5">
      <c r="A106" s="153">
        <v>103</v>
      </c>
      <c r="B106" s="140"/>
      <c r="C106" s="140"/>
      <c r="D106" s="28"/>
      <c r="E106" s="59"/>
      <c r="F106" s="59"/>
      <c r="G106" s="90"/>
      <c r="H106" s="90"/>
      <c r="I106" s="93"/>
      <c r="J106" s="93"/>
      <c r="K106" s="93"/>
      <c r="L106" s="69"/>
      <c r="M106" s="69"/>
      <c r="N106" s="39">
        <v>0</v>
      </c>
      <c r="O106" s="21"/>
      <c r="P106" s="21"/>
      <c r="Q106" s="141"/>
      <c r="R106" s="21"/>
      <c r="S106" s="141"/>
      <c r="T106" s="29">
        <v>0</v>
      </c>
      <c r="U106" s="145">
        <v>0</v>
      </c>
      <c r="V106" s="145">
        <v>0</v>
      </c>
      <c r="W106" s="145">
        <v>0</v>
      </c>
      <c r="X106" s="145">
        <v>0</v>
      </c>
      <c r="Y106" s="145">
        <v>0</v>
      </c>
      <c r="Z106" s="145">
        <v>0</v>
      </c>
      <c r="AA106" s="142">
        <f t="shared" si="3"/>
        <v>0</v>
      </c>
      <c r="AB106" s="141"/>
      <c r="AC106" s="67"/>
      <c r="AD106" s="67"/>
      <c r="AE106" s="24"/>
      <c r="AF106" s="24"/>
      <c r="AG106" s="24"/>
    </row>
    <row r="107" spans="1:33" ht="61.5">
      <c r="A107" s="153">
        <v>104</v>
      </c>
      <c r="B107" s="140"/>
      <c r="C107" s="140"/>
      <c r="D107" s="28"/>
      <c r="E107" s="59"/>
      <c r="F107" s="59"/>
      <c r="G107" s="90"/>
      <c r="H107" s="90"/>
      <c r="I107" s="93"/>
      <c r="J107" s="93"/>
      <c r="K107" s="93"/>
      <c r="L107" s="69"/>
      <c r="M107" s="69"/>
      <c r="N107" s="39">
        <v>0</v>
      </c>
      <c r="O107" s="21"/>
      <c r="P107" s="21"/>
      <c r="Q107" s="141"/>
      <c r="R107" s="21"/>
      <c r="S107" s="141"/>
      <c r="T107" s="29">
        <v>0</v>
      </c>
      <c r="U107" s="145">
        <v>0</v>
      </c>
      <c r="V107" s="145">
        <v>0</v>
      </c>
      <c r="W107" s="145">
        <v>0</v>
      </c>
      <c r="X107" s="145">
        <v>0</v>
      </c>
      <c r="Y107" s="145">
        <v>0</v>
      </c>
      <c r="Z107" s="145">
        <v>0</v>
      </c>
      <c r="AA107" s="142">
        <f t="shared" si="3"/>
        <v>0</v>
      </c>
      <c r="AB107" s="141"/>
      <c r="AC107" s="67"/>
      <c r="AD107" s="67"/>
      <c r="AE107" s="24"/>
      <c r="AF107" s="24"/>
      <c r="AG107" s="24"/>
    </row>
    <row r="108" spans="1:33" ht="61.5">
      <c r="A108" s="153">
        <v>105</v>
      </c>
      <c r="B108" s="140"/>
      <c r="C108" s="140"/>
      <c r="D108" s="28"/>
      <c r="E108" s="59"/>
      <c r="F108" s="59"/>
      <c r="G108" s="90"/>
      <c r="H108" s="90"/>
      <c r="I108" s="93"/>
      <c r="J108" s="93"/>
      <c r="K108" s="93"/>
      <c r="L108" s="69"/>
      <c r="M108" s="69"/>
      <c r="N108" s="39">
        <v>3</v>
      </c>
      <c r="O108" s="21"/>
      <c r="P108" s="21"/>
      <c r="Q108" s="141"/>
      <c r="R108" s="21"/>
      <c r="S108" s="141"/>
      <c r="T108" s="29">
        <v>0</v>
      </c>
      <c r="U108" s="145">
        <v>0</v>
      </c>
      <c r="V108" s="145">
        <v>0</v>
      </c>
      <c r="W108" s="145">
        <v>0</v>
      </c>
      <c r="X108" s="145">
        <v>0</v>
      </c>
      <c r="Y108" s="145">
        <v>0</v>
      </c>
      <c r="Z108" s="145">
        <v>0</v>
      </c>
      <c r="AA108" s="142">
        <f t="shared" si="3"/>
        <v>0</v>
      </c>
      <c r="AB108" s="141"/>
      <c r="AC108" s="67"/>
      <c r="AD108" s="67"/>
      <c r="AE108" s="24"/>
      <c r="AF108" s="24"/>
      <c r="AG108" s="24"/>
    </row>
    <row r="109" spans="1:33" ht="61.5">
      <c r="A109" s="153">
        <v>106</v>
      </c>
      <c r="B109" s="140"/>
      <c r="C109" s="140"/>
      <c r="D109" s="28"/>
      <c r="E109" s="59"/>
      <c r="F109" s="59"/>
      <c r="G109" s="90"/>
      <c r="H109" s="90"/>
      <c r="I109" s="93"/>
      <c r="J109" s="93"/>
      <c r="K109" s="93"/>
      <c r="L109" s="69"/>
      <c r="M109" s="69"/>
      <c r="N109" s="39">
        <v>0</v>
      </c>
      <c r="O109" s="21"/>
      <c r="P109" s="21"/>
      <c r="Q109" s="141"/>
      <c r="R109" s="21"/>
      <c r="S109" s="141"/>
      <c r="T109" s="29">
        <v>0</v>
      </c>
      <c r="U109" s="145">
        <v>0</v>
      </c>
      <c r="V109" s="145">
        <v>0</v>
      </c>
      <c r="W109" s="145">
        <v>0</v>
      </c>
      <c r="X109" s="145">
        <v>0</v>
      </c>
      <c r="Y109" s="145">
        <v>0</v>
      </c>
      <c r="Z109" s="145">
        <v>0</v>
      </c>
      <c r="AA109" s="142">
        <f t="shared" si="3"/>
        <v>0</v>
      </c>
      <c r="AB109" s="141"/>
      <c r="AC109" s="67"/>
      <c r="AD109" s="67"/>
      <c r="AE109" s="24"/>
      <c r="AF109" s="24"/>
      <c r="AG109" s="24"/>
    </row>
    <row r="110" spans="1:33" ht="61.5">
      <c r="A110" s="153">
        <v>107</v>
      </c>
      <c r="B110" s="140"/>
      <c r="C110" s="140"/>
      <c r="D110" s="28"/>
      <c r="E110" s="59"/>
      <c r="F110" s="59"/>
      <c r="G110" s="90"/>
      <c r="H110" s="90"/>
      <c r="I110" s="93"/>
      <c r="J110" s="93"/>
      <c r="K110" s="93"/>
      <c r="L110" s="69"/>
      <c r="M110" s="69"/>
      <c r="N110" s="39">
        <v>0</v>
      </c>
      <c r="O110" s="21"/>
      <c r="P110" s="21"/>
      <c r="Q110" s="141"/>
      <c r="R110" s="21"/>
      <c r="S110" s="141"/>
      <c r="T110" s="29">
        <v>0</v>
      </c>
      <c r="U110" s="145">
        <v>0</v>
      </c>
      <c r="V110" s="145">
        <v>0</v>
      </c>
      <c r="W110" s="145">
        <v>0</v>
      </c>
      <c r="X110" s="145">
        <v>0</v>
      </c>
      <c r="Y110" s="145">
        <v>0</v>
      </c>
      <c r="Z110" s="145">
        <v>0</v>
      </c>
      <c r="AA110" s="142">
        <f t="shared" si="3"/>
        <v>0</v>
      </c>
      <c r="AB110" s="141"/>
      <c r="AC110" s="67"/>
      <c r="AD110" s="67"/>
      <c r="AE110" s="24"/>
      <c r="AF110" s="24"/>
      <c r="AG110" s="24"/>
    </row>
    <row r="111" spans="1:33" ht="61.5">
      <c r="A111" s="153">
        <v>108</v>
      </c>
      <c r="B111" s="140"/>
      <c r="C111" s="140"/>
      <c r="D111" s="28"/>
      <c r="E111" s="59"/>
      <c r="F111" s="59"/>
      <c r="G111" s="90"/>
      <c r="H111" s="90"/>
      <c r="I111" s="93"/>
      <c r="J111" s="93"/>
      <c r="K111" s="93"/>
      <c r="L111" s="69"/>
      <c r="M111" s="69"/>
      <c r="N111" s="39">
        <v>0</v>
      </c>
      <c r="O111" s="21"/>
      <c r="P111" s="21"/>
      <c r="Q111" s="141"/>
      <c r="R111" s="21"/>
      <c r="S111" s="141"/>
      <c r="T111" s="29">
        <v>0</v>
      </c>
      <c r="U111" s="145">
        <v>0</v>
      </c>
      <c r="V111" s="145">
        <v>0</v>
      </c>
      <c r="W111" s="145">
        <v>0</v>
      </c>
      <c r="X111" s="145">
        <v>0</v>
      </c>
      <c r="Y111" s="145">
        <v>0</v>
      </c>
      <c r="Z111" s="145">
        <v>0</v>
      </c>
      <c r="AA111" s="142">
        <f t="shared" si="3"/>
        <v>0</v>
      </c>
      <c r="AB111" s="141"/>
      <c r="AC111" s="67"/>
      <c r="AD111" s="67"/>
      <c r="AE111" s="24"/>
      <c r="AF111" s="24"/>
      <c r="AG111" s="24"/>
    </row>
    <row r="112" spans="1:33" ht="61.5">
      <c r="A112" s="153">
        <v>109</v>
      </c>
      <c r="B112" s="140"/>
      <c r="C112" s="140"/>
      <c r="D112" s="28"/>
      <c r="E112" s="59"/>
      <c r="F112" s="59"/>
      <c r="G112" s="90"/>
      <c r="H112" s="90"/>
      <c r="I112" s="93"/>
      <c r="J112" s="93"/>
      <c r="K112" s="93"/>
      <c r="L112" s="69"/>
      <c r="M112" s="69"/>
      <c r="N112" s="39">
        <v>0</v>
      </c>
      <c r="O112" s="21"/>
      <c r="P112" s="21"/>
      <c r="Q112" s="141"/>
      <c r="R112" s="21"/>
      <c r="S112" s="141"/>
      <c r="T112" s="29">
        <v>0</v>
      </c>
      <c r="U112" s="145">
        <v>0</v>
      </c>
      <c r="V112" s="145">
        <v>0</v>
      </c>
      <c r="W112" s="145">
        <v>0</v>
      </c>
      <c r="X112" s="145">
        <v>0</v>
      </c>
      <c r="Y112" s="145">
        <v>0</v>
      </c>
      <c r="Z112" s="145">
        <v>0</v>
      </c>
      <c r="AA112" s="142">
        <f t="shared" si="3"/>
        <v>0</v>
      </c>
      <c r="AB112" s="141"/>
      <c r="AC112" s="67"/>
      <c r="AD112" s="67"/>
      <c r="AE112" s="24"/>
      <c r="AF112" s="24"/>
      <c r="AG112" s="24"/>
    </row>
    <row r="113" spans="1:33" ht="61.5">
      <c r="A113" s="153">
        <v>110</v>
      </c>
      <c r="B113" s="140"/>
      <c r="C113" s="140"/>
      <c r="D113" s="28"/>
      <c r="E113" s="59"/>
      <c r="F113" s="59"/>
      <c r="G113" s="90"/>
      <c r="H113" s="90"/>
      <c r="I113" s="93"/>
      <c r="J113" s="93"/>
      <c r="K113" s="93"/>
      <c r="L113" s="69"/>
      <c r="M113" s="69"/>
      <c r="N113" s="39">
        <v>0</v>
      </c>
      <c r="O113" s="21"/>
      <c r="P113" s="21"/>
      <c r="Q113" s="141"/>
      <c r="R113" s="21"/>
      <c r="S113" s="141"/>
      <c r="T113" s="29">
        <v>0</v>
      </c>
      <c r="U113" s="145">
        <v>0</v>
      </c>
      <c r="V113" s="145">
        <v>0</v>
      </c>
      <c r="W113" s="145">
        <v>0</v>
      </c>
      <c r="X113" s="145">
        <v>0</v>
      </c>
      <c r="Y113" s="145">
        <v>0</v>
      </c>
      <c r="Z113" s="145">
        <v>0</v>
      </c>
      <c r="AA113" s="142">
        <f t="shared" si="3"/>
        <v>0</v>
      </c>
      <c r="AB113" s="141"/>
      <c r="AC113" s="67"/>
      <c r="AD113" s="67"/>
      <c r="AE113" s="24"/>
      <c r="AF113" s="24"/>
      <c r="AG113" s="24"/>
    </row>
    <row r="114" spans="1:33" ht="61.5">
      <c r="A114" s="153">
        <v>111</v>
      </c>
      <c r="B114" s="140"/>
      <c r="C114" s="140"/>
      <c r="D114" s="28"/>
      <c r="E114" s="59"/>
      <c r="F114" s="59"/>
      <c r="G114" s="90"/>
      <c r="H114" s="90"/>
      <c r="I114" s="93"/>
      <c r="J114" s="93"/>
      <c r="K114" s="93"/>
      <c r="L114" s="69"/>
      <c r="M114" s="69"/>
      <c r="N114" s="39">
        <v>0</v>
      </c>
      <c r="O114" s="21"/>
      <c r="P114" s="21"/>
      <c r="Q114" s="141"/>
      <c r="R114" s="21"/>
      <c r="S114" s="141"/>
      <c r="T114" s="29">
        <v>0</v>
      </c>
      <c r="U114" s="145">
        <v>0</v>
      </c>
      <c r="V114" s="145">
        <v>0</v>
      </c>
      <c r="W114" s="145">
        <v>0</v>
      </c>
      <c r="X114" s="145">
        <v>0</v>
      </c>
      <c r="Y114" s="145">
        <v>0</v>
      </c>
      <c r="Z114" s="145">
        <v>0</v>
      </c>
      <c r="AA114" s="142">
        <f t="shared" si="3"/>
        <v>0</v>
      </c>
      <c r="AB114" s="141"/>
      <c r="AC114" s="67"/>
      <c r="AD114" s="67"/>
      <c r="AE114" s="24"/>
      <c r="AF114" s="24"/>
      <c r="AG114" s="24"/>
    </row>
    <row r="115" spans="1:33" ht="61.5">
      <c r="A115" s="153">
        <v>112</v>
      </c>
      <c r="B115" s="140"/>
      <c r="C115" s="140"/>
      <c r="D115" s="28"/>
      <c r="E115" s="59"/>
      <c r="F115" s="59"/>
      <c r="G115" s="90"/>
      <c r="H115" s="90"/>
      <c r="I115" s="93"/>
      <c r="J115" s="93"/>
      <c r="K115" s="93"/>
      <c r="L115" s="69"/>
      <c r="M115" s="69"/>
      <c r="N115" s="39">
        <v>0</v>
      </c>
      <c r="O115" s="21"/>
      <c r="P115" s="21"/>
      <c r="Q115" s="141"/>
      <c r="R115" s="21"/>
      <c r="S115" s="141"/>
      <c r="T115" s="29">
        <v>0</v>
      </c>
      <c r="U115" s="145">
        <v>0</v>
      </c>
      <c r="V115" s="145">
        <v>0</v>
      </c>
      <c r="W115" s="145">
        <v>0</v>
      </c>
      <c r="X115" s="145">
        <v>0</v>
      </c>
      <c r="Y115" s="145">
        <v>0</v>
      </c>
      <c r="Z115" s="145">
        <v>0</v>
      </c>
      <c r="AA115" s="142">
        <f t="shared" si="3"/>
        <v>0</v>
      </c>
      <c r="AB115" s="141"/>
      <c r="AC115" s="67"/>
      <c r="AD115" s="67"/>
      <c r="AE115" s="24"/>
      <c r="AF115" s="24"/>
      <c r="AG115" s="24"/>
    </row>
    <row r="116" spans="1:33" ht="61.5">
      <c r="A116" s="153">
        <v>113</v>
      </c>
      <c r="B116" s="140"/>
      <c r="C116" s="140"/>
      <c r="D116" s="28"/>
      <c r="E116" s="59"/>
      <c r="F116" s="59"/>
      <c r="G116" s="90"/>
      <c r="H116" s="90"/>
      <c r="I116" s="93"/>
      <c r="J116" s="93"/>
      <c r="K116" s="93"/>
      <c r="L116" s="69"/>
      <c r="M116" s="69"/>
      <c r="N116" s="39">
        <v>0</v>
      </c>
      <c r="O116" s="21"/>
      <c r="P116" s="21"/>
      <c r="Q116" s="141"/>
      <c r="R116" s="21"/>
      <c r="S116" s="141"/>
      <c r="T116" s="29">
        <v>0</v>
      </c>
      <c r="U116" s="145">
        <v>0</v>
      </c>
      <c r="V116" s="145">
        <v>0</v>
      </c>
      <c r="W116" s="145">
        <v>0</v>
      </c>
      <c r="X116" s="145">
        <v>0</v>
      </c>
      <c r="Y116" s="145">
        <v>0</v>
      </c>
      <c r="Z116" s="145">
        <v>0</v>
      </c>
      <c r="AA116" s="142">
        <f t="shared" si="3"/>
        <v>0</v>
      </c>
      <c r="AB116" s="141"/>
      <c r="AC116" s="67"/>
      <c r="AD116" s="67"/>
      <c r="AE116" s="24"/>
      <c r="AF116" s="24"/>
      <c r="AG116" s="24"/>
    </row>
    <row r="117" spans="1:33" ht="61.5">
      <c r="A117" s="153">
        <v>114</v>
      </c>
      <c r="B117" s="140"/>
      <c r="C117" s="140"/>
      <c r="D117" s="28"/>
      <c r="E117" s="59"/>
      <c r="F117" s="59"/>
      <c r="G117" s="90"/>
      <c r="H117" s="90"/>
      <c r="I117" s="93"/>
      <c r="J117" s="93"/>
      <c r="K117" s="93"/>
      <c r="L117" s="69"/>
      <c r="M117" s="69"/>
      <c r="N117" s="39">
        <v>0</v>
      </c>
      <c r="O117" s="21"/>
      <c r="P117" s="21"/>
      <c r="Q117" s="141"/>
      <c r="R117" s="21"/>
      <c r="S117" s="141"/>
      <c r="T117" s="29">
        <v>0</v>
      </c>
      <c r="U117" s="145">
        <v>0</v>
      </c>
      <c r="V117" s="145">
        <v>0</v>
      </c>
      <c r="W117" s="145">
        <v>0</v>
      </c>
      <c r="X117" s="145">
        <v>0</v>
      </c>
      <c r="Y117" s="145">
        <v>0</v>
      </c>
      <c r="Z117" s="145">
        <v>0</v>
      </c>
      <c r="AA117" s="142">
        <f t="shared" si="3"/>
        <v>0</v>
      </c>
      <c r="AB117" s="141"/>
      <c r="AC117" s="67"/>
      <c r="AD117" s="67"/>
      <c r="AE117" s="24"/>
      <c r="AF117" s="24"/>
      <c r="AG117" s="24"/>
    </row>
    <row r="118" spans="1:33" ht="61.5">
      <c r="A118" s="153">
        <v>115</v>
      </c>
      <c r="B118" s="140"/>
      <c r="C118" s="140"/>
      <c r="D118" s="28"/>
      <c r="E118" s="59"/>
      <c r="F118" s="59"/>
      <c r="G118" s="90"/>
      <c r="H118" s="90"/>
      <c r="I118" s="93"/>
      <c r="J118" s="93"/>
      <c r="K118" s="93"/>
      <c r="L118" s="69"/>
      <c r="M118" s="69"/>
      <c r="N118" s="39">
        <v>0</v>
      </c>
      <c r="O118" s="21"/>
      <c r="P118" s="21"/>
      <c r="Q118" s="141"/>
      <c r="R118" s="21"/>
      <c r="S118" s="141"/>
      <c r="T118" s="29">
        <v>0</v>
      </c>
      <c r="U118" s="145">
        <v>0</v>
      </c>
      <c r="V118" s="145">
        <v>0</v>
      </c>
      <c r="W118" s="145">
        <v>0</v>
      </c>
      <c r="X118" s="145">
        <v>0</v>
      </c>
      <c r="Y118" s="145">
        <v>0</v>
      </c>
      <c r="Z118" s="145">
        <v>0</v>
      </c>
      <c r="AA118" s="142">
        <f t="shared" si="3"/>
        <v>0</v>
      </c>
      <c r="AB118" s="141"/>
      <c r="AC118" s="67"/>
      <c r="AD118" s="67"/>
      <c r="AE118" s="24"/>
      <c r="AF118" s="24"/>
      <c r="AG118" s="24"/>
    </row>
    <row r="119" spans="1:33" ht="61.5">
      <c r="A119" s="153">
        <v>116</v>
      </c>
      <c r="B119" s="140"/>
      <c r="C119" s="140"/>
      <c r="D119" s="28"/>
      <c r="E119" s="59"/>
      <c r="F119" s="59"/>
      <c r="G119" s="90"/>
      <c r="H119" s="90"/>
      <c r="I119" s="93"/>
      <c r="J119" s="93"/>
      <c r="K119" s="93"/>
      <c r="L119" s="69"/>
      <c r="M119" s="69"/>
      <c r="N119" s="39">
        <v>0</v>
      </c>
      <c r="O119" s="21"/>
      <c r="P119" s="21"/>
      <c r="Q119" s="141"/>
      <c r="R119" s="21"/>
      <c r="S119" s="141"/>
      <c r="T119" s="29">
        <v>0</v>
      </c>
      <c r="U119" s="145">
        <v>0</v>
      </c>
      <c r="V119" s="145">
        <v>0</v>
      </c>
      <c r="W119" s="145">
        <v>0</v>
      </c>
      <c r="X119" s="145">
        <v>0</v>
      </c>
      <c r="Y119" s="145">
        <v>0</v>
      </c>
      <c r="Z119" s="145">
        <v>0</v>
      </c>
      <c r="AA119" s="142">
        <f t="shared" si="3"/>
        <v>0</v>
      </c>
      <c r="AB119" s="141"/>
      <c r="AC119" s="67"/>
      <c r="AD119" s="67"/>
      <c r="AE119" s="24"/>
      <c r="AF119" s="24"/>
      <c r="AG119" s="24"/>
    </row>
    <row r="120" spans="1:33" ht="61.5">
      <c r="A120" s="153">
        <v>117</v>
      </c>
      <c r="B120" s="140"/>
      <c r="C120" s="140"/>
      <c r="D120" s="28"/>
      <c r="E120" s="59"/>
      <c r="F120" s="59"/>
      <c r="G120" s="90"/>
      <c r="H120" s="90"/>
      <c r="I120" s="93"/>
      <c r="J120" s="93"/>
      <c r="K120" s="93"/>
      <c r="L120" s="69"/>
      <c r="M120" s="69"/>
      <c r="N120" s="39">
        <v>0</v>
      </c>
      <c r="O120" s="21"/>
      <c r="P120" s="21"/>
      <c r="Q120" s="141"/>
      <c r="R120" s="21"/>
      <c r="S120" s="141"/>
      <c r="T120" s="29">
        <v>0</v>
      </c>
      <c r="U120" s="145">
        <v>0</v>
      </c>
      <c r="V120" s="145">
        <v>0</v>
      </c>
      <c r="W120" s="145">
        <v>0</v>
      </c>
      <c r="X120" s="145">
        <v>0</v>
      </c>
      <c r="Y120" s="145">
        <v>0</v>
      </c>
      <c r="Z120" s="145">
        <v>0</v>
      </c>
      <c r="AA120" s="142">
        <f t="shared" si="3"/>
        <v>0</v>
      </c>
      <c r="AB120" s="141"/>
      <c r="AC120" s="67"/>
      <c r="AD120" s="67"/>
      <c r="AE120" s="24"/>
      <c r="AF120" s="24"/>
      <c r="AG120" s="24"/>
    </row>
    <row r="121" spans="1:33" ht="61.5">
      <c r="A121" s="153">
        <v>118</v>
      </c>
      <c r="B121" s="140"/>
      <c r="C121" s="140"/>
      <c r="D121" s="28"/>
      <c r="E121" s="59"/>
      <c r="F121" s="59"/>
      <c r="G121" s="90"/>
      <c r="H121" s="90"/>
      <c r="I121" s="93"/>
      <c r="J121" s="93"/>
      <c r="K121" s="93"/>
      <c r="L121" s="69"/>
      <c r="M121" s="69"/>
      <c r="N121" s="39">
        <v>0</v>
      </c>
      <c r="O121" s="21"/>
      <c r="P121" s="21"/>
      <c r="Q121" s="141"/>
      <c r="R121" s="21"/>
      <c r="S121" s="141"/>
      <c r="T121" s="29">
        <v>0</v>
      </c>
      <c r="U121" s="145">
        <v>0</v>
      </c>
      <c r="V121" s="145">
        <v>0</v>
      </c>
      <c r="W121" s="145">
        <v>0</v>
      </c>
      <c r="X121" s="145">
        <v>0</v>
      </c>
      <c r="Y121" s="145">
        <v>0</v>
      </c>
      <c r="Z121" s="145">
        <v>0</v>
      </c>
      <c r="AA121" s="142">
        <f t="shared" si="3"/>
        <v>0</v>
      </c>
      <c r="AB121" s="141"/>
      <c r="AC121" s="67"/>
      <c r="AD121" s="67"/>
      <c r="AE121" s="24"/>
      <c r="AF121" s="24"/>
      <c r="AG121" s="24"/>
    </row>
    <row r="122" spans="1:33" ht="61.5">
      <c r="A122" s="153">
        <v>119</v>
      </c>
      <c r="B122" s="140"/>
      <c r="C122" s="140"/>
      <c r="D122" s="28"/>
      <c r="E122" s="59"/>
      <c r="F122" s="59"/>
      <c r="G122" s="90"/>
      <c r="H122" s="90"/>
      <c r="I122" s="93"/>
      <c r="J122" s="93"/>
      <c r="K122" s="93"/>
      <c r="L122" s="69"/>
      <c r="M122" s="69"/>
      <c r="N122" s="39">
        <v>0</v>
      </c>
      <c r="O122" s="21"/>
      <c r="P122" s="21"/>
      <c r="Q122" s="141"/>
      <c r="R122" s="21"/>
      <c r="S122" s="141"/>
      <c r="T122" s="29">
        <v>0</v>
      </c>
      <c r="U122" s="145">
        <v>0</v>
      </c>
      <c r="V122" s="145">
        <v>0</v>
      </c>
      <c r="W122" s="145">
        <v>0</v>
      </c>
      <c r="X122" s="145">
        <v>0</v>
      </c>
      <c r="Y122" s="145">
        <v>0</v>
      </c>
      <c r="Z122" s="145">
        <v>0</v>
      </c>
      <c r="AA122" s="142">
        <f t="shared" si="3"/>
        <v>0</v>
      </c>
      <c r="AB122" s="141"/>
      <c r="AC122" s="67"/>
      <c r="AD122" s="67"/>
      <c r="AE122" s="24"/>
      <c r="AF122" s="24"/>
      <c r="AG122" s="24"/>
    </row>
    <row r="123" spans="1:33" ht="61.5">
      <c r="A123" s="153">
        <v>120</v>
      </c>
      <c r="B123" s="140"/>
      <c r="C123" s="140"/>
      <c r="D123" s="28"/>
      <c r="E123" s="59"/>
      <c r="F123" s="59"/>
      <c r="G123" s="90"/>
      <c r="H123" s="90"/>
      <c r="I123" s="93"/>
      <c r="J123" s="93"/>
      <c r="K123" s="93"/>
      <c r="L123" s="69"/>
      <c r="M123" s="69"/>
      <c r="N123" s="39">
        <v>0</v>
      </c>
      <c r="O123" s="21"/>
      <c r="P123" s="21"/>
      <c r="Q123" s="141"/>
      <c r="R123" s="21"/>
      <c r="S123" s="141"/>
      <c r="T123" s="29">
        <v>0</v>
      </c>
      <c r="U123" s="145">
        <v>0</v>
      </c>
      <c r="V123" s="145">
        <v>0</v>
      </c>
      <c r="W123" s="145">
        <v>0</v>
      </c>
      <c r="X123" s="145">
        <v>0</v>
      </c>
      <c r="Y123" s="145">
        <v>0</v>
      </c>
      <c r="Z123" s="145">
        <v>0</v>
      </c>
      <c r="AA123" s="142">
        <f t="shared" si="3"/>
        <v>0</v>
      </c>
      <c r="AB123" s="141"/>
      <c r="AC123" s="67"/>
      <c r="AD123" s="67"/>
      <c r="AE123" s="24"/>
      <c r="AF123" s="24"/>
      <c r="AG123" s="24"/>
    </row>
    <row r="124" spans="1:33" ht="61.5">
      <c r="A124" s="153">
        <v>121</v>
      </c>
      <c r="B124" s="140"/>
      <c r="C124" s="140"/>
      <c r="D124" s="28"/>
      <c r="E124" s="59"/>
      <c r="F124" s="59"/>
      <c r="G124" s="90"/>
      <c r="H124" s="90"/>
      <c r="I124" s="93"/>
      <c r="J124" s="93"/>
      <c r="K124" s="93"/>
      <c r="L124" s="69"/>
      <c r="M124" s="69"/>
      <c r="N124" s="39">
        <v>0</v>
      </c>
      <c r="O124" s="21"/>
      <c r="P124" s="21"/>
      <c r="Q124" s="141"/>
      <c r="R124" s="21"/>
      <c r="S124" s="141"/>
      <c r="T124" s="29">
        <v>0</v>
      </c>
      <c r="U124" s="145">
        <v>0</v>
      </c>
      <c r="V124" s="145">
        <v>0</v>
      </c>
      <c r="W124" s="145">
        <v>0</v>
      </c>
      <c r="X124" s="145">
        <v>0</v>
      </c>
      <c r="Y124" s="145">
        <v>0</v>
      </c>
      <c r="Z124" s="145">
        <v>0</v>
      </c>
      <c r="AA124" s="142">
        <f t="shared" si="3"/>
        <v>0</v>
      </c>
      <c r="AB124" s="141"/>
      <c r="AC124" s="67"/>
      <c r="AD124" s="67"/>
      <c r="AE124" s="24"/>
      <c r="AF124" s="24"/>
      <c r="AG124" s="24"/>
    </row>
    <row r="125" spans="1:33" ht="61.5">
      <c r="A125" s="153">
        <v>122</v>
      </c>
      <c r="B125" s="140"/>
      <c r="C125" s="140"/>
      <c r="D125" s="28"/>
      <c r="E125" s="59"/>
      <c r="F125" s="59"/>
      <c r="G125" s="90"/>
      <c r="H125" s="90"/>
      <c r="I125" s="93"/>
      <c r="J125" s="93"/>
      <c r="K125" s="93"/>
      <c r="L125" s="69"/>
      <c r="M125" s="69"/>
      <c r="N125" s="39">
        <v>0</v>
      </c>
      <c r="O125" s="21"/>
      <c r="P125" s="21"/>
      <c r="Q125" s="141"/>
      <c r="R125" s="21"/>
      <c r="S125" s="141"/>
      <c r="T125" s="29">
        <v>0</v>
      </c>
      <c r="U125" s="145">
        <v>0</v>
      </c>
      <c r="V125" s="145">
        <v>0</v>
      </c>
      <c r="W125" s="145">
        <v>0</v>
      </c>
      <c r="X125" s="145">
        <v>0</v>
      </c>
      <c r="Y125" s="145">
        <v>0</v>
      </c>
      <c r="Z125" s="145">
        <v>0</v>
      </c>
      <c r="AA125" s="142">
        <f t="shared" si="3"/>
        <v>0</v>
      </c>
      <c r="AB125" s="141"/>
      <c r="AC125" s="67"/>
      <c r="AD125" s="67"/>
      <c r="AE125" s="24"/>
      <c r="AF125" s="24"/>
      <c r="AG125" s="24"/>
    </row>
    <row r="126" spans="1:33" ht="61.5">
      <c r="A126" s="153">
        <v>123</v>
      </c>
      <c r="B126" s="140"/>
      <c r="C126" s="140"/>
      <c r="D126" s="28"/>
      <c r="E126" s="59"/>
      <c r="F126" s="59"/>
      <c r="G126" s="90"/>
      <c r="H126" s="90"/>
      <c r="I126" s="93"/>
      <c r="J126" s="93"/>
      <c r="K126" s="93"/>
      <c r="L126" s="69"/>
      <c r="M126" s="69"/>
      <c r="N126" s="39">
        <v>0</v>
      </c>
      <c r="O126" s="21"/>
      <c r="P126" s="21"/>
      <c r="Q126" s="141"/>
      <c r="R126" s="21"/>
      <c r="S126" s="141"/>
      <c r="T126" s="29">
        <v>0</v>
      </c>
      <c r="U126" s="145">
        <v>0</v>
      </c>
      <c r="V126" s="145">
        <v>0</v>
      </c>
      <c r="W126" s="145">
        <v>0</v>
      </c>
      <c r="X126" s="145">
        <v>0</v>
      </c>
      <c r="Y126" s="145">
        <v>0</v>
      </c>
      <c r="Z126" s="145">
        <v>0</v>
      </c>
      <c r="AA126" s="142">
        <f t="shared" si="3"/>
        <v>0</v>
      </c>
      <c r="AB126" s="141"/>
      <c r="AC126" s="67"/>
      <c r="AD126" s="67"/>
      <c r="AE126" s="24"/>
      <c r="AF126" s="24"/>
      <c r="AG126" s="24"/>
    </row>
    <row r="127" spans="1:33" ht="61.5">
      <c r="A127" s="153">
        <v>124</v>
      </c>
      <c r="B127" s="140"/>
      <c r="C127" s="140"/>
      <c r="D127" s="28"/>
      <c r="E127" s="59"/>
      <c r="F127" s="59"/>
      <c r="G127" s="90"/>
      <c r="H127" s="90"/>
      <c r="I127" s="93"/>
      <c r="J127" s="93"/>
      <c r="K127" s="93"/>
      <c r="L127" s="69"/>
      <c r="M127" s="69"/>
      <c r="N127" s="39">
        <v>0</v>
      </c>
      <c r="O127" s="21"/>
      <c r="P127" s="21"/>
      <c r="Q127" s="141"/>
      <c r="R127" s="21"/>
      <c r="S127" s="141"/>
      <c r="T127" s="29">
        <v>0</v>
      </c>
      <c r="U127" s="145">
        <v>0</v>
      </c>
      <c r="V127" s="145">
        <v>0</v>
      </c>
      <c r="W127" s="145">
        <v>0</v>
      </c>
      <c r="X127" s="145">
        <v>0</v>
      </c>
      <c r="Y127" s="145">
        <v>0</v>
      </c>
      <c r="Z127" s="145">
        <v>0</v>
      </c>
      <c r="AA127" s="142">
        <f t="shared" si="3"/>
        <v>0</v>
      </c>
      <c r="AB127" s="141"/>
      <c r="AC127" s="67"/>
      <c r="AD127" s="67"/>
      <c r="AE127" s="24"/>
      <c r="AF127" s="24"/>
      <c r="AG127" s="24"/>
    </row>
    <row r="128" spans="1:33" ht="61.5">
      <c r="A128" s="153">
        <v>125</v>
      </c>
      <c r="B128" s="140"/>
      <c r="C128" s="140"/>
      <c r="D128" s="28"/>
      <c r="E128" s="59"/>
      <c r="F128" s="59"/>
      <c r="G128" s="90"/>
      <c r="H128" s="90"/>
      <c r="I128" s="93"/>
      <c r="J128" s="93"/>
      <c r="K128" s="93"/>
      <c r="L128" s="69"/>
      <c r="M128" s="69"/>
      <c r="N128" s="39">
        <v>0</v>
      </c>
      <c r="O128" s="21"/>
      <c r="P128" s="21"/>
      <c r="Q128" s="141"/>
      <c r="R128" s="21"/>
      <c r="S128" s="141"/>
      <c r="T128" s="29">
        <v>0</v>
      </c>
      <c r="U128" s="145">
        <v>0</v>
      </c>
      <c r="V128" s="145">
        <v>0</v>
      </c>
      <c r="W128" s="145">
        <v>0</v>
      </c>
      <c r="X128" s="145">
        <v>0</v>
      </c>
      <c r="Y128" s="145">
        <v>0</v>
      </c>
      <c r="Z128" s="145">
        <v>0</v>
      </c>
      <c r="AA128" s="142">
        <f t="shared" si="3"/>
        <v>0</v>
      </c>
      <c r="AB128" s="141"/>
      <c r="AC128" s="67"/>
      <c r="AD128" s="67"/>
      <c r="AE128" s="24"/>
      <c r="AF128" s="24"/>
      <c r="AG128" s="24"/>
    </row>
    <row r="129" spans="1:33" ht="61.5">
      <c r="A129" s="153">
        <v>126</v>
      </c>
      <c r="B129" s="140"/>
      <c r="C129" s="140"/>
      <c r="D129" s="28"/>
      <c r="E129" s="59"/>
      <c r="F129" s="59"/>
      <c r="G129" s="90"/>
      <c r="H129" s="90"/>
      <c r="I129" s="93"/>
      <c r="J129" s="93"/>
      <c r="K129" s="93"/>
      <c r="L129" s="69"/>
      <c r="M129" s="69"/>
      <c r="N129" s="39">
        <v>0</v>
      </c>
      <c r="O129" s="21"/>
      <c r="P129" s="21"/>
      <c r="Q129" s="141"/>
      <c r="R129" s="21"/>
      <c r="S129" s="141"/>
      <c r="T129" s="29">
        <v>0</v>
      </c>
      <c r="U129" s="145">
        <v>0</v>
      </c>
      <c r="V129" s="145">
        <v>0</v>
      </c>
      <c r="W129" s="145">
        <v>0</v>
      </c>
      <c r="X129" s="145">
        <v>0</v>
      </c>
      <c r="Y129" s="145">
        <v>0</v>
      </c>
      <c r="Z129" s="145">
        <v>0</v>
      </c>
      <c r="AA129" s="142">
        <f t="shared" si="3"/>
        <v>0</v>
      </c>
      <c r="AB129" s="141"/>
      <c r="AC129" s="67"/>
      <c r="AD129" s="67"/>
      <c r="AE129" s="24"/>
      <c r="AF129" s="24"/>
      <c r="AG129" s="24"/>
    </row>
    <row r="130" spans="1:33" ht="61.5">
      <c r="A130" s="153">
        <v>127</v>
      </c>
      <c r="B130" s="140"/>
      <c r="C130" s="140"/>
      <c r="D130" s="28"/>
      <c r="E130" s="59"/>
      <c r="F130" s="59"/>
      <c r="G130" s="90"/>
      <c r="H130" s="90"/>
      <c r="I130" s="93"/>
      <c r="J130" s="93"/>
      <c r="K130" s="93"/>
      <c r="L130" s="69"/>
      <c r="M130" s="69"/>
      <c r="N130" s="39">
        <v>0</v>
      </c>
      <c r="O130" s="21"/>
      <c r="P130" s="21"/>
      <c r="Q130" s="141"/>
      <c r="R130" s="21"/>
      <c r="S130" s="141"/>
      <c r="T130" s="29">
        <v>0</v>
      </c>
      <c r="U130" s="145">
        <v>0</v>
      </c>
      <c r="V130" s="145">
        <v>0</v>
      </c>
      <c r="W130" s="145">
        <v>0</v>
      </c>
      <c r="X130" s="145">
        <v>0</v>
      </c>
      <c r="Y130" s="145">
        <v>0</v>
      </c>
      <c r="Z130" s="145">
        <v>0</v>
      </c>
      <c r="AA130" s="142">
        <f t="shared" si="3"/>
        <v>0</v>
      </c>
      <c r="AB130" s="141"/>
      <c r="AC130" s="67"/>
      <c r="AD130" s="67"/>
      <c r="AE130" s="24"/>
      <c r="AF130" s="24"/>
      <c r="AG130" s="24"/>
    </row>
    <row r="131" spans="1:33" ht="61.5">
      <c r="A131" s="153">
        <v>128</v>
      </c>
      <c r="B131" s="140"/>
      <c r="C131" s="140"/>
      <c r="D131" s="28"/>
      <c r="E131" s="59"/>
      <c r="F131" s="59"/>
      <c r="G131" s="90"/>
      <c r="H131" s="90"/>
      <c r="I131" s="93"/>
      <c r="J131" s="93"/>
      <c r="K131" s="93"/>
      <c r="L131" s="69"/>
      <c r="M131" s="69"/>
      <c r="N131" s="39">
        <v>0</v>
      </c>
      <c r="O131" s="21"/>
      <c r="P131" s="21"/>
      <c r="Q131" s="141"/>
      <c r="R131" s="21"/>
      <c r="S131" s="141"/>
      <c r="T131" s="29">
        <v>0</v>
      </c>
      <c r="U131" s="145">
        <v>0</v>
      </c>
      <c r="V131" s="145">
        <v>0</v>
      </c>
      <c r="W131" s="145">
        <v>0</v>
      </c>
      <c r="X131" s="145">
        <v>0</v>
      </c>
      <c r="Y131" s="145">
        <v>0</v>
      </c>
      <c r="Z131" s="145">
        <v>0</v>
      </c>
      <c r="AA131" s="142">
        <f t="shared" si="3"/>
        <v>0</v>
      </c>
      <c r="AB131" s="141"/>
      <c r="AC131" s="67"/>
      <c r="AD131" s="67"/>
      <c r="AE131" s="24"/>
      <c r="AF131" s="24"/>
      <c r="AG131" s="24"/>
    </row>
    <row r="132" spans="1:33" ht="61.5">
      <c r="A132" s="153">
        <v>129</v>
      </c>
      <c r="B132" s="152"/>
      <c r="C132" s="152"/>
      <c r="D132" s="28"/>
      <c r="E132" s="59"/>
      <c r="F132" s="59"/>
      <c r="G132" s="90"/>
      <c r="H132" s="90"/>
      <c r="I132" s="93"/>
      <c r="J132" s="93"/>
      <c r="K132" s="93"/>
      <c r="L132" s="69"/>
      <c r="M132" s="69"/>
      <c r="N132" s="39">
        <v>0</v>
      </c>
      <c r="O132" s="21"/>
      <c r="P132" s="21"/>
      <c r="Q132" s="141"/>
      <c r="R132" s="21"/>
      <c r="S132" s="141"/>
      <c r="T132" s="29">
        <v>0</v>
      </c>
      <c r="U132" s="145">
        <v>0</v>
      </c>
      <c r="V132" s="145">
        <v>0</v>
      </c>
      <c r="W132" s="145">
        <v>0</v>
      </c>
      <c r="X132" s="145">
        <v>0</v>
      </c>
      <c r="Y132" s="145">
        <v>0</v>
      </c>
      <c r="Z132" s="145">
        <v>0</v>
      </c>
      <c r="AA132" s="142">
        <f t="shared" ref="AA132:AA163" si="4">AVERAGE(T132:Z132)</f>
        <v>0</v>
      </c>
      <c r="AB132" s="141"/>
      <c r="AC132" s="67"/>
      <c r="AD132" s="67"/>
      <c r="AE132" s="24"/>
      <c r="AF132" s="24"/>
      <c r="AG132" s="24"/>
    </row>
    <row r="133" spans="1:33" ht="61.5">
      <c r="A133" s="153">
        <v>130</v>
      </c>
      <c r="B133" s="153"/>
      <c r="C133" s="153"/>
      <c r="D133" s="28"/>
      <c r="E133" s="59"/>
      <c r="F133" s="59"/>
      <c r="G133" s="90"/>
      <c r="H133" s="90"/>
      <c r="I133" s="93"/>
      <c r="J133" s="93"/>
      <c r="K133" s="93"/>
      <c r="L133" s="69"/>
      <c r="M133" s="69"/>
      <c r="N133" s="39">
        <v>0</v>
      </c>
      <c r="O133" s="21"/>
      <c r="P133" s="21"/>
      <c r="Q133" s="141"/>
      <c r="R133" s="21"/>
      <c r="S133" s="141"/>
      <c r="T133" s="29">
        <v>0</v>
      </c>
      <c r="U133" s="145">
        <v>0</v>
      </c>
      <c r="V133" s="145">
        <v>0</v>
      </c>
      <c r="W133" s="145">
        <v>0</v>
      </c>
      <c r="X133" s="145">
        <v>0</v>
      </c>
      <c r="Y133" s="145">
        <v>0</v>
      </c>
      <c r="Z133" s="145">
        <v>0</v>
      </c>
      <c r="AA133" s="142">
        <f t="shared" si="4"/>
        <v>0</v>
      </c>
      <c r="AB133" s="141"/>
      <c r="AC133" s="67"/>
      <c r="AD133" s="67"/>
      <c r="AE133" s="24"/>
      <c r="AF133" s="24"/>
      <c r="AG133" s="24"/>
    </row>
    <row r="134" spans="1:33" ht="61.5">
      <c r="A134" s="153">
        <v>131</v>
      </c>
      <c r="B134" s="153"/>
      <c r="C134" s="153"/>
      <c r="D134" s="28"/>
      <c r="E134" s="59"/>
      <c r="F134" s="59"/>
      <c r="G134" s="90"/>
      <c r="H134" s="90"/>
      <c r="I134" s="93"/>
      <c r="J134" s="93"/>
      <c r="K134" s="93"/>
      <c r="L134" s="69"/>
      <c r="M134" s="69"/>
      <c r="N134" s="39">
        <v>0</v>
      </c>
      <c r="O134" s="21"/>
      <c r="P134" s="21"/>
      <c r="Q134" s="141"/>
      <c r="R134" s="21"/>
      <c r="S134" s="141"/>
      <c r="T134" s="29">
        <v>0</v>
      </c>
      <c r="U134" s="145">
        <v>0</v>
      </c>
      <c r="V134" s="145">
        <v>0</v>
      </c>
      <c r="W134" s="145">
        <v>0</v>
      </c>
      <c r="X134" s="145">
        <v>0</v>
      </c>
      <c r="Y134" s="145">
        <v>0</v>
      </c>
      <c r="Z134" s="145">
        <v>0</v>
      </c>
      <c r="AA134" s="142">
        <f t="shared" si="4"/>
        <v>0</v>
      </c>
      <c r="AB134" s="141"/>
      <c r="AC134" s="67"/>
      <c r="AD134" s="67"/>
      <c r="AE134" s="24"/>
      <c r="AF134" s="24"/>
      <c r="AG134" s="24"/>
    </row>
    <row r="135" spans="1:33" ht="61.5">
      <c r="A135" s="153">
        <v>132</v>
      </c>
      <c r="B135" s="153"/>
      <c r="C135" s="153"/>
      <c r="D135" s="28"/>
      <c r="E135" s="59"/>
      <c r="F135" s="59"/>
      <c r="G135" s="90"/>
      <c r="H135" s="90"/>
      <c r="I135" s="93"/>
      <c r="J135" s="93"/>
      <c r="K135" s="93"/>
      <c r="L135" s="69"/>
      <c r="M135" s="69"/>
      <c r="N135" s="39">
        <v>0</v>
      </c>
      <c r="O135" s="21"/>
      <c r="P135" s="21"/>
      <c r="Q135" s="141"/>
      <c r="R135" s="21"/>
      <c r="S135" s="141"/>
      <c r="T135" s="29">
        <v>0</v>
      </c>
      <c r="U135" s="145">
        <v>0</v>
      </c>
      <c r="V135" s="145">
        <v>0</v>
      </c>
      <c r="W135" s="145">
        <v>0</v>
      </c>
      <c r="X135" s="145">
        <v>0</v>
      </c>
      <c r="Y135" s="145">
        <v>0</v>
      </c>
      <c r="Z135" s="145">
        <v>0</v>
      </c>
      <c r="AA135" s="142">
        <f t="shared" si="4"/>
        <v>0</v>
      </c>
      <c r="AB135" s="141"/>
      <c r="AC135" s="67"/>
      <c r="AD135" s="67"/>
      <c r="AE135" s="24"/>
      <c r="AF135" s="24"/>
      <c r="AG135" s="24"/>
    </row>
    <row r="136" spans="1:33" ht="61.5">
      <c r="A136" s="153">
        <v>133</v>
      </c>
      <c r="B136" s="153"/>
      <c r="C136" s="153"/>
      <c r="D136" s="28"/>
      <c r="E136" s="59"/>
      <c r="F136" s="59"/>
      <c r="G136" s="90"/>
      <c r="H136" s="90"/>
      <c r="I136" s="93"/>
      <c r="J136" s="93"/>
      <c r="K136" s="93"/>
      <c r="L136" s="69"/>
      <c r="M136" s="69"/>
      <c r="N136" s="39">
        <v>0</v>
      </c>
      <c r="O136" s="21"/>
      <c r="P136" s="21"/>
      <c r="Q136" s="141"/>
      <c r="R136" s="21"/>
      <c r="S136" s="141"/>
      <c r="T136" s="29">
        <v>0</v>
      </c>
      <c r="U136" s="145">
        <v>0</v>
      </c>
      <c r="V136" s="145">
        <v>0</v>
      </c>
      <c r="W136" s="145">
        <v>0</v>
      </c>
      <c r="X136" s="145">
        <v>0</v>
      </c>
      <c r="Y136" s="145">
        <v>0</v>
      </c>
      <c r="Z136" s="145">
        <v>0</v>
      </c>
      <c r="AA136" s="142">
        <f t="shared" si="4"/>
        <v>0</v>
      </c>
      <c r="AB136" s="141"/>
      <c r="AC136" s="67"/>
      <c r="AD136" s="67"/>
      <c r="AE136" s="24"/>
      <c r="AF136" s="24"/>
      <c r="AG136" s="24"/>
    </row>
    <row r="137" spans="1:33" ht="61.5">
      <c r="A137" s="153">
        <v>134</v>
      </c>
      <c r="B137" s="153"/>
      <c r="C137" s="153"/>
      <c r="D137" s="28"/>
      <c r="E137" s="59"/>
      <c r="F137" s="59"/>
      <c r="G137" s="90"/>
      <c r="H137" s="90"/>
      <c r="I137" s="93"/>
      <c r="J137" s="93"/>
      <c r="K137" s="93"/>
      <c r="L137" s="69"/>
      <c r="M137" s="69"/>
      <c r="N137" s="39">
        <v>0</v>
      </c>
      <c r="O137" s="21"/>
      <c r="P137" s="21"/>
      <c r="Q137" s="141"/>
      <c r="R137" s="21"/>
      <c r="S137" s="141"/>
      <c r="T137" s="29">
        <v>0</v>
      </c>
      <c r="U137" s="145">
        <v>0</v>
      </c>
      <c r="V137" s="145">
        <v>0</v>
      </c>
      <c r="W137" s="145">
        <v>0</v>
      </c>
      <c r="X137" s="145">
        <v>0</v>
      </c>
      <c r="Y137" s="145">
        <v>0</v>
      </c>
      <c r="Z137" s="145">
        <v>0</v>
      </c>
      <c r="AA137" s="142">
        <f t="shared" si="4"/>
        <v>0</v>
      </c>
      <c r="AB137" s="141"/>
      <c r="AC137" s="67"/>
      <c r="AD137" s="67"/>
      <c r="AE137" s="24"/>
      <c r="AF137" s="24"/>
      <c r="AG137" s="24"/>
    </row>
    <row r="138" spans="1:33" ht="61.5">
      <c r="A138" s="153">
        <v>135</v>
      </c>
      <c r="B138" s="153"/>
      <c r="C138" s="153"/>
      <c r="D138" s="28"/>
      <c r="E138" s="59"/>
      <c r="F138" s="59"/>
      <c r="G138" s="90"/>
      <c r="H138" s="90"/>
      <c r="I138" s="93"/>
      <c r="J138" s="93"/>
      <c r="K138" s="93"/>
      <c r="L138" s="69"/>
      <c r="M138" s="69"/>
      <c r="N138" s="39">
        <v>0</v>
      </c>
      <c r="O138" s="21"/>
      <c r="P138" s="21"/>
      <c r="Q138" s="141"/>
      <c r="R138" s="21"/>
      <c r="S138" s="141"/>
      <c r="T138" s="29">
        <v>0</v>
      </c>
      <c r="U138" s="145">
        <v>0</v>
      </c>
      <c r="V138" s="145">
        <v>0</v>
      </c>
      <c r="W138" s="145">
        <v>0</v>
      </c>
      <c r="X138" s="145">
        <v>0</v>
      </c>
      <c r="Y138" s="145">
        <v>0</v>
      </c>
      <c r="Z138" s="145">
        <v>0</v>
      </c>
      <c r="AA138" s="142">
        <f t="shared" si="4"/>
        <v>0</v>
      </c>
      <c r="AB138" s="141"/>
      <c r="AC138" s="67"/>
      <c r="AD138" s="67"/>
      <c r="AE138" s="24"/>
      <c r="AF138" s="24"/>
      <c r="AG138" s="24"/>
    </row>
    <row r="139" spans="1:33" ht="61.5">
      <c r="A139" s="153">
        <v>136</v>
      </c>
      <c r="B139" s="153"/>
      <c r="C139" s="153"/>
      <c r="D139" s="28"/>
      <c r="E139" s="59"/>
      <c r="F139" s="59"/>
      <c r="G139" s="90"/>
      <c r="H139" s="90"/>
      <c r="I139" s="93"/>
      <c r="J139" s="93"/>
      <c r="K139" s="93"/>
      <c r="L139" s="69"/>
      <c r="M139" s="69"/>
      <c r="N139" s="39">
        <v>0</v>
      </c>
      <c r="O139" s="21"/>
      <c r="P139" s="21"/>
      <c r="Q139" s="141"/>
      <c r="R139" s="21"/>
      <c r="S139" s="141"/>
      <c r="T139" s="29">
        <v>0</v>
      </c>
      <c r="U139" s="145">
        <v>0</v>
      </c>
      <c r="V139" s="145">
        <v>0</v>
      </c>
      <c r="W139" s="145">
        <v>0</v>
      </c>
      <c r="X139" s="145">
        <v>0</v>
      </c>
      <c r="Y139" s="145">
        <v>0</v>
      </c>
      <c r="Z139" s="145">
        <v>0</v>
      </c>
      <c r="AA139" s="142">
        <f t="shared" si="4"/>
        <v>0</v>
      </c>
      <c r="AB139" s="141"/>
      <c r="AC139" s="67"/>
      <c r="AD139" s="67"/>
      <c r="AE139" s="24"/>
      <c r="AF139" s="24"/>
      <c r="AG139" s="24"/>
    </row>
    <row r="140" spans="1:33" ht="61.5">
      <c r="A140" s="153">
        <v>137</v>
      </c>
      <c r="B140" s="153"/>
      <c r="C140" s="153"/>
      <c r="D140" s="28"/>
      <c r="E140" s="59"/>
      <c r="F140" s="59"/>
      <c r="G140" s="90"/>
      <c r="H140" s="90"/>
      <c r="I140" s="93"/>
      <c r="J140" s="93"/>
      <c r="K140" s="93"/>
      <c r="L140" s="69"/>
      <c r="M140" s="69"/>
      <c r="N140" s="39">
        <v>0</v>
      </c>
      <c r="O140" s="21"/>
      <c r="P140" s="21"/>
      <c r="Q140" s="141"/>
      <c r="R140" s="21"/>
      <c r="S140" s="141"/>
      <c r="T140" s="29">
        <v>0</v>
      </c>
      <c r="U140" s="145">
        <v>0</v>
      </c>
      <c r="V140" s="145">
        <v>0</v>
      </c>
      <c r="W140" s="145">
        <v>0</v>
      </c>
      <c r="X140" s="145">
        <v>0</v>
      </c>
      <c r="Y140" s="145">
        <v>0</v>
      </c>
      <c r="Z140" s="145">
        <v>0</v>
      </c>
      <c r="AA140" s="142">
        <f t="shared" si="4"/>
        <v>0</v>
      </c>
      <c r="AB140" s="141"/>
      <c r="AC140" s="67"/>
      <c r="AD140" s="67"/>
      <c r="AE140" s="24"/>
      <c r="AF140" s="24"/>
      <c r="AG140" s="24"/>
    </row>
    <row r="141" spans="1:33" ht="61.5">
      <c r="A141" s="153">
        <v>138</v>
      </c>
      <c r="B141" s="153"/>
      <c r="C141" s="153"/>
      <c r="D141" s="28"/>
      <c r="E141" s="59"/>
      <c r="F141" s="59"/>
      <c r="G141" s="90"/>
      <c r="H141" s="90"/>
      <c r="I141" s="93"/>
      <c r="J141" s="93"/>
      <c r="K141" s="93"/>
      <c r="L141" s="69"/>
      <c r="M141" s="69"/>
      <c r="N141" s="39">
        <v>0</v>
      </c>
      <c r="O141" s="21"/>
      <c r="P141" s="21"/>
      <c r="Q141" s="141"/>
      <c r="R141" s="21"/>
      <c r="S141" s="141"/>
      <c r="T141" s="29">
        <v>0</v>
      </c>
      <c r="U141" s="145">
        <v>0</v>
      </c>
      <c r="V141" s="145">
        <v>0</v>
      </c>
      <c r="W141" s="145">
        <v>0</v>
      </c>
      <c r="X141" s="145">
        <v>0</v>
      </c>
      <c r="Y141" s="145">
        <v>0</v>
      </c>
      <c r="Z141" s="145">
        <v>0</v>
      </c>
      <c r="AA141" s="142">
        <f t="shared" si="4"/>
        <v>0</v>
      </c>
      <c r="AB141" s="141"/>
      <c r="AC141" s="67"/>
      <c r="AD141" s="67"/>
      <c r="AE141" s="24"/>
      <c r="AF141" s="24"/>
      <c r="AG141" s="24"/>
    </row>
    <row r="142" spans="1:33" ht="61.5">
      <c r="A142" s="153">
        <v>139</v>
      </c>
      <c r="B142" s="153"/>
      <c r="C142" s="153"/>
      <c r="D142" s="28"/>
      <c r="E142" s="59"/>
      <c r="F142" s="59"/>
      <c r="G142" s="90"/>
      <c r="H142" s="90"/>
      <c r="I142" s="93"/>
      <c r="J142" s="93"/>
      <c r="K142" s="93"/>
      <c r="L142" s="69"/>
      <c r="M142" s="69"/>
      <c r="N142" s="39">
        <v>0</v>
      </c>
      <c r="O142" s="21"/>
      <c r="P142" s="21"/>
      <c r="Q142" s="141"/>
      <c r="R142" s="21"/>
      <c r="S142" s="141"/>
      <c r="T142" s="29">
        <v>0</v>
      </c>
      <c r="U142" s="145">
        <v>0</v>
      </c>
      <c r="V142" s="145">
        <v>0</v>
      </c>
      <c r="W142" s="145">
        <v>0</v>
      </c>
      <c r="X142" s="145">
        <v>0</v>
      </c>
      <c r="Y142" s="145">
        <v>0</v>
      </c>
      <c r="Z142" s="145">
        <v>0</v>
      </c>
      <c r="AA142" s="142">
        <f t="shared" si="4"/>
        <v>0</v>
      </c>
      <c r="AB142" s="141"/>
      <c r="AC142" s="67"/>
      <c r="AD142" s="67"/>
      <c r="AE142" s="24"/>
      <c r="AF142" s="24"/>
      <c r="AG142" s="24"/>
    </row>
    <row r="143" spans="1:33" ht="61.5">
      <c r="A143" s="153">
        <v>140</v>
      </c>
      <c r="B143" s="153"/>
      <c r="C143" s="153"/>
      <c r="D143" s="28"/>
      <c r="E143" s="59"/>
      <c r="F143" s="59"/>
      <c r="G143" s="90"/>
      <c r="H143" s="90"/>
      <c r="I143" s="93"/>
      <c r="J143" s="93"/>
      <c r="K143" s="93"/>
      <c r="L143" s="69"/>
      <c r="M143" s="69"/>
      <c r="N143" s="39">
        <v>0</v>
      </c>
      <c r="O143" s="21"/>
      <c r="P143" s="21"/>
      <c r="Q143" s="141"/>
      <c r="R143" s="21"/>
      <c r="S143" s="141"/>
      <c r="T143" s="29">
        <v>0</v>
      </c>
      <c r="U143" s="145">
        <v>0</v>
      </c>
      <c r="V143" s="145">
        <v>0</v>
      </c>
      <c r="W143" s="145">
        <v>0</v>
      </c>
      <c r="X143" s="145">
        <v>0</v>
      </c>
      <c r="Y143" s="145">
        <v>0</v>
      </c>
      <c r="Z143" s="145">
        <v>0</v>
      </c>
      <c r="AA143" s="142">
        <f t="shared" si="4"/>
        <v>0</v>
      </c>
      <c r="AB143" s="141"/>
      <c r="AC143" s="67"/>
      <c r="AD143" s="67"/>
      <c r="AE143" s="24"/>
      <c r="AF143" s="24"/>
      <c r="AG143" s="24"/>
    </row>
    <row r="144" spans="1:33" ht="61.5">
      <c r="A144" s="153">
        <v>141</v>
      </c>
      <c r="B144" s="153"/>
      <c r="C144" s="153"/>
      <c r="D144" s="28"/>
      <c r="E144" s="59"/>
      <c r="F144" s="59"/>
      <c r="G144" s="90"/>
      <c r="H144" s="90"/>
      <c r="I144" s="93"/>
      <c r="J144" s="93"/>
      <c r="K144" s="93"/>
      <c r="L144" s="69"/>
      <c r="M144" s="69"/>
      <c r="N144" s="39">
        <v>0</v>
      </c>
      <c r="O144" s="21"/>
      <c r="P144" s="21"/>
      <c r="Q144" s="141"/>
      <c r="R144" s="21"/>
      <c r="S144" s="141"/>
      <c r="T144" s="29">
        <v>0</v>
      </c>
      <c r="U144" s="145">
        <v>0</v>
      </c>
      <c r="V144" s="145">
        <v>0</v>
      </c>
      <c r="W144" s="145">
        <v>0</v>
      </c>
      <c r="X144" s="145">
        <v>0</v>
      </c>
      <c r="Y144" s="145">
        <v>0</v>
      </c>
      <c r="Z144" s="145">
        <v>0</v>
      </c>
      <c r="AA144" s="142">
        <f t="shared" si="4"/>
        <v>0</v>
      </c>
      <c r="AB144" s="141"/>
      <c r="AC144" s="67"/>
      <c r="AD144" s="67"/>
      <c r="AE144" s="24"/>
      <c r="AF144" s="24"/>
      <c r="AG144" s="24"/>
    </row>
    <row r="145" spans="1:33" ht="61.5">
      <c r="A145" s="153">
        <v>142</v>
      </c>
      <c r="B145" s="153"/>
      <c r="C145" s="153"/>
      <c r="D145" s="28"/>
      <c r="E145" s="59"/>
      <c r="F145" s="59"/>
      <c r="G145" s="90"/>
      <c r="H145" s="90"/>
      <c r="I145" s="93"/>
      <c r="J145" s="93"/>
      <c r="K145" s="93"/>
      <c r="L145" s="69"/>
      <c r="M145" s="69"/>
      <c r="N145" s="39">
        <v>0</v>
      </c>
      <c r="O145" s="21"/>
      <c r="P145" s="21"/>
      <c r="Q145" s="141"/>
      <c r="R145" s="21"/>
      <c r="S145" s="141"/>
      <c r="T145" s="29">
        <v>0</v>
      </c>
      <c r="U145" s="145">
        <v>0</v>
      </c>
      <c r="V145" s="145">
        <v>0</v>
      </c>
      <c r="W145" s="145">
        <v>0</v>
      </c>
      <c r="X145" s="145">
        <v>0</v>
      </c>
      <c r="Y145" s="145">
        <v>0</v>
      </c>
      <c r="Z145" s="145">
        <v>0</v>
      </c>
      <c r="AA145" s="142">
        <f t="shared" si="4"/>
        <v>0</v>
      </c>
      <c r="AB145" s="141"/>
      <c r="AC145" s="67"/>
      <c r="AD145" s="67"/>
      <c r="AE145" s="24"/>
      <c r="AF145" s="24"/>
      <c r="AG145" s="24"/>
    </row>
    <row r="146" spans="1:33" ht="61.5">
      <c r="A146" s="153">
        <v>143</v>
      </c>
      <c r="B146" s="153"/>
      <c r="C146" s="153"/>
      <c r="D146" s="28"/>
      <c r="E146" s="59"/>
      <c r="F146" s="59"/>
      <c r="G146" s="90"/>
      <c r="H146" s="90"/>
      <c r="I146" s="93"/>
      <c r="J146" s="94"/>
      <c r="K146" s="94"/>
      <c r="L146" s="69"/>
      <c r="M146" s="69"/>
      <c r="N146" s="39">
        <v>0</v>
      </c>
      <c r="O146" s="25"/>
      <c r="P146" s="25"/>
      <c r="Q146" s="154"/>
      <c r="R146" s="25"/>
      <c r="S146" s="141"/>
      <c r="T146" s="29">
        <v>0</v>
      </c>
      <c r="U146" s="145">
        <v>0</v>
      </c>
      <c r="V146" s="145">
        <v>0</v>
      </c>
      <c r="W146" s="145">
        <v>0</v>
      </c>
      <c r="X146" s="145">
        <v>0</v>
      </c>
      <c r="Y146" s="145">
        <v>0</v>
      </c>
      <c r="Z146" s="145">
        <v>0</v>
      </c>
      <c r="AA146" s="142">
        <f t="shared" si="4"/>
        <v>0</v>
      </c>
      <c r="AB146" s="141"/>
      <c r="AC146" s="67"/>
      <c r="AD146" s="67"/>
      <c r="AE146" s="24"/>
      <c r="AF146" s="24"/>
      <c r="AG146" s="24"/>
    </row>
    <row r="147" spans="1:33" ht="61.5">
      <c r="A147" s="153">
        <v>144</v>
      </c>
      <c r="B147" s="153"/>
      <c r="C147" s="153"/>
      <c r="D147" s="28"/>
      <c r="E147" s="59"/>
      <c r="F147" s="59"/>
      <c r="G147" s="90"/>
      <c r="H147" s="90"/>
      <c r="I147" s="93"/>
      <c r="J147" s="96"/>
      <c r="K147" s="96"/>
      <c r="L147" s="69"/>
      <c r="M147" s="69"/>
      <c r="N147" s="39">
        <v>0</v>
      </c>
      <c r="O147" s="21"/>
      <c r="P147" s="21"/>
      <c r="Q147" s="141"/>
      <c r="R147" s="21"/>
      <c r="S147" s="141"/>
      <c r="T147" s="29">
        <v>0</v>
      </c>
      <c r="U147" s="145">
        <v>0</v>
      </c>
      <c r="V147" s="145">
        <v>0</v>
      </c>
      <c r="W147" s="145">
        <v>0</v>
      </c>
      <c r="X147" s="145">
        <v>0</v>
      </c>
      <c r="Y147" s="145">
        <v>0</v>
      </c>
      <c r="Z147" s="145">
        <v>0</v>
      </c>
      <c r="AA147" s="142">
        <f t="shared" si="4"/>
        <v>0</v>
      </c>
      <c r="AB147" s="141"/>
      <c r="AC147" s="67"/>
      <c r="AD147" s="67"/>
      <c r="AE147" s="24"/>
      <c r="AF147" s="24"/>
      <c r="AG147" s="24"/>
    </row>
    <row r="148" spans="1:33" ht="61.5">
      <c r="A148" s="153">
        <v>145</v>
      </c>
      <c r="B148" s="153"/>
      <c r="C148" s="153"/>
      <c r="D148" s="28"/>
      <c r="E148" s="59"/>
      <c r="F148" s="59"/>
      <c r="G148" s="90"/>
      <c r="H148" s="90"/>
      <c r="I148" s="93"/>
      <c r="J148" s="96"/>
      <c r="K148" s="96"/>
      <c r="L148" s="69"/>
      <c r="M148" s="69"/>
      <c r="N148" s="39">
        <v>0</v>
      </c>
      <c r="O148" s="21"/>
      <c r="P148" s="21"/>
      <c r="Q148" s="141"/>
      <c r="R148" s="21"/>
      <c r="S148" s="141"/>
      <c r="T148" s="29">
        <v>0</v>
      </c>
      <c r="U148" s="145">
        <v>0</v>
      </c>
      <c r="V148" s="145">
        <v>0</v>
      </c>
      <c r="W148" s="145">
        <v>0</v>
      </c>
      <c r="X148" s="145">
        <v>0</v>
      </c>
      <c r="Y148" s="145">
        <v>0</v>
      </c>
      <c r="Z148" s="145">
        <v>0</v>
      </c>
      <c r="AA148" s="142">
        <f t="shared" si="4"/>
        <v>0</v>
      </c>
      <c r="AB148" s="141"/>
      <c r="AC148" s="67"/>
      <c r="AD148" s="67"/>
      <c r="AE148" s="24"/>
      <c r="AF148" s="24"/>
      <c r="AG148" s="24"/>
    </row>
    <row r="149" spans="1:33" ht="61.5">
      <c r="A149" s="153">
        <v>146</v>
      </c>
      <c r="B149" s="153"/>
      <c r="C149" s="28"/>
      <c r="D149" s="28"/>
      <c r="E149" s="59"/>
      <c r="F149" s="59"/>
      <c r="G149" s="92"/>
      <c r="H149" s="90"/>
      <c r="I149" s="93"/>
      <c r="J149" s="96"/>
      <c r="K149" s="96"/>
      <c r="L149" s="69"/>
      <c r="M149" s="69"/>
      <c r="N149" s="39">
        <v>0</v>
      </c>
      <c r="O149" s="21"/>
      <c r="P149" s="21"/>
      <c r="Q149" s="141"/>
      <c r="R149" s="21"/>
      <c r="S149" s="141"/>
      <c r="T149" s="29">
        <v>0</v>
      </c>
      <c r="U149" s="145">
        <v>0</v>
      </c>
      <c r="V149" s="145">
        <v>0</v>
      </c>
      <c r="W149" s="145">
        <v>0</v>
      </c>
      <c r="X149" s="145">
        <v>0</v>
      </c>
      <c r="Y149" s="145">
        <v>0</v>
      </c>
      <c r="Z149" s="145">
        <v>0</v>
      </c>
      <c r="AA149" s="142">
        <f t="shared" si="4"/>
        <v>0</v>
      </c>
      <c r="AB149" s="141"/>
      <c r="AC149" s="67"/>
      <c r="AD149" s="67"/>
      <c r="AE149" s="24"/>
      <c r="AF149" s="24"/>
      <c r="AG149" s="24"/>
    </row>
    <row r="150" spans="1:33" ht="61.5">
      <c r="A150" s="153">
        <v>147</v>
      </c>
      <c r="B150" s="153"/>
      <c r="C150" s="140"/>
      <c r="D150" s="140"/>
      <c r="E150" s="59"/>
      <c r="F150" s="59"/>
      <c r="G150" s="90"/>
      <c r="H150" s="91"/>
      <c r="I150" s="93"/>
      <c r="J150" s="96"/>
      <c r="K150" s="96"/>
      <c r="L150" s="69"/>
      <c r="M150" s="69"/>
      <c r="N150" s="70">
        <v>0</v>
      </c>
      <c r="O150" s="21"/>
      <c r="P150" s="21"/>
      <c r="Q150" s="141"/>
      <c r="R150" s="21"/>
      <c r="S150" s="141"/>
      <c r="T150" s="29">
        <v>0</v>
      </c>
      <c r="U150" s="145">
        <v>0</v>
      </c>
      <c r="V150" s="145">
        <v>0</v>
      </c>
      <c r="W150" s="145">
        <v>0</v>
      </c>
      <c r="X150" s="145">
        <v>0</v>
      </c>
      <c r="Y150" s="145">
        <v>0</v>
      </c>
      <c r="Z150" s="145">
        <v>0</v>
      </c>
      <c r="AA150" s="142">
        <f t="shared" si="4"/>
        <v>0</v>
      </c>
      <c r="AB150" s="141"/>
      <c r="AC150" s="67"/>
      <c r="AD150" s="67"/>
      <c r="AE150" s="24"/>
      <c r="AF150" s="24"/>
      <c r="AG150" s="24"/>
    </row>
  </sheetData>
  <autoFilter ref="A3:AG3" xr:uid="{212DF79D-D233-4D6F-BF54-84976762F215}"/>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52" priority="1" operator="between">
      <formula>TODAY()</formula>
      <formula>TODAY()+7</formula>
    </cfRule>
    <cfRule type="cellIs" dxfId="51" priority="2" operator="greaterThanOrEqual">
      <formula>TODAY()+30</formula>
    </cfRule>
    <cfRule type="cellIs" dxfId="50"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BD6E8906-5EEF-4CA7-9B60-6BAD3B5C4BDD}"/>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93C1FBD2-8683-487E-B2E4-A39F9352A381}">
          <x14:formula1>
            <xm:f>'Guide suivi GDP '!$E$34:$E$36</xm:f>
          </x14:formula1>
          <xm:sqref>C4:C150</xm:sqref>
        </x14:dataValidation>
        <x14:dataValidation type="list" showInputMessage="1" showErrorMessage="1" xr:uid="{F9002C50-B68F-482D-A509-A836EFFBE62F}">
          <x14:formula1>
            <xm:f>'Guide suivi GDP '!$E$31:$E$33</xm:f>
          </x14:formula1>
          <xm:sqref>B4:B63</xm:sqref>
        </x14:dataValidation>
        <x14:dataValidation type="list" allowBlank="1" showInputMessage="1" showErrorMessage="1" xr:uid="{7D9B1953-CBE9-41FA-B967-8C708B58D012}">
          <x14:formula1>
            <xm:f>'Guide suivi GDP '!$E$20:$E$24</xm:f>
          </x14:formula1>
          <xm:sqref>R4:R150</xm:sqref>
        </x14:dataValidation>
        <x14:dataValidation type="list" allowBlank="1" showInputMessage="1" showErrorMessage="1" xr:uid="{7F86D25C-FA79-402F-A0B7-EA8A8770D9B5}">
          <x14:formula1>
            <xm:f>'Guide suivi GDP '!$E$3:$E$8</xm:f>
          </x14:formula1>
          <xm:sqref>Q4:Q150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42E05-E7E2-4849-8E99-D626BADB3A22}">
  <dimension ref="A1:AG150"/>
  <sheetViews>
    <sheetView workbookViewId="0">
      <pane ySplit="3" topLeftCell="A4" activePane="bottomLeft" state="frozen"/>
      <selection pane="bottomLeft" activeCell="G4" sqref="G4"/>
    </sheetView>
  </sheetViews>
  <sheetFormatPr baseColWidth="10" defaultColWidth="9.140625" defaultRowHeight="12.75"/>
  <cols>
    <col min="7" max="7" width="14.28515625" customWidth="1"/>
    <col min="8" max="8" width="14.140625" customWidth="1"/>
    <col min="9" max="9" width="38.85546875" customWidth="1"/>
    <col min="10" max="10" width="38.42578125" customWidth="1"/>
    <col min="11" max="11" width="34.5703125" customWidth="1"/>
    <col min="13" max="13" width="39.28515625" customWidth="1"/>
  </cols>
  <sheetData>
    <row r="1" spans="1:33" ht="15.75">
      <c r="A1" s="78"/>
      <c r="B1" s="88" t="s">
        <v>717</v>
      </c>
      <c r="C1" s="99">
        <v>45924</v>
      </c>
      <c r="D1" s="88" t="s">
        <v>718</v>
      </c>
      <c r="E1" s="82"/>
      <c r="F1" s="82"/>
      <c r="G1" s="204" t="s">
        <v>719</v>
      </c>
      <c r="H1" s="204"/>
      <c r="I1" s="204"/>
      <c r="J1" s="204"/>
      <c r="K1" s="205"/>
      <c r="L1" s="202" t="s">
        <v>720</v>
      </c>
      <c r="M1" s="202"/>
      <c r="N1" s="202"/>
      <c r="O1" s="202"/>
      <c r="P1" s="202"/>
      <c r="Q1" s="202"/>
      <c r="R1" s="203"/>
      <c r="S1" s="79"/>
      <c r="T1" s="79" t="s">
        <v>721</v>
      </c>
      <c r="U1" s="80"/>
      <c r="V1" s="80"/>
      <c r="W1" s="80"/>
      <c r="X1" s="80"/>
      <c r="Y1" s="80"/>
      <c r="Z1" s="80"/>
      <c r="AA1" s="80"/>
      <c r="AB1" s="77" t="s">
        <v>721</v>
      </c>
      <c r="AC1" s="81"/>
      <c r="AD1" s="81"/>
      <c r="AE1" s="81"/>
      <c r="AF1" s="81"/>
      <c r="AG1" s="81"/>
    </row>
    <row r="2" spans="1:33" ht="18">
      <c r="A2" s="82"/>
      <c r="B2" s="82"/>
      <c r="C2" s="82"/>
      <c r="D2" s="87">
        <f>SUBTOTAL(3,D4:D150)</f>
        <v>43</v>
      </c>
      <c r="E2" s="100">
        <f>SUBTOTAL(1,E4:E31)</f>
        <v>3.1086956521739131</v>
      </c>
      <c r="F2" s="100">
        <f>SUBTOTAL(1,F4:F31)</f>
        <v>3.6086956521739131</v>
      </c>
      <c r="G2" s="204"/>
      <c r="H2" s="204"/>
      <c r="I2" s="204"/>
      <c r="J2" s="204"/>
      <c r="K2" s="205"/>
      <c r="L2" s="202"/>
      <c r="M2" s="202"/>
      <c r="N2" s="202"/>
      <c r="O2" s="202"/>
      <c r="P2" s="202"/>
      <c r="Q2" s="202"/>
      <c r="R2" s="203"/>
      <c r="S2" s="83"/>
      <c r="T2" s="156" t="s">
        <v>68</v>
      </c>
      <c r="U2" s="156" t="s">
        <v>69</v>
      </c>
      <c r="V2" s="209" t="s">
        <v>71</v>
      </c>
      <c r="W2" s="209"/>
      <c r="X2" s="209" t="s">
        <v>76</v>
      </c>
      <c r="Y2" s="209"/>
      <c r="Z2" s="209"/>
      <c r="AA2" s="84">
        <f>SUBTOTAL(1,AA4:AA31)</f>
        <v>0.18367346938775511</v>
      </c>
      <c r="AB2" s="81"/>
      <c r="AC2" s="81"/>
      <c r="AD2" s="81"/>
      <c r="AE2" s="81"/>
      <c r="AF2" s="81"/>
      <c r="AG2" s="81"/>
    </row>
    <row r="3" spans="1:33" ht="76.5">
      <c r="A3" s="72" t="s">
        <v>724</v>
      </c>
      <c r="B3" s="72" t="s">
        <v>725</v>
      </c>
      <c r="C3" s="72" t="s">
        <v>60</v>
      </c>
      <c r="D3" s="72" t="s">
        <v>85</v>
      </c>
      <c r="E3" s="73" t="s">
        <v>726</v>
      </c>
      <c r="F3" s="73" t="s">
        <v>727</v>
      </c>
      <c r="G3" s="72" t="s">
        <v>728</v>
      </c>
      <c r="H3" s="72" t="s">
        <v>601</v>
      </c>
      <c r="I3" s="97" t="s">
        <v>602</v>
      </c>
      <c r="J3" s="97" t="s">
        <v>603</v>
      </c>
      <c r="K3" s="97" t="s">
        <v>604</v>
      </c>
      <c r="L3" s="73" t="s">
        <v>729</v>
      </c>
      <c r="M3" s="73" t="s">
        <v>730</v>
      </c>
      <c r="N3" s="73" t="s">
        <v>229</v>
      </c>
      <c r="O3" s="73" t="s">
        <v>86</v>
      </c>
      <c r="P3" s="73" t="s">
        <v>731</v>
      </c>
      <c r="Q3" s="73" t="s">
        <v>732</v>
      </c>
      <c r="R3" s="73" t="s">
        <v>733</v>
      </c>
      <c r="S3" s="73" t="s">
        <v>734</v>
      </c>
      <c r="T3" s="73" t="s">
        <v>90</v>
      </c>
      <c r="U3" s="73" t="s">
        <v>91</v>
      </c>
      <c r="V3" s="73" t="s">
        <v>92</v>
      </c>
      <c r="W3" s="73" t="s">
        <v>93</v>
      </c>
      <c r="X3" s="73" t="s">
        <v>94</v>
      </c>
      <c r="Y3" s="73" t="s">
        <v>95</v>
      </c>
      <c r="Z3" s="73" t="s">
        <v>96</v>
      </c>
      <c r="AA3" s="73" t="s">
        <v>80</v>
      </c>
      <c r="AB3" s="72" t="s">
        <v>735</v>
      </c>
      <c r="AC3" s="72" t="s">
        <v>736</v>
      </c>
      <c r="AD3" s="72" t="s">
        <v>737</v>
      </c>
      <c r="AE3" s="72" t="s">
        <v>738</v>
      </c>
      <c r="AF3" s="72" t="s">
        <v>739</v>
      </c>
      <c r="AG3" s="72" t="s">
        <v>740</v>
      </c>
    </row>
    <row r="4" spans="1:33" ht="61.5">
      <c r="A4" s="153">
        <v>1</v>
      </c>
      <c r="B4" s="153" t="s">
        <v>57</v>
      </c>
      <c r="C4" s="153" t="s">
        <v>61</v>
      </c>
      <c r="D4" s="153" t="s">
        <v>653</v>
      </c>
      <c r="E4" s="59">
        <v>4</v>
      </c>
      <c r="F4" s="59">
        <v>4</v>
      </c>
      <c r="G4" s="90">
        <v>45922</v>
      </c>
      <c r="H4" s="90">
        <v>45923</v>
      </c>
      <c r="I4" s="93" t="s">
        <v>751</v>
      </c>
      <c r="J4" s="94"/>
      <c r="K4" s="94"/>
      <c r="L4" s="69"/>
      <c r="M4" s="69" t="s">
        <v>752</v>
      </c>
      <c r="N4" s="39">
        <v>2</v>
      </c>
      <c r="O4" s="141" t="s">
        <v>753</v>
      </c>
      <c r="P4" s="141" t="s">
        <v>754</v>
      </c>
      <c r="Q4" s="141" t="s">
        <v>26</v>
      </c>
      <c r="R4" s="141" t="s">
        <v>45</v>
      </c>
      <c r="S4" s="141"/>
      <c r="T4" s="29">
        <v>0</v>
      </c>
      <c r="U4" s="145">
        <v>0</v>
      </c>
      <c r="V4" s="145">
        <v>0</v>
      </c>
      <c r="W4" s="145">
        <v>0</v>
      </c>
      <c r="X4" s="145">
        <v>0</v>
      </c>
      <c r="Y4" s="145">
        <v>0</v>
      </c>
      <c r="Z4" s="145">
        <v>0</v>
      </c>
      <c r="AA4" s="142">
        <f t="shared" ref="AA4:AA35" si="0">AVERAGE(T4:Z4)</f>
        <v>0</v>
      </c>
      <c r="AB4" s="141"/>
      <c r="AC4" s="67"/>
      <c r="AD4" s="67"/>
      <c r="AE4" s="24"/>
      <c r="AF4" s="24"/>
      <c r="AG4" s="24"/>
    </row>
    <row r="5" spans="1:33" ht="61.5">
      <c r="A5" s="153">
        <v>2</v>
      </c>
      <c r="B5" s="153" t="s">
        <v>57</v>
      </c>
      <c r="C5" s="153" t="s">
        <v>61</v>
      </c>
      <c r="D5" s="28" t="s">
        <v>708</v>
      </c>
      <c r="E5" s="60">
        <v>2.5</v>
      </c>
      <c r="F5" s="60">
        <v>5</v>
      </c>
      <c r="G5" s="90"/>
      <c r="H5" s="90">
        <v>45953</v>
      </c>
      <c r="I5" s="93"/>
      <c r="J5" s="95" t="s">
        <v>710</v>
      </c>
      <c r="K5" s="95"/>
      <c r="L5" s="69"/>
      <c r="M5" s="69" t="s">
        <v>758</v>
      </c>
      <c r="N5" s="39">
        <v>2</v>
      </c>
      <c r="O5" s="141" t="s">
        <v>753</v>
      </c>
      <c r="P5" s="141" t="s">
        <v>759</v>
      </c>
      <c r="Q5" s="141" t="s">
        <v>26</v>
      </c>
      <c r="R5" s="21"/>
      <c r="S5" s="141"/>
      <c r="T5" s="29">
        <v>0</v>
      </c>
      <c r="U5" s="145">
        <v>0</v>
      </c>
      <c r="V5" s="145">
        <v>0</v>
      </c>
      <c r="W5" s="145">
        <v>0</v>
      </c>
      <c r="X5" s="145">
        <v>0</v>
      </c>
      <c r="Y5" s="145">
        <v>0</v>
      </c>
      <c r="Z5" s="145">
        <v>0</v>
      </c>
      <c r="AA5" s="142">
        <f t="shared" si="0"/>
        <v>0</v>
      </c>
      <c r="AB5" s="141"/>
      <c r="AC5" s="67"/>
      <c r="AD5" s="67"/>
      <c r="AE5" s="24"/>
      <c r="AF5" s="24"/>
      <c r="AG5" s="24"/>
    </row>
    <row r="6" spans="1:33" ht="75">
      <c r="A6" s="153">
        <v>3</v>
      </c>
      <c r="B6" s="153" t="s">
        <v>57</v>
      </c>
      <c r="C6" s="153" t="s">
        <v>61</v>
      </c>
      <c r="D6" s="28" t="s">
        <v>670</v>
      </c>
      <c r="E6" s="59">
        <v>1</v>
      </c>
      <c r="F6" s="59">
        <v>4</v>
      </c>
      <c r="G6" s="90" t="s">
        <v>762</v>
      </c>
      <c r="H6" s="90" t="s">
        <v>762</v>
      </c>
      <c r="I6" s="93" t="s">
        <v>923</v>
      </c>
      <c r="J6" s="96"/>
      <c r="K6" s="96"/>
      <c r="L6" s="69"/>
      <c r="M6" s="69" t="s">
        <v>763</v>
      </c>
      <c r="N6" s="39">
        <v>2</v>
      </c>
      <c r="O6" s="141" t="s">
        <v>764</v>
      </c>
      <c r="P6" s="141" t="s">
        <v>765</v>
      </c>
      <c r="Q6" s="141" t="s">
        <v>22</v>
      </c>
      <c r="R6" s="141"/>
      <c r="S6" s="141"/>
      <c r="T6" s="29">
        <v>0</v>
      </c>
      <c r="U6" s="145">
        <v>0</v>
      </c>
      <c r="V6" s="145">
        <v>0</v>
      </c>
      <c r="W6" s="145">
        <v>0</v>
      </c>
      <c r="X6" s="145">
        <v>0</v>
      </c>
      <c r="Y6" s="145">
        <v>0</v>
      </c>
      <c r="Z6" s="145">
        <v>0</v>
      </c>
      <c r="AA6" s="142">
        <f t="shared" si="0"/>
        <v>0</v>
      </c>
      <c r="AB6" s="141"/>
      <c r="AC6" s="67"/>
      <c r="AD6" s="67"/>
      <c r="AE6" s="24"/>
      <c r="AF6" s="24"/>
      <c r="AG6" s="24"/>
    </row>
    <row r="7" spans="1:33" ht="63.75">
      <c r="A7" s="153">
        <v>4</v>
      </c>
      <c r="B7" s="153" t="s">
        <v>57</v>
      </c>
      <c r="C7" s="153" t="s">
        <v>61</v>
      </c>
      <c r="D7" s="28" t="s">
        <v>677</v>
      </c>
      <c r="E7" s="59">
        <v>4</v>
      </c>
      <c r="F7" s="59">
        <v>4</v>
      </c>
      <c r="G7" s="90">
        <v>45922</v>
      </c>
      <c r="H7" s="90">
        <v>45936</v>
      </c>
      <c r="I7" s="93" t="s">
        <v>924</v>
      </c>
      <c r="J7" s="96" t="s">
        <v>768</v>
      </c>
      <c r="K7" s="96"/>
      <c r="L7" s="69"/>
      <c r="M7" s="69" t="s">
        <v>769</v>
      </c>
      <c r="N7" s="39">
        <v>2</v>
      </c>
      <c r="O7" s="141" t="s">
        <v>764</v>
      </c>
      <c r="P7" s="141" t="s">
        <v>770</v>
      </c>
      <c r="Q7" s="141" t="s">
        <v>26</v>
      </c>
      <c r="R7" s="141"/>
      <c r="S7" s="141"/>
      <c r="T7" s="29">
        <v>0</v>
      </c>
      <c r="U7" s="145">
        <v>0</v>
      </c>
      <c r="V7" s="145">
        <v>0</v>
      </c>
      <c r="W7" s="145">
        <v>0</v>
      </c>
      <c r="X7" s="145">
        <v>0</v>
      </c>
      <c r="Y7" s="145">
        <v>0</v>
      </c>
      <c r="Z7" s="145">
        <v>0</v>
      </c>
      <c r="AA7" s="142">
        <f t="shared" si="0"/>
        <v>0</v>
      </c>
      <c r="AB7" s="141"/>
      <c r="AC7" s="67"/>
      <c r="AD7" s="67"/>
      <c r="AE7" s="24"/>
      <c r="AF7" s="24"/>
      <c r="AG7" s="24"/>
    </row>
    <row r="8" spans="1:33" ht="61.5">
      <c r="A8" s="153">
        <v>5</v>
      </c>
      <c r="B8" s="153" t="s">
        <v>57</v>
      </c>
      <c r="C8" s="153" t="s">
        <v>61</v>
      </c>
      <c r="D8" s="28" t="s">
        <v>611</v>
      </c>
      <c r="E8" s="59">
        <v>3</v>
      </c>
      <c r="F8" s="59">
        <v>4</v>
      </c>
      <c r="G8" s="90">
        <v>45909</v>
      </c>
      <c r="H8" s="90">
        <v>45951</v>
      </c>
      <c r="I8" s="93" t="s">
        <v>612</v>
      </c>
      <c r="J8" s="96" t="s">
        <v>613</v>
      </c>
      <c r="K8" s="96"/>
      <c r="L8" s="69"/>
      <c r="M8" s="69" t="s">
        <v>772</v>
      </c>
      <c r="N8" s="39">
        <v>2</v>
      </c>
      <c r="O8" s="141" t="s">
        <v>753</v>
      </c>
      <c r="P8" s="141" t="s">
        <v>770</v>
      </c>
      <c r="Q8" s="141" t="s">
        <v>26</v>
      </c>
      <c r="R8" s="141"/>
      <c r="S8" s="141"/>
      <c r="T8" s="29">
        <v>0</v>
      </c>
      <c r="U8" s="145">
        <v>0</v>
      </c>
      <c r="V8" s="145">
        <v>0</v>
      </c>
      <c r="W8" s="145">
        <v>0</v>
      </c>
      <c r="X8" s="145">
        <v>0</v>
      </c>
      <c r="Y8" s="145">
        <v>0</v>
      </c>
      <c r="Z8" s="145">
        <v>0</v>
      </c>
      <c r="AA8" s="142">
        <f t="shared" si="0"/>
        <v>0</v>
      </c>
      <c r="AB8" s="141"/>
      <c r="AC8" s="67"/>
      <c r="AD8" s="67"/>
      <c r="AE8" s="24"/>
      <c r="AF8" s="24"/>
      <c r="AG8" s="24"/>
    </row>
    <row r="9" spans="1:33" ht="102">
      <c r="A9" s="153">
        <v>6</v>
      </c>
      <c r="B9" s="153" t="s">
        <v>57</v>
      </c>
      <c r="C9" s="153" t="s">
        <v>61</v>
      </c>
      <c r="D9" s="28" t="s">
        <v>693</v>
      </c>
      <c r="E9" s="59">
        <v>3</v>
      </c>
      <c r="F9" s="59">
        <v>4</v>
      </c>
      <c r="G9" s="90"/>
      <c r="H9" s="90">
        <v>45936</v>
      </c>
      <c r="I9" s="93" t="s">
        <v>925</v>
      </c>
      <c r="J9" s="96" t="s">
        <v>695</v>
      </c>
      <c r="K9" s="96"/>
      <c r="L9" s="69"/>
      <c r="M9" s="69" t="s">
        <v>775</v>
      </c>
      <c r="N9" s="39">
        <v>2</v>
      </c>
      <c r="O9" s="141" t="s">
        <v>764</v>
      </c>
      <c r="P9" s="141" t="s">
        <v>770</v>
      </c>
      <c r="Q9" s="141" t="s">
        <v>26</v>
      </c>
      <c r="R9" s="141"/>
      <c r="S9" s="141"/>
      <c r="T9" s="29">
        <v>0</v>
      </c>
      <c r="U9" s="145">
        <v>0</v>
      </c>
      <c r="V9" s="145">
        <v>0</v>
      </c>
      <c r="W9" s="145">
        <v>0</v>
      </c>
      <c r="X9" s="145">
        <v>0</v>
      </c>
      <c r="Y9" s="145">
        <v>0</v>
      </c>
      <c r="Z9" s="145">
        <v>0</v>
      </c>
      <c r="AA9" s="142">
        <f t="shared" si="0"/>
        <v>0</v>
      </c>
      <c r="AB9" s="141"/>
      <c r="AC9" s="67"/>
      <c r="AD9" s="67"/>
      <c r="AE9" s="24"/>
      <c r="AF9" s="24"/>
      <c r="AG9" s="24"/>
    </row>
    <row r="10" spans="1:33" ht="102">
      <c r="A10" s="153">
        <v>7</v>
      </c>
      <c r="B10" s="153" t="s">
        <v>57</v>
      </c>
      <c r="C10" s="153" t="s">
        <v>61</v>
      </c>
      <c r="D10" s="28" t="s">
        <v>617</v>
      </c>
      <c r="E10" s="59">
        <v>4</v>
      </c>
      <c r="F10" s="59">
        <v>4</v>
      </c>
      <c r="G10" s="90">
        <v>45923</v>
      </c>
      <c r="H10" s="90">
        <v>45926</v>
      </c>
      <c r="I10" s="93" t="s">
        <v>926</v>
      </c>
      <c r="J10" s="96" t="s">
        <v>777</v>
      </c>
      <c r="K10" s="96"/>
      <c r="L10" s="69"/>
      <c r="M10" s="69" t="s">
        <v>775</v>
      </c>
      <c r="N10" s="39">
        <v>2</v>
      </c>
      <c r="O10" s="141" t="s">
        <v>150</v>
      </c>
      <c r="P10" s="141" t="s">
        <v>764</v>
      </c>
      <c r="Q10" s="141" t="s">
        <v>26</v>
      </c>
      <c r="R10" s="141"/>
      <c r="S10" s="141"/>
      <c r="T10" s="29">
        <v>0</v>
      </c>
      <c r="U10" s="145">
        <v>0</v>
      </c>
      <c r="V10" s="145">
        <v>0</v>
      </c>
      <c r="W10" s="145">
        <v>0</v>
      </c>
      <c r="X10" s="145">
        <v>0</v>
      </c>
      <c r="Y10" s="145">
        <v>0</v>
      </c>
      <c r="Z10" s="145">
        <v>0</v>
      </c>
      <c r="AA10" s="142">
        <f t="shared" si="0"/>
        <v>0</v>
      </c>
      <c r="AB10" s="141"/>
      <c r="AC10" s="67"/>
      <c r="AD10" s="67"/>
      <c r="AE10" s="24"/>
      <c r="AF10" s="24"/>
      <c r="AG10" s="24"/>
    </row>
    <row r="11" spans="1:33" ht="89.25">
      <c r="A11" s="153">
        <v>8</v>
      </c>
      <c r="B11" s="153" t="s">
        <v>57</v>
      </c>
      <c r="C11" s="153" t="s">
        <v>61</v>
      </c>
      <c r="D11" s="28" t="s">
        <v>615</v>
      </c>
      <c r="E11" s="59">
        <v>5</v>
      </c>
      <c r="F11" s="59">
        <v>5</v>
      </c>
      <c r="G11" s="90">
        <v>45919</v>
      </c>
      <c r="H11" s="90">
        <v>45933</v>
      </c>
      <c r="I11" s="93" t="s">
        <v>927</v>
      </c>
      <c r="J11" s="96"/>
      <c r="K11" s="96"/>
      <c r="L11" s="69"/>
      <c r="M11" s="69" t="s">
        <v>780</v>
      </c>
      <c r="N11" s="39">
        <v>3</v>
      </c>
      <c r="O11" s="141" t="s">
        <v>764</v>
      </c>
      <c r="P11" s="141" t="s">
        <v>770</v>
      </c>
      <c r="Q11" s="141" t="s">
        <v>14</v>
      </c>
      <c r="R11" s="141"/>
      <c r="S11" s="141"/>
      <c r="T11" s="29">
        <v>0</v>
      </c>
      <c r="U11" s="145">
        <v>0</v>
      </c>
      <c r="V11" s="145">
        <v>0</v>
      </c>
      <c r="W11" s="145">
        <v>0</v>
      </c>
      <c r="X11" s="145">
        <v>0</v>
      </c>
      <c r="Y11" s="145">
        <v>0</v>
      </c>
      <c r="Z11" s="145">
        <v>0</v>
      </c>
      <c r="AA11" s="142">
        <f t="shared" si="0"/>
        <v>0</v>
      </c>
      <c r="AB11" s="141"/>
      <c r="AC11" s="67"/>
      <c r="AD11" s="67"/>
      <c r="AE11" s="24"/>
      <c r="AF11" s="24"/>
      <c r="AG11" s="24"/>
    </row>
    <row r="12" spans="1:33" ht="63.75">
      <c r="A12" s="153">
        <v>9</v>
      </c>
      <c r="B12" s="153" t="s">
        <v>57</v>
      </c>
      <c r="C12" s="153" t="s">
        <v>61</v>
      </c>
      <c r="D12" s="28" t="s">
        <v>246</v>
      </c>
      <c r="E12" s="59">
        <v>2</v>
      </c>
      <c r="F12" s="59">
        <v>2</v>
      </c>
      <c r="G12" s="90">
        <v>45905</v>
      </c>
      <c r="H12" s="90">
        <v>45933</v>
      </c>
      <c r="I12" s="93" t="s">
        <v>782</v>
      </c>
      <c r="J12" s="96" t="s">
        <v>783</v>
      </c>
      <c r="K12" s="96" t="s">
        <v>702</v>
      </c>
      <c r="L12" s="69"/>
      <c r="M12" s="69" t="s">
        <v>784</v>
      </c>
      <c r="N12" s="39">
        <v>2</v>
      </c>
      <c r="O12" s="141" t="s">
        <v>150</v>
      </c>
      <c r="P12" s="141" t="s">
        <v>753</v>
      </c>
      <c r="Q12" s="141" t="s">
        <v>14</v>
      </c>
      <c r="R12" s="141"/>
      <c r="S12" s="141"/>
      <c r="T12" s="29">
        <v>0</v>
      </c>
      <c r="U12" s="145">
        <v>0</v>
      </c>
      <c r="V12" s="145">
        <v>0</v>
      </c>
      <c r="W12" s="145">
        <v>0</v>
      </c>
      <c r="X12" s="145">
        <v>0</v>
      </c>
      <c r="Y12" s="145">
        <v>0</v>
      </c>
      <c r="Z12" s="145">
        <v>0</v>
      </c>
      <c r="AA12" s="142">
        <f t="shared" si="0"/>
        <v>0</v>
      </c>
      <c r="AB12" s="141"/>
      <c r="AC12" s="67"/>
      <c r="AD12" s="67"/>
      <c r="AE12" s="24"/>
      <c r="AF12" s="24"/>
      <c r="AG12" s="24"/>
    </row>
    <row r="13" spans="1:33" ht="76.5">
      <c r="A13" s="153">
        <v>10</v>
      </c>
      <c r="B13" s="153" t="s">
        <v>57</v>
      </c>
      <c r="C13" s="153" t="s">
        <v>61</v>
      </c>
      <c r="D13" s="28" t="s">
        <v>633</v>
      </c>
      <c r="E13" s="59">
        <v>4</v>
      </c>
      <c r="F13" s="59">
        <v>4</v>
      </c>
      <c r="G13" s="90">
        <v>45916</v>
      </c>
      <c r="H13" s="90">
        <v>45933</v>
      </c>
      <c r="I13" s="93" t="s">
        <v>928</v>
      </c>
      <c r="J13" s="96" t="s">
        <v>635</v>
      </c>
      <c r="K13" s="96"/>
      <c r="L13" s="69"/>
      <c r="M13" s="69" t="s">
        <v>787</v>
      </c>
      <c r="N13" s="39">
        <v>3</v>
      </c>
      <c r="O13" s="141" t="s">
        <v>764</v>
      </c>
      <c r="P13" s="141" t="s">
        <v>770</v>
      </c>
      <c r="Q13" s="141" t="s">
        <v>14</v>
      </c>
      <c r="R13" s="141"/>
      <c r="S13" s="141"/>
      <c r="T13" s="29">
        <v>0</v>
      </c>
      <c r="U13" s="145">
        <v>0</v>
      </c>
      <c r="V13" s="145">
        <v>0</v>
      </c>
      <c r="W13" s="145">
        <v>0</v>
      </c>
      <c r="X13" s="145">
        <v>0</v>
      </c>
      <c r="Y13" s="145">
        <v>0</v>
      </c>
      <c r="Z13" s="145">
        <v>0</v>
      </c>
      <c r="AA13" s="142">
        <f t="shared" si="0"/>
        <v>0</v>
      </c>
      <c r="AB13" s="141"/>
      <c r="AC13" s="67"/>
      <c r="AD13" s="67"/>
      <c r="AE13" s="24"/>
      <c r="AF13" s="24"/>
      <c r="AG13" s="24"/>
    </row>
    <row r="14" spans="1:33" ht="63.75">
      <c r="A14" s="153">
        <v>11</v>
      </c>
      <c r="B14" s="153" t="s">
        <v>57</v>
      </c>
      <c r="C14" s="153" t="s">
        <v>61</v>
      </c>
      <c r="D14" s="28" t="s">
        <v>643</v>
      </c>
      <c r="E14" s="59">
        <v>3</v>
      </c>
      <c r="F14" s="59">
        <v>3</v>
      </c>
      <c r="G14" s="90">
        <v>45919</v>
      </c>
      <c r="H14" s="90">
        <v>45960</v>
      </c>
      <c r="I14" s="93" t="s">
        <v>929</v>
      </c>
      <c r="J14" s="96" t="s">
        <v>645</v>
      </c>
      <c r="K14" s="96"/>
      <c r="L14" s="69"/>
      <c r="M14" s="69" t="s">
        <v>789</v>
      </c>
      <c r="N14" s="39">
        <v>2</v>
      </c>
      <c r="O14" s="141" t="s">
        <v>764</v>
      </c>
      <c r="P14" s="141" t="s">
        <v>770</v>
      </c>
      <c r="Q14" s="141" t="s">
        <v>6</v>
      </c>
      <c r="R14" s="141"/>
      <c r="S14" s="141"/>
      <c r="T14" s="29">
        <v>0</v>
      </c>
      <c r="U14" s="145">
        <v>0</v>
      </c>
      <c r="V14" s="145">
        <v>0</v>
      </c>
      <c r="W14" s="145">
        <v>0</v>
      </c>
      <c r="X14" s="145">
        <v>0</v>
      </c>
      <c r="Y14" s="145">
        <v>0</v>
      </c>
      <c r="Z14" s="145">
        <v>0</v>
      </c>
      <c r="AA14" s="142">
        <f t="shared" si="0"/>
        <v>0</v>
      </c>
      <c r="AB14" s="141"/>
      <c r="AC14" s="67"/>
      <c r="AD14" s="67"/>
      <c r="AE14" s="24"/>
      <c r="AF14" s="24"/>
      <c r="AG14" s="24"/>
    </row>
    <row r="15" spans="1:33" ht="61.5">
      <c r="A15" s="153">
        <v>12</v>
      </c>
      <c r="B15" s="153" t="s">
        <v>57</v>
      </c>
      <c r="C15" s="153" t="s">
        <v>61</v>
      </c>
      <c r="D15" s="28" t="s">
        <v>703</v>
      </c>
      <c r="E15" s="59">
        <v>2</v>
      </c>
      <c r="F15" s="59">
        <v>2</v>
      </c>
      <c r="G15" s="90">
        <v>45915</v>
      </c>
      <c r="H15" s="90">
        <v>45924</v>
      </c>
      <c r="I15" s="93"/>
      <c r="J15" s="96" t="s">
        <v>704</v>
      </c>
      <c r="K15" s="96"/>
      <c r="L15" s="69"/>
      <c r="M15" s="69" t="s">
        <v>791</v>
      </c>
      <c r="N15" s="39">
        <v>2</v>
      </c>
      <c r="O15" s="141" t="s">
        <v>764</v>
      </c>
      <c r="P15" s="141" t="s">
        <v>770</v>
      </c>
      <c r="Q15" s="141" t="s">
        <v>6</v>
      </c>
      <c r="R15" s="141"/>
      <c r="S15" s="141"/>
      <c r="T15" s="29">
        <v>0</v>
      </c>
      <c r="U15" s="145">
        <v>0</v>
      </c>
      <c r="V15" s="145">
        <v>0</v>
      </c>
      <c r="W15" s="145">
        <v>0</v>
      </c>
      <c r="X15" s="145">
        <v>0</v>
      </c>
      <c r="Y15" s="145">
        <v>0</v>
      </c>
      <c r="Z15" s="145">
        <v>0</v>
      </c>
      <c r="AA15" s="142">
        <f t="shared" si="0"/>
        <v>0</v>
      </c>
      <c r="AB15" s="141"/>
      <c r="AC15" s="67"/>
      <c r="AD15" s="67"/>
      <c r="AE15" s="24"/>
      <c r="AF15" s="24"/>
      <c r="AG15" s="24"/>
    </row>
    <row r="16" spans="1:33" ht="61.5">
      <c r="A16" s="153">
        <v>13</v>
      </c>
      <c r="B16" s="153" t="s">
        <v>57</v>
      </c>
      <c r="C16" s="153" t="s">
        <v>61</v>
      </c>
      <c r="D16" s="28" t="s">
        <v>630</v>
      </c>
      <c r="E16" s="59">
        <v>2</v>
      </c>
      <c r="F16" s="59">
        <v>4</v>
      </c>
      <c r="G16" s="90"/>
      <c r="H16" s="90">
        <v>45925</v>
      </c>
      <c r="I16" s="93"/>
      <c r="J16" s="96" t="s">
        <v>632</v>
      </c>
      <c r="K16" s="96"/>
      <c r="L16" s="69"/>
      <c r="M16" s="69" t="s">
        <v>793</v>
      </c>
      <c r="N16" s="39">
        <v>1</v>
      </c>
      <c r="O16" s="141" t="s">
        <v>794</v>
      </c>
      <c r="P16" s="141" t="s">
        <v>765</v>
      </c>
      <c r="Q16" s="141" t="s">
        <v>6</v>
      </c>
      <c r="R16" s="21"/>
      <c r="S16" s="141"/>
      <c r="T16" s="29">
        <v>0</v>
      </c>
      <c r="U16" s="145">
        <v>0</v>
      </c>
      <c r="V16" s="145">
        <v>0</v>
      </c>
      <c r="W16" s="145">
        <v>0</v>
      </c>
      <c r="X16" s="145">
        <v>0</v>
      </c>
      <c r="Y16" s="145">
        <v>0</v>
      </c>
      <c r="Z16" s="145">
        <v>0</v>
      </c>
      <c r="AA16" s="142">
        <f t="shared" si="0"/>
        <v>0</v>
      </c>
      <c r="AB16" s="141"/>
      <c r="AC16" s="67"/>
      <c r="AD16" s="67"/>
      <c r="AE16" s="24"/>
      <c r="AF16" s="24"/>
      <c r="AG16" s="24"/>
    </row>
    <row r="17" spans="1:33" ht="61.5">
      <c r="A17" s="153">
        <v>14</v>
      </c>
      <c r="B17" s="153" t="s">
        <v>57</v>
      </c>
      <c r="C17" s="153" t="s">
        <v>61</v>
      </c>
      <c r="D17" s="28" t="s">
        <v>639</v>
      </c>
      <c r="E17" s="59"/>
      <c r="F17" s="59"/>
      <c r="G17" s="90"/>
      <c r="H17" s="90"/>
      <c r="I17" s="93"/>
      <c r="J17" s="96"/>
      <c r="K17" s="96"/>
      <c r="L17" s="69"/>
      <c r="M17" s="69" t="s">
        <v>796</v>
      </c>
      <c r="N17" s="39">
        <v>3</v>
      </c>
      <c r="O17" s="141" t="s">
        <v>794</v>
      </c>
      <c r="P17" s="141" t="s">
        <v>797</v>
      </c>
      <c r="Q17" s="141" t="s">
        <v>6</v>
      </c>
      <c r="R17" s="21"/>
      <c r="S17" s="141"/>
      <c r="T17" s="29">
        <v>0</v>
      </c>
      <c r="U17" s="145">
        <v>0</v>
      </c>
      <c r="V17" s="145">
        <v>0</v>
      </c>
      <c r="W17" s="145">
        <v>0</v>
      </c>
      <c r="X17" s="145">
        <v>0</v>
      </c>
      <c r="Y17" s="145">
        <v>0</v>
      </c>
      <c r="Z17" s="145">
        <v>0</v>
      </c>
      <c r="AA17" s="142">
        <f t="shared" si="0"/>
        <v>0</v>
      </c>
      <c r="AB17" s="141"/>
      <c r="AC17" s="67"/>
      <c r="AD17" s="67"/>
      <c r="AE17" s="24"/>
      <c r="AF17" s="24"/>
      <c r="AG17" s="24"/>
    </row>
    <row r="18" spans="1:33" ht="61.5">
      <c r="A18" s="153">
        <v>15</v>
      </c>
      <c r="B18" s="153" t="s">
        <v>57</v>
      </c>
      <c r="C18" s="153" t="s">
        <v>61</v>
      </c>
      <c r="D18" s="28" t="s">
        <v>697</v>
      </c>
      <c r="E18" s="59">
        <v>1</v>
      </c>
      <c r="F18" s="59">
        <v>4</v>
      </c>
      <c r="G18" s="90">
        <v>45778</v>
      </c>
      <c r="H18" s="90">
        <v>46023</v>
      </c>
      <c r="I18" s="93" t="s">
        <v>799</v>
      </c>
      <c r="J18" s="96" t="s">
        <v>699</v>
      </c>
      <c r="K18" s="96"/>
      <c r="L18" s="69"/>
      <c r="M18" s="69" t="s">
        <v>800</v>
      </c>
      <c r="N18" s="39">
        <v>2</v>
      </c>
      <c r="O18" s="141" t="s">
        <v>764</v>
      </c>
      <c r="P18" s="141" t="s">
        <v>770</v>
      </c>
      <c r="Q18" s="141" t="s">
        <v>6</v>
      </c>
      <c r="R18" s="21"/>
      <c r="S18" s="141"/>
      <c r="T18" s="29">
        <v>0</v>
      </c>
      <c r="U18" s="145">
        <v>0</v>
      </c>
      <c r="V18" s="145">
        <v>0</v>
      </c>
      <c r="W18" s="145">
        <v>0</v>
      </c>
      <c r="X18" s="145">
        <v>0</v>
      </c>
      <c r="Y18" s="145">
        <v>0</v>
      </c>
      <c r="Z18" s="145">
        <v>0</v>
      </c>
      <c r="AA18" s="142">
        <f t="shared" si="0"/>
        <v>0</v>
      </c>
      <c r="AB18" s="141"/>
      <c r="AC18" s="67"/>
      <c r="AD18" s="67"/>
      <c r="AE18" s="24"/>
      <c r="AF18" s="24"/>
      <c r="AG18" s="24"/>
    </row>
    <row r="19" spans="1:33" ht="61.5">
      <c r="A19" s="153">
        <v>16</v>
      </c>
      <c r="B19" s="153" t="s">
        <v>57</v>
      </c>
      <c r="C19" s="153" t="s">
        <v>65</v>
      </c>
      <c r="D19" s="28" t="s">
        <v>658</v>
      </c>
      <c r="E19" s="59">
        <v>4</v>
      </c>
      <c r="F19" s="59">
        <v>0</v>
      </c>
      <c r="G19" s="90">
        <v>45931</v>
      </c>
      <c r="H19" s="90" t="s">
        <v>762</v>
      </c>
      <c r="I19" s="93" t="s">
        <v>930</v>
      </c>
      <c r="J19" s="96" t="s">
        <v>803</v>
      </c>
      <c r="K19" s="96" t="s">
        <v>661</v>
      </c>
      <c r="L19" s="69"/>
      <c r="M19" s="69" t="s">
        <v>804</v>
      </c>
      <c r="N19" s="39">
        <v>2</v>
      </c>
      <c r="O19" s="141" t="s">
        <v>150</v>
      </c>
      <c r="P19" s="141" t="s">
        <v>805</v>
      </c>
      <c r="Q19" s="141"/>
      <c r="R19" s="141"/>
      <c r="S19" s="141"/>
      <c r="T19" s="29">
        <v>0</v>
      </c>
      <c r="U19" s="145">
        <v>0</v>
      </c>
      <c r="V19" s="145">
        <v>0</v>
      </c>
      <c r="W19" s="145">
        <v>0</v>
      </c>
      <c r="X19" s="145">
        <v>0</v>
      </c>
      <c r="Y19" s="145">
        <v>0</v>
      </c>
      <c r="Z19" s="145">
        <v>0</v>
      </c>
      <c r="AA19" s="142">
        <f t="shared" si="0"/>
        <v>0</v>
      </c>
      <c r="AB19" s="141"/>
      <c r="AC19" s="67"/>
      <c r="AD19" s="67"/>
      <c r="AE19" s="24"/>
      <c r="AF19" s="24"/>
      <c r="AG19" s="24"/>
    </row>
    <row r="20" spans="1:33" ht="153">
      <c r="A20" s="153">
        <v>17</v>
      </c>
      <c r="B20" s="153" t="s">
        <v>57</v>
      </c>
      <c r="C20" s="153" t="s">
        <v>65</v>
      </c>
      <c r="D20" s="28" t="s">
        <v>624</v>
      </c>
      <c r="E20" s="59">
        <v>4</v>
      </c>
      <c r="F20" s="59">
        <v>4</v>
      </c>
      <c r="G20" s="90">
        <v>45930</v>
      </c>
      <c r="H20" s="90">
        <v>45937</v>
      </c>
      <c r="I20" s="93" t="s">
        <v>945</v>
      </c>
      <c r="J20" s="96" t="s">
        <v>946</v>
      </c>
      <c r="K20" s="96" t="s">
        <v>932</v>
      </c>
      <c r="L20" s="69"/>
      <c r="M20" s="69" t="s">
        <v>947</v>
      </c>
      <c r="N20" s="39">
        <v>2</v>
      </c>
      <c r="O20" s="141" t="s">
        <v>123</v>
      </c>
      <c r="P20" s="141" t="s">
        <v>811</v>
      </c>
      <c r="Q20" s="141"/>
      <c r="R20" s="141"/>
      <c r="S20" s="141"/>
      <c r="T20" s="29">
        <v>5</v>
      </c>
      <c r="U20" s="145">
        <v>4</v>
      </c>
      <c r="V20" s="145">
        <v>0</v>
      </c>
      <c r="W20" s="145">
        <v>2</v>
      </c>
      <c r="X20" s="145">
        <v>3</v>
      </c>
      <c r="Y20" s="145">
        <v>2</v>
      </c>
      <c r="Z20" s="145">
        <v>2</v>
      </c>
      <c r="AA20" s="142">
        <f t="shared" si="0"/>
        <v>2.5714285714285716</v>
      </c>
      <c r="AB20" s="141"/>
      <c r="AC20" s="67"/>
      <c r="AD20" s="67"/>
      <c r="AE20" s="24"/>
      <c r="AF20" s="24"/>
      <c r="AG20" s="24"/>
    </row>
    <row r="21" spans="1:33" ht="89.25">
      <c r="A21" s="153">
        <v>18</v>
      </c>
      <c r="B21" s="153" t="s">
        <v>57</v>
      </c>
      <c r="C21" s="153" t="s">
        <v>65</v>
      </c>
      <c r="D21" s="28" t="s">
        <v>620</v>
      </c>
      <c r="E21" s="59">
        <v>4</v>
      </c>
      <c r="F21" s="59">
        <v>4</v>
      </c>
      <c r="G21" s="90">
        <v>45930</v>
      </c>
      <c r="H21" s="90">
        <v>45937</v>
      </c>
      <c r="I21" s="93" t="s">
        <v>948</v>
      </c>
      <c r="J21" s="96"/>
      <c r="K21" s="96" t="s">
        <v>949</v>
      </c>
      <c r="L21" s="69"/>
      <c r="M21" s="69" t="s">
        <v>950</v>
      </c>
      <c r="N21" s="39">
        <v>1</v>
      </c>
      <c r="O21" s="141" t="s">
        <v>123</v>
      </c>
      <c r="P21" s="141" t="s">
        <v>811</v>
      </c>
      <c r="Q21" s="141"/>
      <c r="R21" s="141"/>
      <c r="S21" s="141"/>
      <c r="T21" s="29">
        <v>3</v>
      </c>
      <c r="U21" s="145">
        <v>2</v>
      </c>
      <c r="V21" s="145">
        <v>4</v>
      </c>
      <c r="W21" s="145">
        <v>3</v>
      </c>
      <c r="X21" s="145">
        <v>0</v>
      </c>
      <c r="Y21" s="145">
        <v>2</v>
      </c>
      <c r="Z21" s="145">
        <v>4</v>
      </c>
      <c r="AA21" s="142">
        <f t="shared" si="0"/>
        <v>2.5714285714285716</v>
      </c>
      <c r="AB21" s="141"/>
      <c r="AC21" s="67"/>
      <c r="AD21" s="67"/>
      <c r="AE21" s="24"/>
      <c r="AF21" s="24"/>
      <c r="AG21" s="24"/>
    </row>
    <row r="22" spans="1:33" ht="191.25">
      <c r="A22" s="153">
        <v>19</v>
      </c>
      <c r="B22" s="153" t="s">
        <v>57</v>
      </c>
      <c r="C22" s="153" t="s">
        <v>65</v>
      </c>
      <c r="D22" s="28" t="s">
        <v>665</v>
      </c>
      <c r="E22" s="59">
        <v>4</v>
      </c>
      <c r="F22" s="59">
        <v>4</v>
      </c>
      <c r="G22" s="90">
        <v>45931</v>
      </c>
      <c r="H22" s="90">
        <v>45937</v>
      </c>
      <c r="I22" s="93" t="s">
        <v>951</v>
      </c>
      <c r="J22" s="96"/>
      <c r="K22" s="96" t="s">
        <v>952</v>
      </c>
      <c r="L22" s="69"/>
      <c r="M22" s="69" t="s">
        <v>953</v>
      </c>
      <c r="N22" s="39">
        <v>1</v>
      </c>
      <c r="O22" s="141" t="s">
        <v>123</v>
      </c>
      <c r="P22" s="141" t="s">
        <v>797</v>
      </c>
      <c r="Q22" s="141"/>
      <c r="R22" s="141"/>
      <c r="S22" s="141"/>
      <c r="T22" s="29">
        <v>0</v>
      </c>
      <c r="U22" s="145">
        <v>0</v>
      </c>
      <c r="V22" s="145">
        <v>0</v>
      </c>
      <c r="W22" s="145">
        <v>0</v>
      </c>
      <c r="X22" s="145">
        <v>0</v>
      </c>
      <c r="Y22" s="145">
        <v>0</v>
      </c>
      <c r="Z22" s="145">
        <v>0</v>
      </c>
      <c r="AA22" s="142">
        <f t="shared" si="0"/>
        <v>0</v>
      </c>
      <c r="AB22" s="141"/>
      <c r="AC22" s="67"/>
      <c r="AD22" s="67"/>
      <c r="AE22" s="24"/>
      <c r="AF22" s="24"/>
      <c r="AG22" s="24"/>
    </row>
    <row r="23" spans="1:33" ht="140.25">
      <c r="A23" s="153">
        <v>20</v>
      </c>
      <c r="B23" s="153" t="s">
        <v>57</v>
      </c>
      <c r="C23" s="153" t="s">
        <v>65</v>
      </c>
      <c r="D23" s="28" t="s">
        <v>690</v>
      </c>
      <c r="E23" s="59">
        <v>4</v>
      </c>
      <c r="F23" s="59">
        <v>4</v>
      </c>
      <c r="G23" s="90">
        <v>45930</v>
      </c>
      <c r="H23" s="90">
        <v>45936</v>
      </c>
      <c r="I23" s="93" t="s">
        <v>954</v>
      </c>
      <c r="J23" s="96" t="s">
        <v>955</v>
      </c>
      <c r="K23" s="96" t="s">
        <v>956</v>
      </c>
      <c r="L23" s="69"/>
      <c r="M23" s="69" t="s">
        <v>957</v>
      </c>
      <c r="N23" s="39">
        <v>3</v>
      </c>
      <c r="O23" s="141" t="s">
        <v>123</v>
      </c>
      <c r="P23" s="141" t="s">
        <v>816</v>
      </c>
      <c r="Q23" s="141"/>
      <c r="R23" s="141"/>
      <c r="S23" s="141"/>
      <c r="T23" s="29">
        <v>0</v>
      </c>
      <c r="U23" s="145">
        <v>0</v>
      </c>
      <c r="V23" s="145">
        <v>0</v>
      </c>
      <c r="W23" s="145">
        <v>0</v>
      </c>
      <c r="X23" s="145">
        <v>0</v>
      </c>
      <c r="Y23" s="145">
        <v>0</v>
      </c>
      <c r="Z23" s="145">
        <v>0</v>
      </c>
      <c r="AA23" s="142">
        <f t="shared" si="0"/>
        <v>0</v>
      </c>
      <c r="AB23" s="141"/>
      <c r="AC23" s="67"/>
      <c r="AD23" s="67"/>
      <c r="AE23" s="24"/>
      <c r="AF23" s="24"/>
      <c r="AG23" s="24"/>
    </row>
    <row r="24" spans="1:33" ht="61.5">
      <c r="A24" s="153">
        <v>21</v>
      </c>
      <c r="B24" s="153" t="s">
        <v>57</v>
      </c>
      <c r="C24" s="153" t="s">
        <v>65</v>
      </c>
      <c r="D24" s="28" t="s">
        <v>646</v>
      </c>
      <c r="E24" s="59">
        <v>3</v>
      </c>
      <c r="F24" s="59">
        <v>4</v>
      </c>
      <c r="G24" s="90"/>
      <c r="H24" s="90"/>
      <c r="I24" s="93"/>
      <c r="J24" s="96" t="s">
        <v>958</v>
      </c>
      <c r="K24" s="96" t="s">
        <v>647</v>
      </c>
      <c r="L24" s="69"/>
      <c r="M24" s="69"/>
      <c r="N24" s="39">
        <v>3</v>
      </c>
      <c r="O24" s="141" t="s">
        <v>409</v>
      </c>
      <c r="P24" s="141" t="s">
        <v>805</v>
      </c>
      <c r="Q24" s="141"/>
      <c r="R24" s="141"/>
      <c r="S24" s="141"/>
      <c r="T24" s="29">
        <v>0</v>
      </c>
      <c r="U24" s="145">
        <v>0</v>
      </c>
      <c r="V24" s="145">
        <v>0</v>
      </c>
      <c r="W24" s="145">
        <v>0</v>
      </c>
      <c r="X24" s="145">
        <v>0</v>
      </c>
      <c r="Y24" s="145">
        <v>0</v>
      </c>
      <c r="Z24" s="145">
        <v>0</v>
      </c>
      <c r="AA24" s="142">
        <f t="shared" si="0"/>
        <v>0</v>
      </c>
      <c r="AB24" s="141"/>
      <c r="AC24" s="67"/>
      <c r="AD24" s="67"/>
      <c r="AE24" s="24"/>
      <c r="AF24" s="24"/>
      <c r="AG24" s="24"/>
    </row>
    <row r="25" spans="1:33" ht="76.5">
      <c r="A25" s="153">
        <v>22</v>
      </c>
      <c r="B25" s="153" t="s">
        <v>57</v>
      </c>
      <c r="C25" s="153" t="s">
        <v>65</v>
      </c>
      <c r="D25" s="28" t="s">
        <v>125</v>
      </c>
      <c r="E25" s="59">
        <v>0</v>
      </c>
      <c r="F25" s="59">
        <v>2</v>
      </c>
      <c r="G25" s="90"/>
      <c r="H25" s="90"/>
      <c r="I25" s="93" t="s">
        <v>959</v>
      </c>
      <c r="J25" s="96" t="s">
        <v>960</v>
      </c>
      <c r="K25" s="96" t="s">
        <v>961</v>
      </c>
      <c r="L25" s="69"/>
      <c r="M25" s="69" t="s">
        <v>962</v>
      </c>
      <c r="N25" s="39">
        <v>3</v>
      </c>
      <c r="O25" s="141" t="s">
        <v>123</v>
      </c>
      <c r="P25" s="141" t="s">
        <v>797</v>
      </c>
      <c r="Q25" s="141"/>
      <c r="R25" s="141"/>
      <c r="S25" s="141"/>
      <c r="T25" s="29">
        <v>0</v>
      </c>
      <c r="U25" s="145">
        <v>0</v>
      </c>
      <c r="V25" s="145">
        <v>0</v>
      </c>
      <c r="W25" s="145">
        <v>0</v>
      </c>
      <c r="X25" s="145">
        <v>0</v>
      </c>
      <c r="Y25" s="145">
        <v>0</v>
      </c>
      <c r="Z25" s="145">
        <v>0</v>
      </c>
      <c r="AA25" s="142">
        <f t="shared" si="0"/>
        <v>0</v>
      </c>
      <c r="AB25" s="141"/>
      <c r="AC25" s="67"/>
      <c r="AD25" s="67"/>
      <c r="AE25" s="24"/>
      <c r="AF25" s="24"/>
      <c r="AG25" s="24"/>
    </row>
    <row r="26" spans="1:33" ht="61.5">
      <c r="A26" s="153">
        <v>23</v>
      </c>
      <c r="B26" s="153" t="s">
        <v>57</v>
      </c>
      <c r="C26" s="153" t="s">
        <v>65</v>
      </c>
      <c r="D26" s="28" t="s">
        <v>143</v>
      </c>
      <c r="E26" s="59"/>
      <c r="F26" s="59"/>
      <c r="G26" s="90"/>
      <c r="H26" s="90"/>
      <c r="I26" s="93"/>
      <c r="J26" s="96"/>
      <c r="K26" s="96"/>
      <c r="L26" s="69"/>
      <c r="M26" s="69" t="s">
        <v>820</v>
      </c>
      <c r="N26" s="39">
        <v>1</v>
      </c>
      <c r="O26" s="141" t="s">
        <v>794</v>
      </c>
      <c r="P26" s="141" t="s">
        <v>765</v>
      </c>
      <c r="Q26" s="141"/>
      <c r="R26" s="21"/>
      <c r="S26" s="141"/>
      <c r="T26" s="29">
        <v>0</v>
      </c>
      <c r="U26" s="145">
        <v>0</v>
      </c>
      <c r="V26" s="145">
        <v>0</v>
      </c>
      <c r="W26" s="145">
        <v>0</v>
      </c>
      <c r="X26" s="145">
        <v>0</v>
      </c>
      <c r="Y26" s="145">
        <v>0</v>
      </c>
      <c r="Z26" s="145">
        <v>0</v>
      </c>
      <c r="AA26" s="142">
        <f t="shared" si="0"/>
        <v>0</v>
      </c>
      <c r="AB26" s="141"/>
      <c r="AC26" s="67"/>
      <c r="AD26" s="67"/>
      <c r="AE26" s="24"/>
      <c r="AF26" s="24"/>
      <c r="AG26" s="24"/>
    </row>
    <row r="27" spans="1:33" ht="102">
      <c r="A27" s="153">
        <v>24</v>
      </c>
      <c r="B27" s="153" t="s">
        <v>57</v>
      </c>
      <c r="C27" s="153" t="s">
        <v>65</v>
      </c>
      <c r="D27" s="28" t="s">
        <v>655</v>
      </c>
      <c r="E27" s="59">
        <v>4</v>
      </c>
      <c r="F27" s="59">
        <v>5</v>
      </c>
      <c r="G27" s="90">
        <v>45933</v>
      </c>
      <c r="H27" s="90" t="s">
        <v>762</v>
      </c>
      <c r="I27" s="93" t="s">
        <v>963</v>
      </c>
      <c r="J27" s="96" t="s">
        <v>964</v>
      </c>
      <c r="K27" s="96" t="s">
        <v>965</v>
      </c>
      <c r="L27" s="69"/>
      <c r="M27" s="69" t="s">
        <v>966</v>
      </c>
      <c r="N27" s="39">
        <v>2</v>
      </c>
      <c r="O27" s="141" t="s">
        <v>123</v>
      </c>
      <c r="P27" s="141" t="s">
        <v>811</v>
      </c>
      <c r="Q27" s="141"/>
      <c r="R27" s="141"/>
      <c r="S27" s="141"/>
      <c r="T27" s="29">
        <v>0</v>
      </c>
      <c r="U27" s="145">
        <v>0</v>
      </c>
      <c r="V27" s="145">
        <v>0</v>
      </c>
      <c r="W27" s="145">
        <v>0</v>
      </c>
      <c r="X27" s="145">
        <v>0</v>
      </c>
      <c r="Y27" s="145">
        <v>0</v>
      </c>
      <c r="Z27" s="145">
        <v>0</v>
      </c>
      <c r="AA27" s="142">
        <f t="shared" si="0"/>
        <v>0</v>
      </c>
      <c r="AB27" s="141"/>
      <c r="AC27" s="67"/>
      <c r="AD27" s="67"/>
      <c r="AE27" s="24"/>
      <c r="AF27" s="24"/>
      <c r="AG27" s="24"/>
    </row>
    <row r="28" spans="1:33" ht="75">
      <c r="A28" s="153">
        <v>25</v>
      </c>
      <c r="B28" s="153" t="s">
        <v>57</v>
      </c>
      <c r="C28" s="153" t="s">
        <v>65</v>
      </c>
      <c r="D28" s="28" t="s">
        <v>650</v>
      </c>
      <c r="E28" s="59">
        <v>4</v>
      </c>
      <c r="F28" s="59">
        <v>3</v>
      </c>
      <c r="G28" s="90"/>
      <c r="H28" s="90">
        <v>45930</v>
      </c>
      <c r="I28" s="93" t="s">
        <v>826</v>
      </c>
      <c r="J28" s="96"/>
      <c r="K28" s="96" t="s">
        <v>935</v>
      </c>
      <c r="L28" s="69"/>
      <c r="M28" s="69" t="s">
        <v>827</v>
      </c>
      <c r="N28" s="39">
        <v>3</v>
      </c>
      <c r="O28" s="141" t="s">
        <v>150</v>
      </c>
      <c r="P28" s="141" t="s">
        <v>797</v>
      </c>
      <c r="Q28" s="141"/>
      <c r="R28" s="21"/>
      <c r="S28" s="141"/>
      <c r="T28" s="29">
        <v>0</v>
      </c>
      <c r="U28" s="145">
        <v>0</v>
      </c>
      <c r="V28" s="145">
        <v>0</v>
      </c>
      <c r="W28" s="145">
        <v>0</v>
      </c>
      <c r="X28" s="145">
        <v>0</v>
      </c>
      <c r="Y28" s="145">
        <v>0</v>
      </c>
      <c r="Z28" s="145">
        <v>0</v>
      </c>
      <c r="AA28" s="142">
        <f t="shared" si="0"/>
        <v>0</v>
      </c>
      <c r="AB28" s="141"/>
      <c r="AC28" s="67"/>
      <c r="AD28" s="67"/>
      <c r="AE28" s="24"/>
      <c r="AF28" s="24"/>
      <c r="AG28" s="24"/>
    </row>
    <row r="29" spans="1:33" ht="61.5">
      <c r="A29" s="153">
        <v>26</v>
      </c>
      <c r="B29" s="153" t="s">
        <v>57</v>
      </c>
      <c r="C29" s="153" t="s">
        <v>65</v>
      </c>
      <c r="D29" s="28" t="s">
        <v>176</v>
      </c>
      <c r="E29" s="59"/>
      <c r="F29" s="59"/>
      <c r="G29" s="90"/>
      <c r="H29" s="90"/>
      <c r="I29" s="93"/>
      <c r="J29" s="96"/>
      <c r="K29" s="96"/>
      <c r="L29" s="69"/>
      <c r="M29" s="69" t="s">
        <v>829</v>
      </c>
      <c r="N29" s="39">
        <v>1</v>
      </c>
      <c r="O29" s="141" t="s">
        <v>794</v>
      </c>
      <c r="P29" s="141" t="s">
        <v>797</v>
      </c>
      <c r="Q29" s="141"/>
      <c r="R29" s="141"/>
      <c r="S29" s="141"/>
      <c r="T29" s="29">
        <v>0</v>
      </c>
      <c r="U29" s="145">
        <v>0</v>
      </c>
      <c r="V29" s="145">
        <v>0</v>
      </c>
      <c r="W29" s="145">
        <v>0</v>
      </c>
      <c r="X29" s="145">
        <v>0</v>
      </c>
      <c r="Y29" s="145">
        <v>0</v>
      </c>
      <c r="Z29" s="145">
        <v>0</v>
      </c>
      <c r="AA29" s="142">
        <f t="shared" si="0"/>
        <v>0</v>
      </c>
      <c r="AB29" s="141"/>
      <c r="AC29" s="67"/>
      <c r="AD29" s="67"/>
      <c r="AE29" s="24"/>
      <c r="AF29" s="24"/>
      <c r="AG29" s="24"/>
    </row>
    <row r="30" spans="1:33" ht="63.75">
      <c r="A30" s="153">
        <v>27</v>
      </c>
      <c r="B30" s="153" t="s">
        <v>57</v>
      </c>
      <c r="C30" s="153" t="s">
        <v>65</v>
      </c>
      <c r="D30" s="28" t="s">
        <v>688</v>
      </c>
      <c r="E30" s="59"/>
      <c r="F30" s="59"/>
      <c r="G30" s="90">
        <v>45870</v>
      </c>
      <c r="H30" s="90">
        <v>45936</v>
      </c>
      <c r="I30" s="93" t="s">
        <v>967</v>
      </c>
      <c r="J30" s="96"/>
      <c r="K30" s="96"/>
      <c r="L30" s="69"/>
      <c r="M30" s="69" t="s">
        <v>968</v>
      </c>
      <c r="N30" s="39">
        <v>1</v>
      </c>
      <c r="O30" s="141" t="s">
        <v>123</v>
      </c>
      <c r="P30" s="141" t="s">
        <v>805</v>
      </c>
      <c r="Q30" s="141"/>
      <c r="R30" s="141"/>
      <c r="S30" s="141"/>
      <c r="T30" s="29">
        <v>0</v>
      </c>
      <c r="U30" s="145">
        <v>0</v>
      </c>
      <c r="V30" s="145">
        <v>0</v>
      </c>
      <c r="W30" s="145">
        <v>0</v>
      </c>
      <c r="X30" s="145">
        <v>0</v>
      </c>
      <c r="Y30" s="145">
        <v>0</v>
      </c>
      <c r="Z30" s="145">
        <v>0</v>
      </c>
      <c r="AA30" s="142">
        <f t="shared" si="0"/>
        <v>0</v>
      </c>
      <c r="AB30" s="141"/>
      <c r="AC30" s="67"/>
      <c r="AD30" s="67"/>
      <c r="AE30" s="24"/>
      <c r="AF30" s="24"/>
      <c r="AG30" s="24"/>
    </row>
    <row r="31" spans="1:33" ht="61.5">
      <c r="A31" s="153">
        <v>28</v>
      </c>
      <c r="B31" s="153" t="s">
        <v>57</v>
      </c>
      <c r="C31" s="153" t="s">
        <v>65</v>
      </c>
      <c r="D31" s="28" t="s">
        <v>696</v>
      </c>
      <c r="E31" s="59"/>
      <c r="F31" s="59"/>
      <c r="G31" s="90"/>
      <c r="H31" s="90"/>
      <c r="I31" s="93"/>
      <c r="J31" s="96"/>
      <c r="K31" s="96"/>
      <c r="L31" s="69"/>
      <c r="M31" s="69" t="s">
        <v>834</v>
      </c>
      <c r="N31" s="39">
        <v>2</v>
      </c>
      <c r="O31" s="141" t="s">
        <v>835</v>
      </c>
      <c r="P31" s="141" t="s">
        <v>811</v>
      </c>
      <c r="Q31" s="141"/>
      <c r="R31" s="141"/>
      <c r="S31" s="141"/>
      <c r="T31" s="29">
        <v>0</v>
      </c>
      <c r="U31" s="145">
        <v>0</v>
      </c>
      <c r="V31" s="145">
        <v>0</v>
      </c>
      <c r="W31" s="145">
        <v>0</v>
      </c>
      <c r="X31" s="145">
        <v>0</v>
      </c>
      <c r="Y31" s="145">
        <v>0</v>
      </c>
      <c r="Z31" s="145">
        <v>0</v>
      </c>
      <c r="AA31" s="142">
        <f t="shared" si="0"/>
        <v>0</v>
      </c>
      <c r="AB31" s="141"/>
      <c r="AC31" s="67"/>
      <c r="AD31" s="67"/>
      <c r="AE31" s="24"/>
      <c r="AF31" s="24"/>
      <c r="AG31" s="24"/>
    </row>
    <row r="32" spans="1:33" ht="61.5">
      <c r="A32" s="153">
        <v>29</v>
      </c>
      <c r="B32" s="153" t="s">
        <v>57</v>
      </c>
      <c r="C32" s="153" t="s">
        <v>65</v>
      </c>
      <c r="D32" s="28" t="s">
        <v>671</v>
      </c>
      <c r="E32" s="59">
        <v>2.5</v>
      </c>
      <c r="F32" s="59">
        <v>2.5</v>
      </c>
      <c r="G32" s="90"/>
      <c r="H32" s="90"/>
      <c r="I32" s="93"/>
      <c r="J32" s="96" t="s">
        <v>673</v>
      </c>
      <c r="K32" s="96"/>
      <c r="L32" s="69"/>
      <c r="M32" s="69" t="s">
        <v>837</v>
      </c>
      <c r="N32" s="39">
        <v>2</v>
      </c>
      <c r="O32" s="141" t="s">
        <v>753</v>
      </c>
      <c r="P32" s="141" t="s">
        <v>805</v>
      </c>
      <c r="Q32" s="141"/>
      <c r="R32" s="141"/>
      <c r="S32" s="141"/>
      <c r="T32" s="29">
        <v>0</v>
      </c>
      <c r="U32" s="145">
        <v>0</v>
      </c>
      <c r="V32" s="145">
        <v>0</v>
      </c>
      <c r="W32" s="145">
        <v>0</v>
      </c>
      <c r="X32" s="145">
        <v>0</v>
      </c>
      <c r="Y32" s="145">
        <v>0</v>
      </c>
      <c r="Z32" s="145">
        <v>0</v>
      </c>
      <c r="AA32" s="142">
        <f t="shared" si="0"/>
        <v>0</v>
      </c>
      <c r="AB32" s="141"/>
      <c r="AC32" s="67"/>
      <c r="AD32" s="67"/>
      <c r="AE32" s="24"/>
      <c r="AF32" s="24"/>
      <c r="AG32" s="24"/>
    </row>
    <row r="33" spans="1:33" ht="63.75">
      <c r="A33" s="153">
        <v>30</v>
      </c>
      <c r="B33" s="153" t="s">
        <v>57</v>
      </c>
      <c r="C33" s="153" t="s">
        <v>65</v>
      </c>
      <c r="D33" s="28" t="s">
        <v>667</v>
      </c>
      <c r="E33" s="59">
        <v>4</v>
      </c>
      <c r="F33" s="59">
        <v>5</v>
      </c>
      <c r="G33" s="90">
        <v>45910</v>
      </c>
      <c r="H33" s="90">
        <v>45945</v>
      </c>
      <c r="I33" s="93" t="s">
        <v>969</v>
      </c>
      <c r="J33" s="93" t="s">
        <v>669</v>
      </c>
      <c r="K33" s="96"/>
      <c r="L33" s="69"/>
      <c r="M33" s="69" t="s">
        <v>970</v>
      </c>
      <c r="N33" s="39">
        <v>2</v>
      </c>
      <c r="O33" s="141" t="s">
        <v>123</v>
      </c>
      <c r="P33" s="141" t="s">
        <v>797</v>
      </c>
      <c r="Q33" s="141"/>
      <c r="R33" s="141"/>
      <c r="S33" s="141"/>
      <c r="T33" s="29">
        <v>0</v>
      </c>
      <c r="U33" s="145">
        <v>0</v>
      </c>
      <c r="V33" s="145">
        <v>0</v>
      </c>
      <c r="W33" s="145">
        <v>0</v>
      </c>
      <c r="X33" s="145">
        <v>0</v>
      </c>
      <c r="Y33" s="145">
        <v>0</v>
      </c>
      <c r="Z33" s="145">
        <v>0</v>
      </c>
      <c r="AA33" s="142">
        <f t="shared" si="0"/>
        <v>0</v>
      </c>
      <c r="AB33" s="141"/>
      <c r="AC33" s="67"/>
      <c r="AD33" s="67"/>
      <c r="AE33" s="24"/>
      <c r="AF33" s="24"/>
      <c r="AG33" s="24"/>
    </row>
    <row r="34" spans="1:33" ht="76.5">
      <c r="A34" s="153">
        <v>31</v>
      </c>
      <c r="B34" s="153" t="s">
        <v>57</v>
      </c>
      <c r="C34" s="153" t="s">
        <v>65</v>
      </c>
      <c r="D34" s="28" t="s">
        <v>605</v>
      </c>
      <c r="E34" s="59"/>
      <c r="F34" s="59"/>
      <c r="G34" s="90"/>
      <c r="H34" s="90">
        <v>45946</v>
      </c>
      <c r="I34" s="93" t="s">
        <v>971</v>
      </c>
      <c r="J34" s="96"/>
      <c r="K34" s="96"/>
      <c r="L34" s="69"/>
      <c r="M34" s="69" t="s">
        <v>842</v>
      </c>
      <c r="N34" s="39">
        <v>2</v>
      </c>
      <c r="O34" s="141" t="s">
        <v>123</v>
      </c>
      <c r="P34" s="141" t="s">
        <v>811</v>
      </c>
      <c r="Q34" s="141"/>
      <c r="R34" s="21"/>
      <c r="S34" s="141"/>
      <c r="T34" s="29">
        <v>0</v>
      </c>
      <c r="U34" s="145">
        <v>0</v>
      </c>
      <c r="V34" s="145">
        <v>0</v>
      </c>
      <c r="W34" s="145">
        <v>0</v>
      </c>
      <c r="X34" s="145">
        <v>0</v>
      </c>
      <c r="Y34" s="145">
        <v>0</v>
      </c>
      <c r="Z34" s="145">
        <v>0</v>
      </c>
      <c r="AA34" s="142">
        <f t="shared" si="0"/>
        <v>0</v>
      </c>
      <c r="AB34" s="141"/>
      <c r="AC34" s="67"/>
      <c r="AD34" s="67"/>
      <c r="AE34" s="24"/>
      <c r="AF34" s="24"/>
      <c r="AG34" s="24"/>
    </row>
    <row r="35" spans="1:33" ht="61.5">
      <c r="A35" s="153">
        <v>32</v>
      </c>
      <c r="B35" s="153" t="s">
        <v>57</v>
      </c>
      <c r="C35" s="153" t="s">
        <v>63</v>
      </c>
      <c r="D35" s="28" t="s">
        <v>152</v>
      </c>
      <c r="E35" s="59">
        <v>2</v>
      </c>
      <c r="F35" s="59">
        <v>4</v>
      </c>
      <c r="G35" s="90">
        <v>45922</v>
      </c>
      <c r="H35" s="90">
        <v>45925</v>
      </c>
      <c r="I35" s="93" t="s">
        <v>686</v>
      </c>
      <c r="J35" s="96" t="s">
        <v>687</v>
      </c>
      <c r="K35" s="96" t="s">
        <v>844</v>
      </c>
      <c r="L35" s="69"/>
      <c r="M35" s="69" t="s">
        <v>845</v>
      </c>
      <c r="N35" s="39">
        <v>3</v>
      </c>
      <c r="O35" s="141" t="s">
        <v>753</v>
      </c>
      <c r="P35" s="141" t="s">
        <v>210</v>
      </c>
      <c r="Q35" s="141"/>
      <c r="R35" s="141"/>
      <c r="S35" s="141"/>
      <c r="T35" s="29">
        <v>0</v>
      </c>
      <c r="U35" s="145">
        <v>0</v>
      </c>
      <c r="V35" s="145">
        <v>0</v>
      </c>
      <c r="W35" s="145">
        <v>0</v>
      </c>
      <c r="X35" s="145">
        <v>0</v>
      </c>
      <c r="Y35" s="145">
        <v>0</v>
      </c>
      <c r="Z35" s="145">
        <v>0</v>
      </c>
      <c r="AA35" s="142">
        <f t="shared" si="0"/>
        <v>0</v>
      </c>
      <c r="AB35" s="141"/>
      <c r="AC35" s="67"/>
      <c r="AD35" s="67"/>
      <c r="AE35" s="24"/>
      <c r="AF35" s="24"/>
      <c r="AG35" s="24"/>
    </row>
    <row r="36" spans="1:33" ht="89.25">
      <c r="A36" s="153">
        <v>33</v>
      </c>
      <c r="B36" s="153" t="s">
        <v>57</v>
      </c>
      <c r="C36" s="153" t="s">
        <v>63</v>
      </c>
      <c r="D36" s="28" t="s">
        <v>674</v>
      </c>
      <c r="E36" s="59">
        <v>4</v>
      </c>
      <c r="F36" s="59">
        <v>4</v>
      </c>
      <c r="G36" s="90" t="s">
        <v>936</v>
      </c>
      <c r="H36" s="90" t="s">
        <v>937</v>
      </c>
      <c r="I36" s="93" t="s">
        <v>938</v>
      </c>
      <c r="J36" s="93" t="s">
        <v>939</v>
      </c>
      <c r="K36" s="96"/>
      <c r="L36" s="69"/>
      <c r="M36" s="69"/>
      <c r="N36" s="39">
        <v>3</v>
      </c>
      <c r="O36" s="141" t="s">
        <v>150</v>
      </c>
      <c r="P36" s="141" t="s">
        <v>805</v>
      </c>
      <c r="Q36" s="141"/>
      <c r="R36" s="21"/>
      <c r="S36" s="141"/>
      <c r="T36" s="29">
        <v>0</v>
      </c>
      <c r="U36" s="145">
        <v>0</v>
      </c>
      <c r="V36" s="145">
        <v>0</v>
      </c>
      <c r="W36" s="145">
        <v>0</v>
      </c>
      <c r="X36" s="145">
        <v>0</v>
      </c>
      <c r="Y36" s="145">
        <v>0</v>
      </c>
      <c r="Z36" s="145">
        <v>0</v>
      </c>
      <c r="AA36" s="142">
        <f t="shared" ref="AA36:AA67" si="1">AVERAGE(T36:Z36)</f>
        <v>0</v>
      </c>
      <c r="AB36" s="141"/>
      <c r="AC36" s="67"/>
      <c r="AD36" s="67"/>
      <c r="AE36" s="24"/>
      <c r="AF36" s="24"/>
      <c r="AG36" s="24"/>
    </row>
    <row r="37" spans="1:33" ht="63.75">
      <c r="A37" s="153">
        <v>34</v>
      </c>
      <c r="B37" s="153" t="s">
        <v>57</v>
      </c>
      <c r="C37" s="153" t="s">
        <v>63</v>
      </c>
      <c r="D37" s="28" t="s">
        <v>154</v>
      </c>
      <c r="E37" s="59">
        <v>5</v>
      </c>
      <c r="F37" s="59">
        <v>5</v>
      </c>
      <c r="G37" s="90">
        <v>45917</v>
      </c>
      <c r="H37" s="90">
        <v>45929</v>
      </c>
      <c r="I37" s="93" t="s">
        <v>640</v>
      </c>
      <c r="J37" s="96" t="s">
        <v>850</v>
      </c>
      <c r="K37" s="96" t="s">
        <v>940</v>
      </c>
      <c r="L37" s="69"/>
      <c r="M37" s="69" t="s">
        <v>851</v>
      </c>
      <c r="N37" s="39">
        <v>1</v>
      </c>
      <c r="O37" s="141" t="s">
        <v>150</v>
      </c>
      <c r="P37" s="141" t="s">
        <v>765</v>
      </c>
      <c r="Q37" s="141"/>
      <c r="R37" s="141"/>
      <c r="S37" s="141"/>
      <c r="T37" s="29">
        <v>0</v>
      </c>
      <c r="U37" s="145">
        <v>0</v>
      </c>
      <c r="V37" s="145">
        <v>0</v>
      </c>
      <c r="W37" s="145">
        <v>0</v>
      </c>
      <c r="X37" s="145">
        <v>0</v>
      </c>
      <c r="Y37" s="145">
        <v>0</v>
      </c>
      <c r="Z37" s="145">
        <v>0</v>
      </c>
      <c r="AA37" s="142">
        <f t="shared" si="1"/>
        <v>0</v>
      </c>
      <c r="AB37" s="141"/>
      <c r="AC37" s="67"/>
      <c r="AD37" s="67"/>
      <c r="AE37" s="24"/>
      <c r="AF37" s="24"/>
      <c r="AG37" s="24"/>
    </row>
    <row r="38" spans="1:33" ht="61.5">
      <c r="A38" s="153">
        <v>35</v>
      </c>
      <c r="B38" s="153" t="s">
        <v>57</v>
      </c>
      <c r="C38" s="153" t="s">
        <v>63</v>
      </c>
      <c r="D38" s="28" t="s">
        <v>141</v>
      </c>
      <c r="E38" s="59">
        <v>0</v>
      </c>
      <c r="F38" s="59">
        <v>0</v>
      </c>
      <c r="G38" s="90">
        <v>45902</v>
      </c>
      <c r="H38" s="90">
        <v>45925</v>
      </c>
      <c r="I38" s="93"/>
      <c r="J38" s="96" t="s">
        <v>853</v>
      </c>
      <c r="K38" s="96"/>
      <c r="L38" s="69"/>
      <c r="M38" s="69"/>
      <c r="N38" s="39">
        <v>1</v>
      </c>
      <c r="O38" s="141" t="s">
        <v>150</v>
      </c>
      <c r="P38" s="141" t="s">
        <v>210</v>
      </c>
      <c r="Q38" s="141"/>
      <c r="R38" s="141"/>
      <c r="S38" s="141"/>
      <c r="T38" s="29">
        <v>0</v>
      </c>
      <c r="U38" s="145">
        <v>0</v>
      </c>
      <c r="V38" s="145">
        <v>0</v>
      </c>
      <c r="W38" s="145">
        <v>0</v>
      </c>
      <c r="X38" s="145">
        <v>0</v>
      </c>
      <c r="Y38" s="145">
        <v>0</v>
      </c>
      <c r="Z38" s="145">
        <v>0</v>
      </c>
      <c r="AA38" s="142">
        <f t="shared" si="1"/>
        <v>0</v>
      </c>
      <c r="AB38" s="141"/>
      <c r="AC38" s="67"/>
      <c r="AD38" s="67"/>
      <c r="AE38" s="24"/>
      <c r="AF38" s="24"/>
      <c r="AG38" s="24"/>
    </row>
    <row r="39" spans="1:33" ht="61.5">
      <c r="A39" s="153">
        <v>36</v>
      </c>
      <c r="B39" s="153" t="s">
        <v>57</v>
      </c>
      <c r="C39" s="153" t="s">
        <v>63</v>
      </c>
      <c r="D39" s="28" t="s">
        <v>608</v>
      </c>
      <c r="E39" s="59">
        <v>2</v>
      </c>
      <c r="F39" s="59">
        <v>5</v>
      </c>
      <c r="G39" s="90">
        <v>45924</v>
      </c>
      <c r="H39" s="90">
        <v>45937</v>
      </c>
      <c r="I39" s="93" t="s">
        <v>609</v>
      </c>
      <c r="J39" s="96" t="s">
        <v>856</v>
      </c>
      <c r="K39" s="96"/>
      <c r="L39" s="69"/>
      <c r="M39" s="69"/>
      <c r="N39" s="39">
        <v>1</v>
      </c>
      <c r="O39" s="141" t="s">
        <v>150</v>
      </c>
      <c r="P39" s="141" t="s">
        <v>765</v>
      </c>
      <c r="Q39" s="141"/>
      <c r="R39" s="141"/>
      <c r="S39" s="141"/>
      <c r="T39" s="29">
        <v>0</v>
      </c>
      <c r="U39" s="145">
        <v>0</v>
      </c>
      <c r="V39" s="145">
        <v>0</v>
      </c>
      <c r="W39" s="145">
        <v>0</v>
      </c>
      <c r="X39" s="145">
        <v>0</v>
      </c>
      <c r="Y39" s="145">
        <v>0</v>
      </c>
      <c r="Z39" s="145">
        <v>0</v>
      </c>
      <c r="AA39" s="142">
        <f t="shared" si="1"/>
        <v>0</v>
      </c>
      <c r="AB39" s="141"/>
      <c r="AC39" s="67"/>
      <c r="AD39" s="67"/>
      <c r="AE39" s="24"/>
      <c r="AF39" s="24"/>
      <c r="AG39" s="24"/>
    </row>
    <row r="40" spans="1:33" ht="61.5">
      <c r="A40" s="153">
        <v>37</v>
      </c>
      <c r="B40" s="153" t="s">
        <v>57</v>
      </c>
      <c r="C40" s="153" t="s">
        <v>63</v>
      </c>
      <c r="D40" s="28" t="s">
        <v>683</v>
      </c>
      <c r="E40" s="59">
        <v>5</v>
      </c>
      <c r="F40" s="59">
        <v>5</v>
      </c>
      <c r="G40" s="90">
        <v>45922</v>
      </c>
      <c r="H40" s="90">
        <v>45931</v>
      </c>
      <c r="I40" s="93"/>
      <c r="J40" s="96"/>
      <c r="K40" s="96" t="s">
        <v>685</v>
      </c>
      <c r="L40" s="69"/>
      <c r="M40" s="69"/>
      <c r="N40" s="39">
        <v>1</v>
      </c>
      <c r="O40" s="141" t="s">
        <v>150</v>
      </c>
      <c r="P40" s="141" t="s">
        <v>765</v>
      </c>
      <c r="Q40" s="141"/>
      <c r="R40" s="141"/>
      <c r="S40" s="141"/>
      <c r="T40" s="29">
        <v>0</v>
      </c>
      <c r="U40" s="145">
        <v>0</v>
      </c>
      <c r="V40" s="145">
        <v>0</v>
      </c>
      <c r="W40" s="145">
        <v>0</v>
      </c>
      <c r="X40" s="145">
        <v>0</v>
      </c>
      <c r="Y40" s="145">
        <v>0</v>
      </c>
      <c r="Z40" s="145">
        <v>0</v>
      </c>
      <c r="AA40" s="142">
        <f t="shared" si="1"/>
        <v>0</v>
      </c>
      <c r="AB40" s="141"/>
      <c r="AC40" s="67"/>
      <c r="AD40" s="67"/>
      <c r="AE40" s="24"/>
      <c r="AF40" s="24"/>
      <c r="AG40" s="24"/>
    </row>
    <row r="41" spans="1:33" ht="90">
      <c r="A41" s="153">
        <v>38</v>
      </c>
      <c r="B41" s="153" t="s">
        <v>57</v>
      </c>
      <c r="C41" s="153" t="s">
        <v>63</v>
      </c>
      <c r="D41" s="28" t="s">
        <v>680</v>
      </c>
      <c r="E41" s="59">
        <v>5</v>
      </c>
      <c r="F41" s="59">
        <v>5</v>
      </c>
      <c r="G41" s="90">
        <v>45922</v>
      </c>
      <c r="H41" s="90">
        <v>45931</v>
      </c>
      <c r="I41" s="93"/>
      <c r="J41" s="95" t="s">
        <v>859</v>
      </c>
      <c r="K41" s="95" t="s">
        <v>941</v>
      </c>
      <c r="L41" s="69"/>
      <c r="M41" s="69"/>
      <c r="N41" s="39">
        <v>1</v>
      </c>
      <c r="O41" s="141" t="s">
        <v>150</v>
      </c>
      <c r="P41" s="141" t="s">
        <v>765</v>
      </c>
      <c r="Q41" s="141"/>
      <c r="R41" s="141"/>
      <c r="S41" s="141"/>
      <c r="T41" s="29">
        <v>0</v>
      </c>
      <c r="U41" s="145">
        <v>0</v>
      </c>
      <c r="V41" s="145">
        <v>0</v>
      </c>
      <c r="W41" s="145">
        <v>0</v>
      </c>
      <c r="X41" s="145">
        <v>0</v>
      </c>
      <c r="Y41" s="145">
        <v>0</v>
      </c>
      <c r="Z41" s="145">
        <v>0</v>
      </c>
      <c r="AA41" s="142">
        <f t="shared" si="1"/>
        <v>0</v>
      </c>
      <c r="AB41" s="141"/>
      <c r="AC41" s="67"/>
      <c r="AD41" s="67"/>
      <c r="AE41" s="24"/>
      <c r="AF41" s="24"/>
      <c r="AG41" s="24"/>
    </row>
    <row r="42" spans="1:33" ht="61.5">
      <c r="A42" s="153">
        <v>39</v>
      </c>
      <c r="B42" s="153" t="s">
        <v>57</v>
      </c>
      <c r="C42" s="153" t="s">
        <v>63</v>
      </c>
      <c r="D42" s="28" t="s">
        <v>705</v>
      </c>
      <c r="E42" s="59"/>
      <c r="F42" s="59"/>
      <c r="G42" s="90"/>
      <c r="H42" s="90"/>
      <c r="I42" s="93"/>
      <c r="J42" s="96"/>
      <c r="K42" s="96"/>
      <c r="L42" s="69"/>
      <c r="M42" s="69"/>
      <c r="N42" s="39">
        <v>2</v>
      </c>
      <c r="O42" s="141" t="s">
        <v>409</v>
      </c>
      <c r="P42" s="141" t="s">
        <v>861</v>
      </c>
      <c r="Q42" s="141"/>
      <c r="R42" s="141"/>
      <c r="S42" s="141"/>
      <c r="T42" s="29">
        <v>0</v>
      </c>
      <c r="U42" s="145">
        <v>0</v>
      </c>
      <c r="V42" s="145">
        <v>0</v>
      </c>
      <c r="W42" s="145">
        <v>0</v>
      </c>
      <c r="X42" s="145">
        <v>0</v>
      </c>
      <c r="Y42" s="145">
        <v>0</v>
      </c>
      <c r="Z42" s="145">
        <v>0</v>
      </c>
      <c r="AA42" s="142">
        <f t="shared" si="1"/>
        <v>0</v>
      </c>
      <c r="AB42" s="141"/>
      <c r="AC42" s="67"/>
      <c r="AD42" s="67"/>
      <c r="AE42" s="24"/>
      <c r="AF42" s="24"/>
      <c r="AG42" s="24"/>
    </row>
    <row r="43" spans="1:33" ht="61.5">
      <c r="A43" s="153">
        <v>40</v>
      </c>
      <c r="B43" s="153" t="s">
        <v>57</v>
      </c>
      <c r="C43" s="153" t="s">
        <v>63</v>
      </c>
      <c r="D43" s="28" t="s">
        <v>713</v>
      </c>
      <c r="E43" s="59">
        <v>4</v>
      </c>
      <c r="F43" s="59">
        <v>4</v>
      </c>
      <c r="G43" s="90"/>
      <c r="H43" s="90">
        <v>45925</v>
      </c>
      <c r="I43" s="93" t="s">
        <v>714</v>
      </c>
      <c r="J43" s="96" t="s">
        <v>863</v>
      </c>
      <c r="K43" s="96"/>
      <c r="L43" s="69"/>
      <c r="M43" s="69"/>
      <c r="N43" s="39">
        <v>1</v>
      </c>
      <c r="O43" s="141" t="s">
        <v>150</v>
      </c>
      <c r="P43" s="141" t="s">
        <v>764</v>
      </c>
      <c r="Q43" s="141"/>
      <c r="R43" s="141"/>
      <c r="S43" s="141"/>
      <c r="T43" s="29">
        <v>0</v>
      </c>
      <c r="U43" s="145">
        <v>0</v>
      </c>
      <c r="V43" s="145">
        <v>0</v>
      </c>
      <c r="W43" s="145">
        <v>0</v>
      </c>
      <c r="X43" s="145">
        <v>0</v>
      </c>
      <c r="Y43" s="145">
        <v>0</v>
      </c>
      <c r="Z43" s="145">
        <v>0</v>
      </c>
      <c r="AA43" s="142">
        <f t="shared" si="1"/>
        <v>0</v>
      </c>
      <c r="AB43" s="141"/>
      <c r="AC43" s="67"/>
      <c r="AD43" s="67"/>
      <c r="AE43" s="24"/>
      <c r="AF43" s="24"/>
      <c r="AG43" s="24"/>
    </row>
    <row r="44" spans="1:33" ht="61.5">
      <c r="A44" s="153">
        <v>41</v>
      </c>
      <c r="B44" s="153" t="s">
        <v>57</v>
      </c>
      <c r="C44" s="153" t="s">
        <v>63</v>
      </c>
      <c r="D44" s="28" t="s">
        <v>648</v>
      </c>
      <c r="E44" s="59"/>
      <c r="F44" s="59"/>
      <c r="G44" s="90"/>
      <c r="H44" s="90">
        <v>45925</v>
      </c>
      <c r="I44" s="93"/>
      <c r="J44" s="96" t="s">
        <v>865</v>
      </c>
      <c r="K44" s="96"/>
      <c r="L44" s="69"/>
      <c r="M44" s="69"/>
      <c r="N44" s="39">
        <v>2</v>
      </c>
      <c r="O44" s="141" t="s">
        <v>150</v>
      </c>
      <c r="P44" s="141" t="s">
        <v>805</v>
      </c>
      <c r="Q44" s="141"/>
      <c r="R44" s="141"/>
      <c r="S44" s="141"/>
      <c r="T44" s="29">
        <v>0</v>
      </c>
      <c r="U44" s="145">
        <v>0</v>
      </c>
      <c r="V44" s="145">
        <v>0</v>
      </c>
      <c r="W44" s="145">
        <v>0</v>
      </c>
      <c r="X44" s="145">
        <v>0</v>
      </c>
      <c r="Y44" s="145">
        <v>0</v>
      </c>
      <c r="Z44" s="145">
        <v>0</v>
      </c>
      <c r="AA44" s="142">
        <f t="shared" si="1"/>
        <v>0</v>
      </c>
      <c r="AB44" s="141"/>
      <c r="AC44" s="67"/>
      <c r="AD44" s="67"/>
      <c r="AE44" s="24"/>
      <c r="AF44" s="24"/>
      <c r="AG44" s="24"/>
    </row>
    <row r="45" spans="1:33" ht="61.5">
      <c r="A45" s="153">
        <v>42</v>
      </c>
      <c r="B45" s="153" t="s">
        <v>57</v>
      </c>
      <c r="C45" s="153" t="s">
        <v>63</v>
      </c>
      <c r="D45" s="28" t="s">
        <v>628</v>
      </c>
      <c r="E45" s="59"/>
      <c r="F45" s="59"/>
      <c r="G45" s="90"/>
      <c r="H45" s="90" t="s">
        <v>867</v>
      </c>
      <c r="I45" s="93" t="s">
        <v>629</v>
      </c>
      <c r="J45" s="96"/>
      <c r="K45" s="96"/>
      <c r="L45" s="69"/>
      <c r="M45" s="69"/>
      <c r="N45" s="39">
        <v>2</v>
      </c>
      <c r="O45" s="141" t="s">
        <v>150</v>
      </c>
      <c r="P45" s="141" t="s">
        <v>797</v>
      </c>
      <c r="Q45" s="141"/>
      <c r="R45" s="141"/>
      <c r="S45" s="141"/>
      <c r="T45" s="29">
        <v>0</v>
      </c>
      <c r="U45" s="145">
        <v>0</v>
      </c>
      <c r="V45" s="145">
        <v>0</v>
      </c>
      <c r="W45" s="145">
        <v>0</v>
      </c>
      <c r="X45" s="145">
        <v>0</v>
      </c>
      <c r="Y45" s="145">
        <v>0</v>
      </c>
      <c r="Z45" s="145">
        <v>0</v>
      </c>
      <c r="AA45" s="142">
        <f t="shared" si="1"/>
        <v>0</v>
      </c>
      <c r="AB45" s="141"/>
      <c r="AC45" s="67"/>
      <c r="AD45" s="67"/>
      <c r="AE45" s="24"/>
      <c r="AF45" s="24"/>
      <c r="AG45" s="24"/>
    </row>
    <row r="46" spans="1:33" ht="61.5">
      <c r="A46" s="153">
        <v>43</v>
      </c>
      <c r="B46" s="153" t="s">
        <v>57</v>
      </c>
      <c r="C46" s="153" t="s">
        <v>63</v>
      </c>
      <c r="D46" s="28" t="s">
        <v>942</v>
      </c>
      <c r="E46" s="59"/>
      <c r="F46" s="59"/>
      <c r="G46" s="90">
        <v>45933</v>
      </c>
      <c r="H46" s="90" t="s">
        <v>762</v>
      </c>
      <c r="I46" s="93" t="s">
        <v>943</v>
      </c>
      <c r="J46" s="96" t="s">
        <v>944</v>
      </c>
      <c r="K46" s="96"/>
      <c r="L46" s="69"/>
      <c r="M46" s="69"/>
      <c r="N46" s="39">
        <v>0</v>
      </c>
      <c r="O46" s="141" t="s">
        <v>150</v>
      </c>
      <c r="P46" s="141" t="s">
        <v>805</v>
      </c>
      <c r="Q46" s="141"/>
      <c r="R46" s="21"/>
      <c r="S46" s="141"/>
      <c r="T46" s="29">
        <v>0</v>
      </c>
      <c r="U46" s="145">
        <v>0</v>
      </c>
      <c r="V46" s="145">
        <v>0</v>
      </c>
      <c r="W46" s="145">
        <v>0</v>
      </c>
      <c r="X46" s="145">
        <v>0</v>
      </c>
      <c r="Y46" s="145">
        <v>0</v>
      </c>
      <c r="Z46" s="145">
        <v>0</v>
      </c>
      <c r="AA46" s="142">
        <f t="shared" si="1"/>
        <v>0</v>
      </c>
      <c r="AB46" s="141"/>
      <c r="AC46" s="67"/>
      <c r="AD46" s="67"/>
      <c r="AE46" s="24"/>
      <c r="AF46" s="24"/>
      <c r="AG46" s="24"/>
    </row>
    <row r="47" spans="1:33" ht="61.5">
      <c r="A47" s="153">
        <v>44</v>
      </c>
      <c r="B47" s="153" t="s">
        <v>57</v>
      </c>
      <c r="C47" s="153"/>
      <c r="D47" s="28"/>
      <c r="E47" s="59"/>
      <c r="F47" s="59"/>
      <c r="G47" s="90"/>
      <c r="H47" s="90"/>
      <c r="I47" s="93"/>
      <c r="J47" s="96"/>
      <c r="K47" s="96"/>
      <c r="L47" s="69"/>
      <c r="M47" s="69"/>
      <c r="N47" s="39">
        <v>0</v>
      </c>
      <c r="O47" s="141"/>
      <c r="P47" s="141"/>
      <c r="Q47" s="141"/>
      <c r="R47" s="141"/>
      <c r="S47" s="141"/>
      <c r="T47" s="29">
        <v>0</v>
      </c>
      <c r="U47" s="145">
        <v>0</v>
      </c>
      <c r="V47" s="145">
        <v>0</v>
      </c>
      <c r="W47" s="145">
        <v>0</v>
      </c>
      <c r="X47" s="145">
        <v>0</v>
      </c>
      <c r="Y47" s="145">
        <v>0</v>
      </c>
      <c r="Z47" s="145">
        <v>0</v>
      </c>
      <c r="AA47" s="142">
        <f t="shared" si="1"/>
        <v>0</v>
      </c>
      <c r="AB47" s="141"/>
      <c r="AC47" s="67"/>
      <c r="AD47" s="67"/>
      <c r="AE47" s="24"/>
      <c r="AF47" s="24"/>
      <c r="AG47" s="24"/>
    </row>
    <row r="48" spans="1:33" ht="61.5">
      <c r="A48" s="153">
        <v>45</v>
      </c>
      <c r="B48" s="153" t="s">
        <v>57</v>
      </c>
      <c r="C48" s="153"/>
      <c r="D48" s="28"/>
      <c r="E48" s="59"/>
      <c r="F48" s="59"/>
      <c r="G48" s="90"/>
      <c r="H48" s="90"/>
      <c r="I48" s="93"/>
      <c r="J48" s="96"/>
      <c r="K48" s="96"/>
      <c r="L48" s="69"/>
      <c r="M48" s="69"/>
      <c r="N48" s="39">
        <v>0</v>
      </c>
      <c r="O48" s="141"/>
      <c r="P48" s="141"/>
      <c r="Q48" s="141"/>
      <c r="R48" s="141"/>
      <c r="S48" s="141"/>
      <c r="T48" s="29">
        <v>0</v>
      </c>
      <c r="U48" s="145">
        <v>0</v>
      </c>
      <c r="V48" s="145">
        <v>0</v>
      </c>
      <c r="W48" s="145">
        <v>0</v>
      </c>
      <c r="X48" s="145">
        <v>0</v>
      </c>
      <c r="Y48" s="145">
        <v>0</v>
      </c>
      <c r="Z48" s="145">
        <v>0</v>
      </c>
      <c r="AA48" s="142">
        <f t="shared" si="1"/>
        <v>0</v>
      </c>
      <c r="AB48" s="141"/>
      <c r="AC48" s="67"/>
      <c r="AD48" s="67"/>
      <c r="AE48" s="24"/>
      <c r="AF48" s="24"/>
      <c r="AG48" s="24"/>
    </row>
    <row r="49" spans="1:33" ht="61.5">
      <c r="A49" s="153">
        <v>46</v>
      </c>
      <c r="B49" s="153" t="s">
        <v>57</v>
      </c>
      <c r="C49" s="153"/>
      <c r="D49" s="28"/>
      <c r="E49" s="59"/>
      <c r="F49" s="59"/>
      <c r="G49" s="90"/>
      <c r="H49" s="90"/>
      <c r="I49" s="93"/>
      <c r="J49" s="96"/>
      <c r="K49" s="96"/>
      <c r="L49" s="69"/>
      <c r="M49" s="69"/>
      <c r="N49" s="39">
        <v>0</v>
      </c>
      <c r="O49" s="141"/>
      <c r="P49" s="141"/>
      <c r="Q49" s="141"/>
      <c r="R49" s="141"/>
      <c r="S49" s="141"/>
      <c r="T49" s="29">
        <v>0</v>
      </c>
      <c r="U49" s="145">
        <v>0</v>
      </c>
      <c r="V49" s="145">
        <v>0</v>
      </c>
      <c r="W49" s="145">
        <v>0</v>
      </c>
      <c r="X49" s="145">
        <v>0</v>
      </c>
      <c r="Y49" s="145">
        <v>0</v>
      </c>
      <c r="Z49" s="145">
        <v>0</v>
      </c>
      <c r="AA49" s="142">
        <f t="shared" si="1"/>
        <v>0</v>
      </c>
      <c r="AB49" s="141"/>
      <c r="AC49" s="67"/>
      <c r="AD49" s="67"/>
      <c r="AE49" s="24"/>
      <c r="AF49" s="24"/>
      <c r="AG49" s="24"/>
    </row>
    <row r="50" spans="1:33" ht="61.5">
      <c r="A50" s="153">
        <v>47</v>
      </c>
      <c r="B50" s="153" t="s">
        <v>57</v>
      </c>
      <c r="C50" s="153"/>
      <c r="D50" s="28"/>
      <c r="E50" s="59"/>
      <c r="F50" s="59"/>
      <c r="G50" s="90"/>
      <c r="H50" s="90"/>
      <c r="I50" s="93"/>
      <c r="J50" s="96"/>
      <c r="K50" s="96"/>
      <c r="L50" s="69"/>
      <c r="M50" s="69"/>
      <c r="N50" s="39">
        <v>0</v>
      </c>
      <c r="O50" s="141"/>
      <c r="P50" s="141"/>
      <c r="Q50" s="141"/>
      <c r="R50" s="141"/>
      <c r="S50" s="141"/>
      <c r="T50" s="29">
        <v>0</v>
      </c>
      <c r="U50" s="145">
        <v>0</v>
      </c>
      <c r="V50" s="145">
        <v>0</v>
      </c>
      <c r="W50" s="145">
        <v>0</v>
      </c>
      <c r="X50" s="145">
        <v>0</v>
      </c>
      <c r="Y50" s="145">
        <v>0</v>
      </c>
      <c r="Z50" s="145">
        <v>0</v>
      </c>
      <c r="AA50" s="142">
        <f t="shared" si="1"/>
        <v>0</v>
      </c>
      <c r="AB50" s="141"/>
      <c r="AC50" s="67"/>
      <c r="AD50" s="67"/>
      <c r="AE50" s="24"/>
      <c r="AF50" s="24"/>
      <c r="AG50" s="24"/>
    </row>
    <row r="51" spans="1:33" ht="61.5">
      <c r="A51" s="153">
        <v>48</v>
      </c>
      <c r="B51" s="153" t="s">
        <v>57</v>
      </c>
      <c r="C51" s="153"/>
      <c r="D51" s="28"/>
      <c r="E51" s="59"/>
      <c r="F51" s="59"/>
      <c r="G51" s="90"/>
      <c r="H51" s="90"/>
      <c r="I51" s="93"/>
      <c r="J51" s="96"/>
      <c r="K51" s="96"/>
      <c r="L51" s="69"/>
      <c r="M51" s="69"/>
      <c r="N51" s="39">
        <v>0</v>
      </c>
      <c r="O51" s="141"/>
      <c r="P51" s="141"/>
      <c r="Q51" s="141"/>
      <c r="R51" s="141"/>
      <c r="S51" s="141"/>
      <c r="T51" s="29">
        <v>0</v>
      </c>
      <c r="U51" s="145">
        <v>0</v>
      </c>
      <c r="V51" s="145">
        <v>0</v>
      </c>
      <c r="W51" s="145">
        <v>0</v>
      </c>
      <c r="X51" s="145">
        <v>0</v>
      </c>
      <c r="Y51" s="145">
        <v>0</v>
      </c>
      <c r="Z51" s="145">
        <v>0</v>
      </c>
      <c r="AA51" s="142">
        <f t="shared" si="1"/>
        <v>0</v>
      </c>
      <c r="AB51" s="141"/>
      <c r="AC51" s="67"/>
      <c r="AD51" s="67"/>
      <c r="AE51" s="24"/>
      <c r="AF51" s="24"/>
      <c r="AG51" s="24"/>
    </row>
    <row r="52" spans="1:33" ht="61.5">
      <c r="A52" s="153">
        <v>49</v>
      </c>
      <c r="B52" s="153" t="s">
        <v>57</v>
      </c>
      <c r="C52" s="153"/>
      <c r="D52" s="28"/>
      <c r="E52" s="59"/>
      <c r="F52" s="59"/>
      <c r="G52" s="90"/>
      <c r="H52" s="90"/>
      <c r="I52" s="93"/>
      <c r="J52" s="96"/>
      <c r="K52" s="96"/>
      <c r="L52" s="69"/>
      <c r="M52" s="69"/>
      <c r="N52" s="39">
        <v>0</v>
      </c>
      <c r="O52" s="141"/>
      <c r="P52" s="141"/>
      <c r="Q52" s="141"/>
      <c r="R52" s="141"/>
      <c r="S52" s="141"/>
      <c r="T52" s="29">
        <v>0</v>
      </c>
      <c r="U52" s="145">
        <v>0</v>
      </c>
      <c r="V52" s="145">
        <v>0</v>
      </c>
      <c r="W52" s="145">
        <v>0</v>
      </c>
      <c r="X52" s="145">
        <v>0</v>
      </c>
      <c r="Y52" s="145">
        <v>0</v>
      </c>
      <c r="Z52" s="145">
        <v>0</v>
      </c>
      <c r="AA52" s="142">
        <f t="shared" si="1"/>
        <v>0</v>
      </c>
      <c r="AB52" s="141"/>
      <c r="AC52" s="67"/>
      <c r="AD52" s="67"/>
      <c r="AE52" s="24"/>
      <c r="AF52" s="24"/>
      <c r="AG52" s="24"/>
    </row>
    <row r="53" spans="1:33" ht="61.5">
      <c r="A53" s="153">
        <v>50</v>
      </c>
      <c r="B53" s="153" t="s">
        <v>57</v>
      </c>
      <c r="C53" s="153"/>
      <c r="D53" s="28"/>
      <c r="E53" s="59"/>
      <c r="F53" s="59"/>
      <c r="G53" s="90"/>
      <c r="H53" s="90"/>
      <c r="I53" s="93"/>
      <c r="J53" s="94"/>
      <c r="K53" s="94"/>
      <c r="L53" s="69"/>
      <c r="M53" s="69"/>
      <c r="N53" s="39">
        <v>0</v>
      </c>
      <c r="O53" s="141"/>
      <c r="P53" s="141"/>
      <c r="Q53" s="141"/>
      <c r="R53" s="141"/>
      <c r="S53" s="141"/>
      <c r="T53" s="29">
        <v>0</v>
      </c>
      <c r="U53" s="145">
        <v>0</v>
      </c>
      <c r="V53" s="145">
        <v>0</v>
      </c>
      <c r="W53" s="145">
        <v>0</v>
      </c>
      <c r="X53" s="145">
        <v>0</v>
      </c>
      <c r="Y53" s="145">
        <v>0</v>
      </c>
      <c r="Z53" s="145">
        <v>0</v>
      </c>
      <c r="AA53" s="142">
        <f t="shared" si="1"/>
        <v>0</v>
      </c>
      <c r="AB53" s="141"/>
      <c r="AC53" s="67"/>
      <c r="AD53" s="67"/>
      <c r="AE53" s="24"/>
      <c r="AF53" s="24"/>
      <c r="AG53" s="24"/>
    </row>
    <row r="54" spans="1:33" ht="61.5">
      <c r="A54" s="153">
        <v>51</v>
      </c>
      <c r="B54" s="153" t="s">
        <v>57</v>
      </c>
      <c r="C54" s="153"/>
      <c r="D54" s="28"/>
      <c r="E54" s="59"/>
      <c r="F54" s="59"/>
      <c r="G54" s="90"/>
      <c r="H54" s="90"/>
      <c r="I54" s="93"/>
      <c r="J54" s="96"/>
      <c r="K54" s="96"/>
      <c r="L54" s="69"/>
      <c r="M54" s="69"/>
      <c r="N54" s="39">
        <v>0</v>
      </c>
      <c r="O54" s="141"/>
      <c r="P54" s="141"/>
      <c r="Q54" s="141"/>
      <c r="R54" s="141"/>
      <c r="S54" s="141"/>
      <c r="T54" s="29">
        <v>0</v>
      </c>
      <c r="U54" s="145">
        <v>0</v>
      </c>
      <c r="V54" s="145">
        <v>0</v>
      </c>
      <c r="W54" s="145">
        <v>0</v>
      </c>
      <c r="X54" s="145">
        <v>0</v>
      </c>
      <c r="Y54" s="145">
        <v>0</v>
      </c>
      <c r="Z54" s="145">
        <v>0</v>
      </c>
      <c r="AA54" s="142">
        <f t="shared" si="1"/>
        <v>0</v>
      </c>
      <c r="AB54" s="141"/>
      <c r="AC54" s="67"/>
      <c r="AD54" s="67"/>
      <c r="AE54" s="24"/>
      <c r="AF54" s="24"/>
      <c r="AG54" s="24"/>
    </row>
    <row r="55" spans="1:33" ht="61.5">
      <c r="A55" s="153">
        <v>52</v>
      </c>
      <c r="B55" s="153" t="s">
        <v>57</v>
      </c>
      <c r="C55" s="28"/>
      <c r="D55" s="28"/>
      <c r="E55" s="59"/>
      <c r="F55" s="59"/>
      <c r="G55" s="90"/>
      <c r="H55" s="90"/>
      <c r="I55" s="93"/>
      <c r="J55" s="96"/>
      <c r="K55" s="96"/>
      <c r="L55" s="69"/>
      <c r="M55" s="69"/>
      <c r="N55" s="39">
        <v>0</v>
      </c>
      <c r="O55" s="141"/>
      <c r="P55" s="141"/>
      <c r="Q55" s="141"/>
      <c r="R55" s="141"/>
      <c r="S55" s="141"/>
      <c r="T55" s="29">
        <v>0</v>
      </c>
      <c r="U55" s="145">
        <v>0</v>
      </c>
      <c r="V55" s="145">
        <v>0</v>
      </c>
      <c r="W55" s="145">
        <v>0</v>
      </c>
      <c r="X55" s="145">
        <v>0</v>
      </c>
      <c r="Y55" s="145">
        <v>0</v>
      </c>
      <c r="Z55" s="145">
        <v>0</v>
      </c>
      <c r="AA55" s="142">
        <f t="shared" si="1"/>
        <v>0</v>
      </c>
      <c r="AB55" s="141"/>
      <c r="AC55" s="67"/>
      <c r="AD55" s="67"/>
      <c r="AE55" s="24"/>
      <c r="AF55" s="24"/>
      <c r="AG55" s="24"/>
    </row>
    <row r="56" spans="1:33" ht="61.5">
      <c r="A56" s="153">
        <v>53</v>
      </c>
      <c r="B56" s="153" t="s">
        <v>57</v>
      </c>
      <c r="C56" s="140"/>
      <c r="D56" s="28"/>
      <c r="E56" s="59"/>
      <c r="F56" s="59"/>
      <c r="G56" s="90"/>
      <c r="H56" s="90"/>
      <c r="I56" s="93"/>
      <c r="J56" s="96"/>
      <c r="K56" s="96"/>
      <c r="L56" s="69"/>
      <c r="M56" s="69"/>
      <c r="N56" s="39">
        <v>0</v>
      </c>
      <c r="O56" s="141"/>
      <c r="P56" s="141"/>
      <c r="Q56" s="141"/>
      <c r="R56" s="141"/>
      <c r="S56" s="141"/>
      <c r="T56" s="29">
        <v>0</v>
      </c>
      <c r="U56" s="145">
        <v>0</v>
      </c>
      <c r="V56" s="145">
        <v>0</v>
      </c>
      <c r="W56" s="145">
        <v>0</v>
      </c>
      <c r="X56" s="145">
        <v>0</v>
      </c>
      <c r="Y56" s="145">
        <v>0</v>
      </c>
      <c r="Z56" s="145">
        <v>0</v>
      </c>
      <c r="AA56" s="142">
        <f t="shared" si="1"/>
        <v>0</v>
      </c>
      <c r="AB56" s="141"/>
      <c r="AC56" s="67"/>
      <c r="AD56" s="67"/>
      <c r="AE56" s="24"/>
      <c r="AF56" s="24"/>
      <c r="AG56" s="24"/>
    </row>
    <row r="57" spans="1:33" ht="61.5">
      <c r="A57" s="153">
        <v>54</v>
      </c>
      <c r="B57" s="153" t="s">
        <v>57</v>
      </c>
      <c r="C57" s="140"/>
      <c r="D57" s="28"/>
      <c r="E57" s="59"/>
      <c r="F57" s="59"/>
      <c r="G57" s="90"/>
      <c r="H57" s="90"/>
      <c r="I57" s="93"/>
      <c r="J57" s="96"/>
      <c r="K57" s="96"/>
      <c r="L57" s="69"/>
      <c r="M57" s="69"/>
      <c r="N57" s="39">
        <v>0</v>
      </c>
      <c r="O57" s="141"/>
      <c r="P57" s="141"/>
      <c r="Q57" s="141"/>
      <c r="R57" s="21"/>
      <c r="S57" s="141"/>
      <c r="T57" s="29">
        <v>0</v>
      </c>
      <c r="U57" s="145">
        <v>0</v>
      </c>
      <c r="V57" s="145">
        <v>0</v>
      </c>
      <c r="W57" s="145">
        <v>0</v>
      </c>
      <c r="X57" s="145">
        <v>0</v>
      </c>
      <c r="Y57" s="145">
        <v>0</v>
      </c>
      <c r="Z57" s="145">
        <v>0</v>
      </c>
      <c r="AA57" s="142">
        <f t="shared" si="1"/>
        <v>0</v>
      </c>
      <c r="AB57" s="141"/>
      <c r="AC57" s="67"/>
      <c r="AD57" s="67"/>
      <c r="AE57" s="24"/>
      <c r="AF57" s="24"/>
      <c r="AG57" s="24"/>
    </row>
    <row r="58" spans="1:33" ht="61.5">
      <c r="A58" s="153">
        <v>55</v>
      </c>
      <c r="B58" s="153" t="s">
        <v>57</v>
      </c>
      <c r="C58" s="140"/>
      <c r="D58" s="28"/>
      <c r="E58" s="59"/>
      <c r="F58" s="59"/>
      <c r="G58" s="90"/>
      <c r="H58" s="90"/>
      <c r="I58" s="93"/>
      <c r="J58" s="96"/>
      <c r="K58" s="96"/>
      <c r="L58" s="69"/>
      <c r="M58" s="69"/>
      <c r="N58" s="39">
        <v>0</v>
      </c>
      <c r="O58" s="141"/>
      <c r="P58" s="141"/>
      <c r="Q58" s="141"/>
      <c r="R58" s="141"/>
      <c r="S58" s="141"/>
      <c r="T58" s="29">
        <v>0</v>
      </c>
      <c r="U58" s="145">
        <v>0</v>
      </c>
      <c r="V58" s="145">
        <v>0</v>
      </c>
      <c r="W58" s="145">
        <v>0</v>
      </c>
      <c r="X58" s="145">
        <v>0</v>
      </c>
      <c r="Y58" s="145">
        <v>0</v>
      </c>
      <c r="Z58" s="145">
        <v>0</v>
      </c>
      <c r="AA58" s="142">
        <f t="shared" si="1"/>
        <v>0</v>
      </c>
      <c r="AB58" s="141"/>
      <c r="AC58" s="67"/>
      <c r="AD58" s="67"/>
      <c r="AE58" s="24"/>
      <c r="AF58" s="24"/>
      <c r="AG58" s="24"/>
    </row>
    <row r="59" spans="1:33" ht="61.5">
      <c r="A59" s="153">
        <v>56</v>
      </c>
      <c r="B59" s="153" t="s">
        <v>57</v>
      </c>
      <c r="C59" s="140"/>
      <c r="D59" s="28"/>
      <c r="E59" s="59"/>
      <c r="F59" s="59"/>
      <c r="G59" s="90"/>
      <c r="H59" s="90"/>
      <c r="I59" s="93"/>
      <c r="J59" s="96"/>
      <c r="K59" s="96"/>
      <c r="L59" s="69"/>
      <c r="M59" s="69"/>
      <c r="N59" s="39">
        <v>0</v>
      </c>
      <c r="O59" s="141"/>
      <c r="P59" s="141"/>
      <c r="Q59" s="141"/>
      <c r="R59" s="141"/>
      <c r="S59" s="141"/>
      <c r="T59" s="29">
        <v>0</v>
      </c>
      <c r="U59" s="145">
        <v>0</v>
      </c>
      <c r="V59" s="145">
        <v>0</v>
      </c>
      <c r="W59" s="145">
        <v>0</v>
      </c>
      <c r="X59" s="145">
        <v>0</v>
      </c>
      <c r="Y59" s="145">
        <v>0</v>
      </c>
      <c r="Z59" s="145">
        <v>0</v>
      </c>
      <c r="AA59" s="142">
        <f t="shared" si="1"/>
        <v>0</v>
      </c>
      <c r="AB59" s="141"/>
      <c r="AC59" s="67"/>
      <c r="AD59" s="67"/>
      <c r="AE59" s="24"/>
      <c r="AF59" s="24"/>
      <c r="AG59" s="24"/>
    </row>
    <row r="60" spans="1:33" ht="61.5">
      <c r="A60" s="153">
        <v>57</v>
      </c>
      <c r="B60" s="153" t="s">
        <v>57</v>
      </c>
      <c r="C60" s="58"/>
      <c r="D60" s="28"/>
      <c r="E60" s="59"/>
      <c r="F60" s="59"/>
      <c r="G60" s="90"/>
      <c r="H60" s="90"/>
      <c r="I60" s="93"/>
      <c r="J60" s="96"/>
      <c r="K60" s="96"/>
      <c r="L60" s="69"/>
      <c r="M60" s="69"/>
      <c r="N60" s="39">
        <v>0</v>
      </c>
      <c r="O60" s="141"/>
      <c r="P60" s="141"/>
      <c r="Q60" s="141"/>
      <c r="R60" s="141"/>
      <c r="S60" s="141"/>
      <c r="T60" s="29">
        <v>0</v>
      </c>
      <c r="U60" s="145">
        <v>0</v>
      </c>
      <c r="V60" s="145">
        <v>0</v>
      </c>
      <c r="W60" s="145">
        <v>0</v>
      </c>
      <c r="X60" s="145">
        <v>0</v>
      </c>
      <c r="Y60" s="145">
        <v>0</v>
      </c>
      <c r="Z60" s="145">
        <v>0</v>
      </c>
      <c r="AA60" s="142">
        <f t="shared" si="1"/>
        <v>0</v>
      </c>
      <c r="AB60" s="141"/>
      <c r="AC60" s="67"/>
      <c r="AD60" s="67"/>
      <c r="AE60" s="24"/>
      <c r="AF60" s="24"/>
      <c r="AG60" s="24"/>
    </row>
    <row r="61" spans="1:33" ht="61.5">
      <c r="A61" s="153">
        <v>58</v>
      </c>
      <c r="B61" s="153" t="s">
        <v>57</v>
      </c>
      <c r="C61" s="140"/>
      <c r="D61" s="28"/>
      <c r="E61" s="59"/>
      <c r="F61" s="59"/>
      <c r="G61" s="90"/>
      <c r="H61" s="90"/>
      <c r="I61" s="93"/>
      <c r="J61" s="96"/>
      <c r="K61" s="96"/>
      <c r="L61" s="69"/>
      <c r="M61" s="69"/>
      <c r="N61" s="39">
        <v>0</v>
      </c>
      <c r="O61" s="21"/>
      <c r="P61" s="21"/>
      <c r="Q61" s="141"/>
      <c r="R61" s="21"/>
      <c r="S61" s="141"/>
      <c r="T61" s="29">
        <v>0</v>
      </c>
      <c r="U61" s="145">
        <v>0</v>
      </c>
      <c r="V61" s="145">
        <v>0</v>
      </c>
      <c r="W61" s="145">
        <v>0</v>
      </c>
      <c r="X61" s="145">
        <v>0</v>
      </c>
      <c r="Y61" s="145">
        <v>0</v>
      </c>
      <c r="Z61" s="145">
        <v>0</v>
      </c>
      <c r="AA61" s="142">
        <f t="shared" si="1"/>
        <v>0</v>
      </c>
      <c r="AB61" s="141"/>
      <c r="AC61" s="67"/>
      <c r="AD61" s="67"/>
      <c r="AE61" s="24"/>
      <c r="AF61" s="24"/>
      <c r="AG61" s="24"/>
    </row>
    <row r="62" spans="1:33" ht="61.5">
      <c r="A62" s="153">
        <v>59</v>
      </c>
      <c r="B62" s="153" t="s">
        <v>57</v>
      </c>
      <c r="C62" s="140"/>
      <c r="D62" s="28"/>
      <c r="E62" s="59"/>
      <c r="F62" s="59"/>
      <c r="G62" s="90"/>
      <c r="H62" s="90"/>
      <c r="I62" s="93"/>
      <c r="J62" s="96"/>
      <c r="K62" s="96"/>
      <c r="L62" s="69"/>
      <c r="M62" s="69"/>
      <c r="N62" s="39">
        <v>0</v>
      </c>
      <c r="O62" s="141"/>
      <c r="P62" s="141"/>
      <c r="Q62" s="141"/>
      <c r="R62" s="141"/>
      <c r="S62" s="141"/>
      <c r="T62" s="29">
        <v>0</v>
      </c>
      <c r="U62" s="145">
        <v>0</v>
      </c>
      <c r="V62" s="145">
        <v>0</v>
      </c>
      <c r="W62" s="145">
        <v>0</v>
      </c>
      <c r="X62" s="145">
        <v>0</v>
      </c>
      <c r="Y62" s="145">
        <v>0</v>
      </c>
      <c r="Z62" s="145">
        <v>0</v>
      </c>
      <c r="AA62" s="142">
        <f t="shared" si="1"/>
        <v>0</v>
      </c>
      <c r="AB62" s="141"/>
      <c r="AC62" s="67"/>
      <c r="AD62" s="67"/>
      <c r="AE62" s="24"/>
      <c r="AF62" s="24"/>
      <c r="AG62" s="24"/>
    </row>
    <row r="63" spans="1:33" ht="61.5">
      <c r="A63" s="153">
        <v>60</v>
      </c>
      <c r="B63" s="153" t="s">
        <v>57</v>
      </c>
      <c r="C63" s="140"/>
      <c r="D63" s="28"/>
      <c r="E63" s="59"/>
      <c r="F63" s="59"/>
      <c r="G63" s="90"/>
      <c r="H63" s="90"/>
      <c r="I63" s="93"/>
      <c r="J63" s="96"/>
      <c r="K63" s="96"/>
      <c r="L63" s="69"/>
      <c r="M63" s="69"/>
      <c r="N63" s="39">
        <v>0</v>
      </c>
      <c r="O63" s="141"/>
      <c r="P63" s="141"/>
      <c r="Q63" s="141"/>
      <c r="R63" s="141"/>
      <c r="S63" s="141"/>
      <c r="T63" s="29">
        <v>0</v>
      </c>
      <c r="U63" s="145">
        <v>0</v>
      </c>
      <c r="V63" s="145">
        <v>0</v>
      </c>
      <c r="W63" s="145">
        <v>0</v>
      </c>
      <c r="X63" s="145">
        <v>0</v>
      </c>
      <c r="Y63" s="145">
        <v>0</v>
      </c>
      <c r="Z63" s="145">
        <v>0</v>
      </c>
      <c r="AA63" s="142">
        <f t="shared" si="1"/>
        <v>0</v>
      </c>
      <c r="AB63" s="141"/>
      <c r="AC63" s="67"/>
      <c r="AD63" s="67"/>
      <c r="AE63" s="24"/>
      <c r="AF63" s="24"/>
      <c r="AG63" s="24"/>
    </row>
    <row r="64" spans="1:33" ht="61.5">
      <c r="A64" s="153">
        <v>61</v>
      </c>
      <c r="B64" s="140" t="s">
        <v>217</v>
      </c>
      <c r="C64" s="140"/>
      <c r="D64" s="28"/>
      <c r="E64" s="59"/>
      <c r="F64" s="59"/>
      <c r="G64" s="90"/>
      <c r="H64" s="90"/>
      <c r="I64" s="93"/>
      <c r="J64" s="96"/>
      <c r="K64" s="96"/>
      <c r="L64" s="69"/>
      <c r="M64" s="69"/>
      <c r="N64" s="39">
        <v>0</v>
      </c>
      <c r="O64" s="141"/>
      <c r="P64" s="141"/>
      <c r="Q64" s="141"/>
      <c r="R64" s="141"/>
      <c r="S64" s="141"/>
      <c r="T64" s="29">
        <v>0</v>
      </c>
      <c r="U64" s="145">
        <v>0</v>
      </c>
      <c r="V64" s="145">
        <v>0</v>
      </c>
      <c r="W64" s="145">
        <v>0</v>
      </c>
      <c r="X64" s="145">
        <v>0</v>
      </c>
      <c r="Y64" s="145">
        <v>0</v>
      </c>
      <c r="Z64" s="145">
        <v>0</v>
      </c>
      <c r="AA64" s="142">
        <f t="shared" si="1"/>
        <v>0</v>
      </c>
      <c r="AB64" s="141"/>
      <c r="AC64" s="67"/>
      <c r="AD64" s="67"/>
      <c r="AE64" s="24"/>
      <c r="AF64" s="24"/>
      <c r="AG64" s="24"/>
    </row>
    <row r="65" spans="1:33" ht="61.5">
      <c r="A65" s="153">
        <v>62</v>
      </c>
      <c r="B65" s="140" t="s">
        <v>521</v>
      </c>
      <c r="C65" s="140"/>
      <c r="D65" s="28"/>
      <c r="E65" s="59"/>
      <c r="F65" s="59"/>
      <c r="G65" s="90"/>
      <c r="H65" s="90"/>
      <c r="I65" s="93"/>
      <c r="J65" s="96"/>
      <c r="K65" s="96"/>
      <c r="L65" s="69"/>
      <c r="M65" s="69"/>
      <c r="N65" s="39">
        <v>0</v>
      </c>
      <c r="O65" s="141"/>
      <c r="P65" s="141"/>
      <c r="Q65" s="141"/>
      <c r="R65" s="141"/>
      <c r="S65" s="141"/>
      <c r="T65" s="29">
        <v>0</v>
      </c>
      <c r="U65" s="145">
        <v>0</v>
      </c>
      <c r="V65" s="145">
        <v>0</v>
      </c>
      <c r="W65" s="145">
        <v>0</v>
      </c>
      <c r="X65" s="145">
        <v>0</v>
      </c>
      <c r="Y65" s="145">
        <v>0</v>
      </c>
      <c r="Z65" s="145">
        <v>0</v>
      </c>
      <c r="AA65" s="142">
        <f t="shared" si="1"/>
        <v>0</v>
      </c>
      <c r="AB65" s="141"/>
      <c r="AC65" s="67"/>
      <c r="AD65" s="67"/>
      <c r="AE65" s="24"/>
      <c r="AF65" s="24"/>
      <c r="AG65" s="24"/>
    </row>
    <row r="66" spans="1:33" ht="61.5">
      <c r="A66" s="153">
        <v>63</v>
      </c>
      <c r="B66" s="140"/>
      <c r="C66" s="140"/>
      <c r="D66" s="28"/>
      <c r="E66" s="59"/>
      <c r="F66" s="59"/>
      <c r="G66" s="90"/>
      <c r="H66" s="90"/>
      <c r="I66" s="93"/>
      <c r="J66" s="96"/>
      <c r="K66" s="96"/>
      <c r="L66" s="69"/>
      <c r="M66" s="69"/>
      <c r="N66" s="39">
        <v>0</v>
      </c>
      <c r="O66" s="141"/>
      <c r="P66" s="141"/>
      <c r="Q66" s="141"/>
      <c r="R66" s="141"/>
      <c r="S66" s="141"/>
      <c r="T66" s="29">
        <v>0</v>
      </c>
      <c r="U66" s="145">
        <v>0</v>
      </c>
      <c r="V66" s="145">
        <v>0</v>
      </c>
      <c r="W66" s="145">
        <v>0</v>
      </c>
      <c r="X66" s="145">
        <v>0</v>
      </c>
      <c r="Y66" s="145">
        <v>0</v>
      </c>
      <c r="Z66" s="145">
        <v>0</v>
      </c>
      <c r="AA66" s="142">
        <f t="shared" si="1"/>
        <v>0</v>
      </c>
      <c r="AB66" s="141"/>
      <c r="AC66" s="67"/>
      <c r="AD66" s="67"/>
      <c r="AE66" s="24"/>
      <c r="AF66" s="24"/>
      <c r="AG66" s="24"/>
    </row>
    <row r="67" spans="1:33" ht="61.5">
      <c r="A67" s="153">
        <v>64</v>
      </c>
      <c r="B67" s="140"/>
      <c r="C67" s="140"/>
      <c r="D67" s="28"/>
      <c r="E67" s="59"/>
      <c r="F67" s="59"/>
      <c r="G67" s="90"/>
      <c r="H67" s="90"/>
      <c r="I67" s="93"/>
      <c r="J67" s="96"/>
      <c r="K67" s="96"/>
      <c r="L67" s="69"/>
      <c r="M67" s="69"/>
      <c r="N67" s="39">
        <v>0</v>
      </c>
      <c r="O67" s="141"/>
      <c r="P67" s="141"/>
      <c r="Q67" s="141"/>
      <c r="R67" s="141"/>
      <c r="S67" s="141"/>
      <c r="T67" s="29">
        <v>0</v>
      </c>
      <c r="U67" s="145">
        <v>0</v>
      </c>
      <c r="V67" s="145">
        <v>0</v>
      </c>
      <c r="W67" s="145">
        <v>0</v>
      </c>
      <c r="X67" s="145">
        <v>0</v>
      </c>
      <c r="Y67" s="145">
        <v>0</v>
      </c>
      <c r="Z67" s="145">
        <v>0</v>
      </c>
      <c r="AA67" s="142">
        <f t="shared" si="1"/>
        <v>0</v>
      </c>
      <c r="AB67" s="141"/>
      <c r="AC67" s="67"/>
      <c r="AD67" s="67"/>
      <c r="AE67" s="24"/>
      <c r="AF67" s="24"/>
      <c r="AG67" s="24"/>
    </row>
    <row r="68" spans="1:33" ht="61.5">
      <c r="A68" s="153">
        <v>65</v>
      </c>
      <c r="B68" s="140"/>
      <c r="C68" s="140"/>
      <c r="D68" s="28"/>
      <c r="E68" s="59"/>
      <c r="F68" s="59"/>
      <c r="G68" s="90"/>
      <c r="H68" s="90"/>
      <c r="I68" s="93"/>
      <c r="J68" s="95"/>
      <c r="K68" s="95"/>
      <c r="L68" s="69"/>
      <c r="M68" s="69"/>
      <c r="N68" s="39">
        <v>0</v>
      </c>
      <c r="O68" s="141"/>
      <c r="P68" s="35"/>
      <c r="Q68" s="35"/>
      <c r="R68" s="65"/>
      <c r="S68" s="141"/>
      <c r="T68" s="29">
        <v>0</v>
      </c>
      <c r="U68" s="145">
        <v>0</v>
      </c>
      <c r="V68" s="145">
        <v>0</v>
      </c>
      <c r="W68" s="145">
        <v>0</v>
      </c>
      <c r="X68" s="145">
        <v>0</v>
      </c>
      <c r="Y68" s="145">
        <v>0</v>
      </c>
      <c r="Z68" s="145">
        <v>0</v>
      </c>
      <c r="AA68" s="142">
        <f t="shared" ref="AA68:AA99" si="2">AVERAGE(T68:Z68)</f>
        <v>0</v>
      </c>
      <c r="AB68" s="141"/>
      <c r="AC68" s="67"/>
      <c r="AD68" s="67"/>
      <c r="AE68" s="24"/>
      <c r="AF68" s="24"/>
      <c r="AG68" s="24"/>
    </row>
    <row r="69" spans="1:33" ht="61.5">
      <c r="A69" s="153">
        <v>66</v>
      </c>
      <c r="B69" s="140"/>
      <c r="C69" s="140"/>
      <c r="D69" s="28"/>
      <c r="E69" s="59"/>
      <c r="F69" s="59"/>
      <c r="G69" s="90"/>
      <c r="H69" s="90"/>
      <c r="I69" s="93"/>
      <c r="J69" s="93"/>
      <c r="K69" s="93"/>
      <c r="L69" s="69"/>
      <c r="M69" s="69"/>
      <c r="N69" s="39">
        <v>0</v>
      </c>
      <c r="O69" s="141"/>
      <c r="P69" s="141"/>
      <c r="Q69" s="141"/>
      <c r="R69" s="141"/>
      <c r="S69" s="141"/>
      <c r="T69" s="29">
        <v>0</v>
      </c>
      <c r="U69" s="145">
        <v>0</v>
      </c>
      <c r="V69" s="145">
        <v>0</v>
      </c>
      <c r="W69" s="145">
        <v>0</v>
      </c>
      <c r="X69" s="145">
        <v>0</v>
      </c>
      <c r="Y69" s="145">
        <v>0</v>
      </c>
      <c r="Z69" s="145">
        <v>0</v>
      </c>
      <c r="AA69" s="142">
        <f t="shared" si="2"/>
        <v>0</v>
      </c>
      <c r="AB69" s="141"/>
      <c r="AC69" s="67"/>
      <c r="AD69" s="67"/>
      <c r="AE69" s="24"/>
      <c r="AF69" s="24"/>
      <c r="AG69" s="24"/>
    </row>
    <row r="70" spans="1:33" ht="61.5">
      <c r="A70" s="153">
        <v>67</v>
      </c>
      <c r="B70" s="140"/>
      <c r="C70" s="140"/>
      <c r="D70" s="28"/>
      <c r="E70" s="59"/>
      <c r="F70" s="59"/>
      <c r="G70" s="90"/>
      <c r="H70" s="90"/>
      <c r="I70" s="93"/>
      <c r="J70" s="93"/>
      <c r="K70" s="93"/>
      <c r="L70" s="69"/>
      <c r="M70" s="69"/>
      <c r="N70" s="39">
        <v>0</v>
      </c>
      <c r="O70" s="141"/>
      <c r="P70" s="141"/>
      <c r="Q70" s="141"/>
      <c r="R70" s="141"/>
      <c r="S70" s="141"/>
      <c r="T70" s="29">
        <v>0</v>
      </c>
      <c r="U70" s="145">
        <v>0</v>
      </c>
      <c r="V70" s="145">
        <v>0</v>
      </c>
      <c r="W70" s="145">
        <v>0</v>
      </c>
      <c r="X70" s="145">
        <v>0</v>
      </c>
      <c r="Y70" s="145">
        <v>0</v>
      </c>
      <c r="Z70" s="145">
        <v>0</v>
      </c>
      <c r="AA70" s="142">
        <f t="shared" si="2"/>
        <v>0</v>
      </c>
      <c r="AB70" s="141"/>
      <c r="AC70" s="67"/>
      <c r="AD70" s="67"/>
      <c r="AE70" s="24"/>
      <c r="AF70" s="24"/>
      <c r="AG70" s="24"/>
    </row>
    <row r="71" spans="1:33" ht="61.5">
      <c r="A71" s="153">
        <v>68</v>
      </c>
      <c r="B71" s="140"/>
      <c r="C71" s="140"/>
      <c r="D71" s="28"/>
      <c r="E71" s="59"/>
      <c r="F71" s="59"/>
      <c r="G71" s="90"/>
      <c r="H71" s="90"/>
      <c r="I71" s="93"/>
      <c r="J71" s="93"/>
      <c r="K71" s="93"/>
      <c r="L71" s="69"/>
      <c r="M71" s="69"/>
      <c r="N71" s="39">
        <v>0</v>
      </c>
      <c r="O71" s="141"/>
      <c r="P71" s="141"/>
      <c r="Q71" s="141"/>
      <c r="R71" s="141"/>
      <c r="S71" s="141"/>
      <c r="T71" s="29">
        <v>0</v>
      </c>
      <c r="U71" s="145">
        <v>0</v>
      </c>
      <c r="V71" s="145">
        <v>0</v>
      </c>
      <c r="W71" s="145">
        <v>0</v>
      </c>
      <c r="X71" s="145">
        <v>0</v>
      </c>
      <c r="Y71" s="145">
        <v>0</v>
      </c>
      <c r="Z71" s="145">
        <v>0</v>
      </c>
      <c r="AA71" s="142">
        <f t="shared" si="2"/>
        <v>0</v>
      </c>
      <c r="AB71" s="141"/>
      <c r="AC71" s="67"/>
      <c r="AD71" s="67"/>
      <c r="AE71" s="24"/>
      <c r="AF71" s="24"/>
      <c r="AG71" s="24"/>
    </row>
    <row r="72" spans="1:33" ht="61.5">
      <c r="A72" s="153">
        <v>69</v>
      </c>
      <c r="B72" s="140"/>
      <c r="C72" s="140"/>
      <c r="D72" s="28"/>
      <c r="E72" s="59"/>
      <c r="F72" s="59"/>
      <c r="G72" s="90"/>
      <c r="H72" s="90"/>
      <c r="I72" s="93"/>
      <c r="J72" s="93"/>
      <c r="K72" s="93"/>
      <c r="L72" s="69"/>
      <c r="M72" s="69"/>
      <c r="N72" s="39">
        <v>0</v>
      </c>
      <c r="O72" s="141"/>
      <c r="P72" s="141"/>
      <c r="Q72" s="141"/>
      <c r="R72" s="141"/>
      <c r="S72" s="141"/>
      <c r="T72" s="29">
        <v>0</v>
      </c>
      <c r="U72" s="145">
        <v>0</v>
      </c>
      <c r="V72" s="145">
        <v>0</v>
      </c>
      <c r="W72" s="145">
        <v>0</v>
      </c>
      <c r="X72" s="145">
        <v>0</v>
      </c>
      <c r="Y72" s="145">
        <v>0</v>
      </c>
      <c r="Z72" s="145">
        <v>0</v>
      </c>
      <c r="AA72" s="142">
        <f t="shared" si="2"/>
        <v>0</v>
      </c>
      <c r="AB72" s="141"/>
      <c r="AC72" s="67"/>
      <c r="AD72" s="67"/>
      <c r="AE72" s="24"/>
      <c r="AF72" s="24"/>
      <c r="AG72" s="24"/>
    </row>
    <row r="73" spans="1:33" ht="61.5">
      <c r="A73" s="153">
        <v>70</v>
      </c>
      <c r="B73" s="140"/>
      <c r="C73" s="140"/>
      <c r="D73" s="28"/>
      <c r="E73" s="59"/>
      <c r="F73" s="59"/>
      <c r="G73" s="90"/>
      <c r="H73" s="90"/>
      <c r="I73" s="93"/>
      <c r="J73" s="93"/>
      <c r="K73" s="93"/>
      <c r="L73" s="69"/>
      <c r="M73" s="69"/>
      <c r="N73" s="39">
        <v>0</v>
      </c>
      <c r="O73" s="141"/>
      <c r="P73" s="141"/>
      <c r="Q73" s="141"/>
      <c r="R73" s="141"/>
      <c r="S73" s="141"/>
      <c r="T73" s="29">
        <v>0</v>
      </c>
      <c r="U73" s="145">
        <v>0</v>
      </c>
      <c r="V73" s="145">
        <v>0</v>
      </c>
      <c r="W73" s="145">
        <v>0</v>
      </c>
      <c r="X73" s="145">
        <v>0</v>
      </c>
      <c r="Y73" s="145">
        <v>0</v>
      </c>
      <c r="Z73" s="145">
        <v>0</v>
      </c>
      <c r="AA73" s="142">
        <f t="shared" si="2"/>
        <v>0</v>
      </c>
      <c r="AB73" s="141"/>
      <c r="AC73" s="67"/>
      <c r="AD73" s="67"/>
      <c r="AE73" s="24"/>
      <c r="AF73" s="24"/>
      <c r="AG73" s="24"/>
    </row>
    <row r="74" spans="1:33" ht="61.5">
      <c r="A74" s="153">
        <v>71</v>
      </c>
      <c r="B74" s="140"/>
      <c r="C74" s="140"/>
      <c r="D74" s="28"/>
      <c r="E74" s="59"/>
      <c r="F74" s="59"/>
      <c r="G74" s="90"/>
      <c r="H74" s="90"/>
      <c r="I74" s="93"/>
      <c r="J74" s="93"/>
      <c r="K74" s="93"/>
      <c r="L74" s="69"/>
      <c r="M74" s="69"/>
      <c r="N74" s="39">
        <v>0</v>
      </c>
      <c r="O74" s="21"/>
      <c r="P74" s="21"/>
      <c r="Q74" s="141"/>
      <c r="R74" s="21"/>
      <c r="S74" s="141"/>
      <c r="T74" s="29">
        <v>0</v>
      </c>
      <c r="U74" s="145">
        <v>0</v>
      </c>
      <c r="V74" s="145">
        <v>0</v>
      </c>
      <c r="W74" s="145">
        <v>0</v>
      </c>
      <c r="X74" s="145">
        <v>0</v>
      </c>
      <c r="Y74" s="145">
        <v>0</v>
      </c>
      <c r="Z74" s="145">
        <v>0</v>
      </c>
      <c r="AA74" s="142">
        <f t="shared" si="2"/>
        <v>0</v>
      </c>
      <c r="AB74" s="141"/>
      <c r="AC74" s="67"/>
      <c r="AD74" s="67"/>
      <c r="AE74" s="24"/>
      <c r="AF74" s="24"/>
      <c r="AG74" s="24"/>
    </row>
    <row r="75" spans="1:33" ht="61.5">
      <c r="A75" s="153">
        <v>72</v>
      </c>
      <c r="B75" s="140"/>
      <c r="C75" s="140"/>
      <c r="D75" s="28"/>
      <c r="E75" s="59"/>
      <c r="F75" s="59"/>
      <c r="G75" s="90"/>
      <c r="H75" s="90"/>
      <c r="I75" s="93"/>
      <c r="J75" s="93"/>
      <c r="K75" s="93"/>
      <c r="L75" s="69"/>
      <c r="M75" s="69"/>
      <c r="N75" s="39">
        <v>0</v>
      </c>
      <c r="O75" s="53"/>
      <c r="P75" s="53"/>
      <c r="Q75" s="141"/>
      <c r="R75" s="141"/>
      <c r="S75" s="141"/>
      <c r="T75" s="29">
        <v>0</v>
      </c>
      <c r="U75" s="145">
        <v>0</v>
      </c>
      <c r="V75" s="145">
        <v>0</v>
      </c>
      <c r="W75" s="145">
        <v>0</v>
      </c>
      <c r="X75" s="145">
        <v>0</v>
      </c>
      <c r="Y75" s="145">
        <v>0</v>
      </c>
      <c r="Z75" s="145">
        <v>0</v>
      </c>
      <c r="AA75" s="142">
        <f t="shared" si="2"/>
        <v>0</v>
      </c>
      <c r="AB75" s="141"/>
      <c r="AC75" s="67"/>
      <c r="AD75" s="67"/>
      <c r="AE75" s="24"/>
      <c r="AF75" s="24"/>
      <c r="AG75" s="24"/>
    </row>
    <row r="76" spans="1:33" ht="61.5">
      <c r="A76" s="153">
        <v>73</v>
      </c>
      <c r="B76" s="140"/>
      <c r="C76" s="140"/>
      <c r="D76" s="28"/>
      <c r="E76" s="59"/>
      <c r="F76" s="59"/>
      <c r="G76" s="90"/>
      <c r="H76" s="90"/>
      <c r="I76" s="93"/>
      <c r="J76" s="93"/>
      <c r="K76" s="93"/>
      <c r="L76" s="69"/>
      <c r="M76" s="69"/>
      <c r="N76" s="39">
        <v>0</v>
      </c>
      <c r="O76" s="141"/>
      <c r="P76" s="141"/>
      <c r="Q76" s="141"/>
      <c r="R76" s="141"/>
      <c r="S76" s="141"/>
      <c r="T76" s="29">
        <v>0</v>
      </c>
      <c r="U76" s="145">
        <v>0</v>
      </c>
      <c r="V76" s="145">
        <v>0</v>
      </c>
      <c r="W76" s="145">
        <v>0</v>
      </c>
      <c r="X76" s="145">
        <v>0</v>
      </c>
      <c r="Y76" s="145">
        <v>0</v>
      </c>
      <c r="Z76" s="145">
        <v>0</v>
      </c>
      <c r="AA76" s="142">
        <f t="shared" si="2"/>
        <v>0</v>
      </c>
      <c r="AB76" s="141"/>
      <c r="AC76" s="67"/>
      <c r="AD76" s="67"/>
      <c r="AE76" s="24"/>
      <c r="AF76" s="24"/>
      <c r="AG76" s="24"/>
    </row>
    <row r="77" spans="1:33" ht="61.5">
      <c r="A77" s="153">
        <v>74</v>
      </c>
      <c r="B77" s="140"/>
      <c r="C77" s="140"/>
      <c r="D77" s="28"/>
      <c r="E77" s="59"/>
      <c r="F77" s="59"/>
      <c r="G77" s="90"/>
      <c r="H77" s="90"/>
      <c r="I77" s="93"/>
      <c r="J77" s="93"/>
      <c r="K77" s="93"/>
      <c r="L77" s="69"/>
      <c r="M77" s="69"/>
      <c r="N77" s="39">
        <v>0</v>
      </c>
      <c r="O77" s="141"/>
      <c r="P77" s="141"/>
      <c r="Q77" s="141"/>
      <c r="R77" s="141"/>
      <c r="S77" s="141"/>
      <c r="T77" s="29">
        <v>0</v>
      </c>
      <c r="U77" s="145">
        <v>0</v>
      </c>
      <c r="V77" s="145">
        <v>0</v>
      </c>
      <c r="W77" s="145">
        <v>0</v>
      </c>
      <c r="X77" s="145">
        <v>0</v>
      </c>
      <c r="Y77" s="145">
        <v>0</v>
      </c>
      <c r="Z77" s="145">
        <v>0</v>
      </c>
      <c r="AA77" s="142">
        <f t="shared" si="2"/>
        <v>0</v>
      </c>
      <c r="AB77" s="141"/>
      <c r="AC77" s="67"/>
      <c r="AD77" s="67"/>
      <c r="AE77" s="24"/>
      <c r="AF77" s="24"/>
      <c r="AG77" s="24"/>
    </row>
    <row r="78" spans="1:33" ht="61.5">
      <c r="A78" s="153">
        <v>75</v>
      </c>
      <c r="B78" s="140"/>
      <c r="C78" s="140"/>
      <c r="D78" s="28"/>
      <c r="E78" s="59"/>
      <c r="F78" s="59"/>
      <c r="G78" s="90"/>
      <c r="H78" s="90"/>
      <c r="I78" s="93"/>
      <c r="J78" s="96"/>
      <c r="K78" s="96"/>
      <c r="L78" s="69"/>
      <c r="M78" s="69"/>
      <c r="N78" s="39">
        <v>0</v>
      </c>
      <c r="O78" s="141"/>
      <c r="P78" s="141"/>
      <c r="Q78" s="141"/>
      <c r="R78" s="141"/>
      <c r="S78" s="141"/>
      <c r="T78" s="29">
        <v>0</v>
      </c>
      <c r="U78" s="145">
        <v>0</v>
      </c>
      <c r="V78" s="145">
        <v>0</v>
      </c>
      <c r="W78" s="145">
        <v>0</v>
      </c>
      <c r="X78" s="145">
        <v>0</v>
      </c>
      <c r="Y78" s="145">
        <v>0</v>
      </c>
      <c r="Z78" s="145">
        <v>0</v>
      </c>
      <c r="AA78" s="142">
        <f t="shared" si="2"/>
        <v>0</v>
      </c>
      <c r="AB78" s="141"/>
      <c r="AC78" s="67"/>
      <c r="AD78" s="67"/>
      <c r="AE78" s="24"/>
      <c r="AF78" s="24"/>
      <c r="AG78" s="24"/>
    </row>
    <row r="79" spans="1:33" ht="61.5">
      <c r="A79" s="153">
        <v>76</v>
      </c>
      <c r="B79" s="140"/>
      <c r="C79" s="140"/>
      <c r="D79" s="28"/>
      <c r="E79" s="59"/>
      <c r="F79" s="59"/>
      <c r="G79" s="90"/>
      <c r="H79" s="90"/>
      <c r="I79" s="93"/>
      <c r="J79" s="93"/>
      <c r="K79" s="93"/>
      <c r="L79" s="69"/>
      <c r="M79" s="69"/>
      <c r="N79" s="39">
        <v>0</v>
      </c>
      <c r="O79" s="141"/>
      <c r="P79" s="141"/>
      <c r="Q79" s="141"/>
      <c r="R79" s="21"/>
      <c r="S79" s="141"/>
      <c r="T79" s="29">
        <v>0</v>
      </c>
      <c r="U79" s="145">
        <v>0</v>
      </c>
      <c r="V79" s="145">
        <v>0</v>
      </c>
      <c r="W79" s="145">
        <v>0</v>
      </c>
      <c r="X79" s="145">
        <v>0</v>
      </c>
      <c r="Y79" s="145">
        <v>0</v>
      </c>
      <c r="Z79" s="145">
        <v>0</v>
      </c>
      <c r="AA79" s="142">
        <f t="shared" si="2"/>
        <v>0</v>
      </c>
      <c r="AB79" s="141"/>
      <c r="AC79" s="67"/>
      <c r="AD79" s="67"/>
      <c r="AE79" s="24"/>
      <c r="AF79" s="24"/>
      <c r="AG79" s="24"/>
    </row>
    <row r="80" spans="1:33" ht="61.5">
      <c r="A80" s="153">
        <v>77</v>
      </c>
      <c r="B80" s="140"/>
      <c r="C80" s="140"/>
      <c r="D80" s="28"/>
      <c r="E80" s="59"/>
      <c r="F80" s="59"/>
      <c r="G80" s="90"/>
      <c r="H80" s="90"/>
      <c r="I80" s="93"/>
      <c r="J80" s="93"/>
      <c r="K80" s="93"/>
      <c r="L80" s="69"/>
      <c r="M80" s="69"/>
      <c r="N80" s="39">
        <v>0</v>
      </c>
      <c r="O80" s="21"/>
      <c r="P80" s="21"/>
      <c r="Q80" s="141"/>
      <c r="R80" s="21"/>
      <c r="S80" s="141"/>
      <c r="T80" s="29">
        <v>0</v>
      </c>
      <c r="U80" s="145">
        <v>0</v>
      </c>
      <c r="V80" s="145">
        <v>0</v>
      </c>
      <c r="W80" s="145">
        <v>0</v>
      </c>
      <c r="X80" s="145">
        <v>0</v>
      </c>
      <c r="Y80" s="145">
        <v>0</v>
      </c>
      <c r="Z80" s="145">
        <v>0</v>
      </c>
      <c r="AA80" s="142">
        <f t="shared" si="2"/>
        <v>0</v>
      </c>
      <c r="AB80" s="141"/>
      <c r="AC80" s="67"/>
      <c r="AD80" s="67"/>
      <c r="AE80" s="24"/>
      <c r="AF80" s="24"/>
      <c r="AG80" s="24"/>
    </row>
    <row r="81" spans="1:33" ht="61.5">
      <c r="A81" s="153">
        <v>78</v>
      </c>
      <c r="B81" s="140"/>
      <c r="C81" s="140"/>
      <c r="D81" s="140"/>
      <c r="E81" s="59"/>
      <c r="F81" s="59"/>
      <c r="G81" s="90"/>
      <c r="H81" s="90"/>
      <c r="I81" s="93"/>
      <c r="J81" s="93"/>
      <c r="K81" s="93"/>
      <c r="L81" s="69"/>
      <c r="M81" s="69"/>
      <c r="N81" s="39">
        <v>0</v>
      </c>
      <c r="O81" s="21"/>
      <c r="P81" s="21"/>
      <c r="Q81" s="141"/>
      <c r="R81" s="21"/>
      <c r="S81" s="141"/>
      <c r="T81" s="29">
        <v>0</v>
      </c>
      <c r="U81" s="145">
        <v>0</v>
      </c>
      <c r="V81" s="145">
        <v>0</v>
      </c>
      <c r="W81" s="145">
        <v>0</v>
      </c>
      <c r="X81" s="145">
        <v>0</v>
      </c>
      <c r="Y81" s="145">
        <v>0</v>
      </c>
      <c r="Z81" s="145">
        <v>0</v>
      </c>
      <c r="AA81" s="142">
        <f t="shared" si="2"/>
        <v>0</v>
      </c>
      <c r="AB81" s="141"/>
      <c r="AC81" s="67"/>
      <c r="AD81" s="67"/>
      <c r="AE81" s="24"/>
      <c r="AF81" s="24"/>
      <c r="AG81" s="24"/>
    </row>
    <row r="82" spans="1:33" ht="61.5">
      <c r="A82" s="153">
        <v>79</v>
      </c>
      <c r="B82" s="140"/>
      <c r="C82" s="140"/>
      <c r="D82" s="28"/>
      <c r="E82" s="59"/>
      <c r="F82" s="59"/>
      <c r="G82" s="90"/>
      <c r="H82" s="90"/>
      <c r="I82" s="93"/>
      <c r="J82" s="93"/>
      <c r="K82" s="93"/>
      <c r="L82" s="69"/>
      <c r="M82" s="69"/>
      <c r="N82" s="39">
        <v>0</v>
      </c>
      <c r="O82" s="21"/>
      <c r="P82" s="21"/>
      <c r="Q82" s="141"/>
      <c r="R82" s="21"/>
      <c r="S82" s="141"/>
      <c r="T82" s="29">
        <v>0</v>
      </c>
      <c r="U82" s="145">
        <v>0</v>
      </c>
      <c r="V82" s="145">
        <v>0</v>
      </c>
      <c r="W82" s="145">
        <v>0</v>
      </c>
      <c r="X82" s="145">
        <v>0</v>
      </c>
      <c r="Y82" s="145">
        <v>0</v>
      </c>
      <c r="Z82" s="145">
        <v>0</v>
      </c>
      <c r="AA82" s="142">
        <f t="shared" si="2"/>
        <v>0</v>
      </c>
      <c r="AB82" s="141"/>
      <c r="AC82" s="67"/>
      <c r="AD82" s="67"/>
      <c r="AE82" s="24"/>
      <c r="AF82" s="24"/>
      <c r="AG82" s="24"/>
    </row>
    <row r="83" spans="1:33" ht="61.5">
      <c r="A83" s="153">
        <v>80</v>
      </c>
      <c r="B83" s="140"/>
      <c r="C83" s="140"/>
      <c r="D83" s="28"/>
      <c r="E83" s="59"/>
      <c r="F83" s="59"/>
      <c r="G83" s="90"/>
      <c r="H83" s="90"/>
      <c r="I83" s="93"/>
      <c r="J83" s="93"/>
      <c r="K83" s="93"/>
      <c r="L83" s="69"/>
      <c r="M83" s="69"/>
      <c r="N83" s="39">
        <v>0</v>
      </c>
      <c r="O83" s="21"/>
      <c r="P83" s="21"/>
      <c r="Q83" s="141"/>
      <c r="R83" s="21"/>
      <c r="S83" s="141"/>
      <c r="T83" s="29">
        <v>0</v>
      </c>
      <c r="U83" s="145">
        <v>0</v>
      </c>
      <c r="V83" s="145">
        <v>0</v>
      </c>
      <c r="W83" s="145">
        <v>0</v>
      </c>
      <c r="X83" s="145">
        <v>0</v>
      </c>
      <c r="Y83" s="145">
        <v>0</v>
      </c>
      <c r="Z83" s="145">
        <v>0</v>
      </c>
      <c r="AA83" s="142">
        <f t="shared" si="2"/>
        <v>0</v>
      </c>
      <c r="AB83" s="141"/>
      <c r="AC83" s="67"/>
      <c r="AD83" s="67"/>
      <c r="AE83" s="24"/>
      <c r="AF83" s="24"/>
      <c r="AG83" s="24"/>
    </row>
    <row r="84" spans="1:33" ht="61.5">
      <c r="A84" s="153">
        <v>81</v>
      </c>
      <c r="B84" s="140"/>
      <c r="C84" s="140"/>
      <c r="D84" s="28"/>
      <c r="E84" s="59"/>
      <c r="F84" s="59"/>
      <c r="G84" s="90"/>
      <c r="H84" s="90"/>
      <c r="I84" s="93"/>
      <c r="J84" s="93"/>
      <c r="K84" s="93"/>
      <c r="L84" s="69"/>
      <c r="M84" s="69"/>
      <c r="N84" s="39">
        <v>0</v>
      </c>
      <c r="O84" s="21"/>
      <c r="P84" s="21"/>
      <c r="Q84" s="141"/>
      <c r="R84" s="21"/>
      <c r="S84" s="141"/>
      <c r="T84" s="29">
        <v>0</v>
      </c>
      <c r="U84" s="145">
        <v>0</v>
      </c>
      <c r="V84" s="145">
        <v>0</v>
      </c>
      <c r="W84" s="145">
        <v>0</v>
      </c>
      <c r="X84" s="145">
        <v>0</v>
      </c>
      <c r="Y84" s="145">
        <v>0</v>
      </c>
      <c r="Z84" s="145">
        <v>0</v>
      </c>
      <c r="AA84" s="142">
        <f t="shared" si="2"/>
        <v>0</v>
      </c>
      <c r="AB84" s="141"/>
      <c r="AC84" s="67"/>
      <c r="AD84" s="67"/>
      <c r="AE84" s="24"/>
      <c r="AF84" s="24"/>
      <c r="AG84" s="24"/>
    </row>
    <row r="85" spans="1:33" ht="61.5">
      <c r="A85" s="153">
        <v>82</v>
      </c>
      <c r="B85" s="140"/>
      <c r="C85" s="140"/>
      <c r="D85" s="28"/>
      <c r="E85" s="59"/>
      <c r="F85" s="59"/>
      <c r="G85" s="90"/>
      <c r="H85" s="90"/>
      <c r="I85" s="93"/>
      <c r="J85" s="93"/>
      <c r="K85" s="93"/>
      <c r="L85" s="69"/>
      <c r="M85" s="69"/>
      <c r="N85" s="39">
        <v>0</v>
      </c>
      <c r="O85" s="21"/>
      <c r="P85" s="21"/>
      <c r="Q85" s="141"/>
      <c r="R85" s="21"/>
      <c r="S85" s="141"/>
      <c r="T85" s="29">
        <v>0</v>
      </c>
      <c r="U85" s="145">
        <v>0</v>
      </c>
      <c r="V85" s="145">
        <v>0</v>
      </c>
      <c r="W85" s="145">
        <v>0</v>
      </c>
      <c r="X85" s="145">
        <v>0</v>
      </c>
      <c r="Y85" s="145">
        <v>0</v>
      </c>
      <c r="Z85" s="145">
        <v>0</v>
      </c>
      <c r="AA85" s="142">
        <f t="shared" si="2"/>
        <v>0</v>
      </c>
      <c r="AB85" s="141"/>
      <c r="AC85" s="67"/>
      <c r="AD85" s="67"/>
      <c r="AE85" s="24"/>
      <c r="AF85" s="24"/>
      <c r="AG85" s="24"/>
    </row>
    <row r="86" spans="1:33" ht="61.5">
      <c r="A86" s="153">
        <v>83</v>
      </c>
      <c r="B86" s="140"/>
      <c r="C86" s="140"/>
      <c r="D86" s="28"/>
      <c r="E86" s="59"/>
      <c r="F86" s="59"/>
      <c r="G86" s="90"/>
      <c r="H86" s="90"/>
      <c r="I86" s="93"/>
      <c r="J86" s="93"/>
      <c r="K86" s="93"/>
      <c r="L86" s="69"/>
      <c r="M86" s="69"/>
      <c r="N86" s="39">
        <v>0</v>
      </c>
      <c r="O86" s="21"/>
      <c r="P86" s="21"/>
      <c r="Q86" s="141"/>
      <c r="R86" s="21"/>
      <c r="S86" s="141"/>
      <c r="T86" s="29">
        <v>0</v>
      </c>
      <c r="U86" s="145">
        <v>0</v>
      </c>
      <c r="V86" s="145">
        <v>0</v>
      </c>
      <c r="W86" s="145">
        <v>0</v>
      </c>
      <c r="X86" s="145">
        <v>0</v>
      </c>
      <c r="Y86" s="145">
        <v>0</v>
      </c>
      <c r="Z86" s="145">
        <v>0</v>
      </c>
      <c r="AA86" s="142">
        <f t="shared" si="2"/>
        <v>0</v>
      </c>
      <c r="AB86" s="141"/>
      <c r="AC86" s="67"/>
      <c r="AD86" s="67"/>
      <c r="AE86" s="24"/>
      <c r="AF86" s="24"/>
      <c r="AG86" s="24"/>
    </row>
    <row r="87" spans="1:33" ht="61.5">
      <c r="A87" s="153">
        <v>84</v>
      </c>
      <c r="B87" s="140"/>
      <c r="C87" s="140"/>
      <c r="D87" s="28"/>
      <c r="E87" s="59"/>
      <c r="F87" s="59"/>
      <c r="G87" s="90"/>
      <c r="H87" s="90"/>
      <c r="I87" s="93"/>
      <c r="J87" s="93"/>
      <c r="K87" s="93"/>
      <c r="L87" s="69"/>
      <c r="M87" s="69"/>
      <c r="N87" s="39">
        <v>0</v>
      </c>
      <c r="O87" s="21"/>
      <c r="P87" s="21"/>
      <c r="Q87" s="141"/>
      <c r="R87" s="21"/>
      <c r="S87" s="141"/>
      <c r="T87" s="29">
        <v>0</v>
      </c>
      <c r="U87" s="145">
        <v>0</v>
      </c>
      <c r="V87" s="145">
        <v>0</v>
      </c>
      <c r="W87" s="145">
        <v>0</v>
      </c>
      <c r="X87" s="145">
        <v>0</v>
      </c>
      <c r="Y87" s="145">
        <v>0</v>
      </c>
      <c r="Z87" s="145">
        <v>0</v>
      </c>
      <c r="AA87" s="142">
        <f t="shared" si="2"/>
        <v>0</v>
      </c>
      <c r="AB87" s="141"/>
      <c r="AC87" s="67"/>
      <c r="AD87" s="67"/>
      <c r="AE87" s="24"/>
      <c r="AF87" s="24"/>
      <c r="AG87" s="24"/>
    </row>
    <row r="88" spans="1:33" ht="61.5">
      <c r="A88" s="153">
        <v>85</v>
      </c>
      <c r="B88" s="140"/>
      <c r="C88" s="140"/>
      <c r="D88" s="28"/>
      <c r="E88" s="59"/>
      <c r="F88" s="59"/>
      <c r="G88" s="90"/>
      <c r="H88" s="90"/>
      <c r="I88" s="93"/>
      <c r="J88" s="93"/>
      <c r="K88" s="93"/>
      <c r="L88" s="69"/>
      <c r="M88" s="69"/>
      <c r="N88" s="39">
        <v>0</v>
      </c>
      <c r="O88" s="21"/>
      <c r="P88" s="21"/>
      <c r="Q88" s="141"/>
      <c r="R88" s="21"/>
      <c r="S88" s="141"/>
      <c r="T88" s="29">
        <v>0</v>
      </c>
      <c r="U88" s="145">
        <v>0</v>
      </c>
      <c r="V88" s="145">
        <v>0</v>
      </c>
      <c r="W88" s="145">
        <v>0</v>
      </c>
      <c r="X88" s="145">
        <v>0</v>
      </c>
      <c r="Y88" s="145">
        <v>0</v>
      </c>
      <c r="Z88" s="145">
        <v>0</v>
      </c>
      <c r="AA88" s="142">
        <f t="shared" si="2"/>
        <v>0</v>
      </c>
      <c r="AB88" s="141"/>
      <c r="AC88" s="67"/>
      <c r="AD88" s="67"/>
      <c r="AE88" s="24"/>
      <c r="AF88" s="24"/>
      <c r="AG88" s="24"/>
    </row>
    <row r="89" spans="1:33" ht="61.5">
      <c r="A89" s="153">
        <v>86</v>
      </c>
      <c r="B89" s="140"/>
      <c r="C89" s="140"/>
      <c r="D89" s="28"/>
      <c r="E89" s="59"/>
      <c r="F89" s="59"/>
      <c r="G89" s="90"/>
      <c r="H89" s="90"/>
      <c r="I89" s="93"/>
      <c r="J89" s="93"/>
      <c r="K89" s="93"/>
      <c r="L89" s="69"/>
      <c r="M89" s="69"/>
      <c r="N89" s="39">
        <v>0</v>
      </c>
      <c r="O89" s="21"/>
      <c r="P89" s="21"/>
      <c r="Q89" s="141"/>
      <c r="R89" s="21"/>
      <c r="S89" s="141"/>
      <c r="T89" s="29">
        <v>0</v>
      </c>
      <c r="U89" s="145">
        <v>0</v>
      </c>
      <c r="V89" s="145">
        <v>0</v>
      </c>
      <c r="W89" s="145">
        <v>0</v>
      </c>
      <c r="X89" s="145">
        <v>0</v>
      </c>
      <c r="Y89" s="145">
        <v>0</v>
      </c>
      <c r="Z89" s="145">
        <v>0</v>
      </c>
      <c r="AA89" s="142">
        <f t="shared" si="2"/>
        <v>0</v>
      </c>
      <c r="AB89" s="141"/>
      <c r="AC89" s="67"/>
      <c r="AD89" s="67"/>
      <c r="AE89" s="24"/>
      <c r="AF89" s="24"/>
      <c r="AG89" s="24"/>
    </row>
    <row r="90" spans="1:33" ht="61.5">
      <c r="A90" s="153">
        <v>87</v>
      </c>
      <c r="B90" s="140"/>
      <c r="C90" s="140"/>
      <c r="D90" s="28"/>
      <c r="E90" s="59"/>
      <c r="F90" s="59"/>
      <c r="G90" s="90"/>
      <c r="H90" s="90"/>
      <c r="I90" s="93"/>
      <c r="J90" s="93"/>
      <c r="K90" s="93"/>
      <c r="L90" s="69"/>
      <c r="M90" s="69"/>
      <c r="N90" s="39">
        <v>0</v>
      </c>
      <c r="O90" s="21"/>
      <c r="P90" s="21"/>
      <c r="Q90" s="141"/>
      <c r="R90" s="21"/>
      <c r="S90" s="141"/>
      <c r="T90" s="29">
        <v>0</v>
      </c>
      <c r="U90" s="145">
        <v>0</v>
      </c>
      <c r="V90" s="145">
        <v>0</v>
      </c>
      <c r="W90" s="145">
        <v>0</v>
      </c>
      <c r="X90" s="145">
        <v>0</v>
      </c>
      <c r="Y90" s="145">
        <v>0</v>
      </c>
      <c r="Z90" s="145">
        <v>0</v>
      </c>
      <c r="AA90" s="142">
        <f t="shared" si="2"/>
        <v>0</v>
      </c>
      <c r="AB90" s="141"/>
      <c r="AC90" s="67"/>
      <c r="AD90" s="67"/>
      <c r="AE90" s="24"/>
      <c r="AF90" s="24"/>
      <c r="AG90" s="24"/>
    </row>
    <row r="91" spans="1:33" ht="61.5">
      <c r="A91" s="153">
        <v>88</v>
      </c>
      <c r="B91" s="140"/>
      <c r="C91" s="140"/>
      <c r="D91" s="28"/>
      <c r="E91" s="59"/>
      <c r="F91" s="59"/>
      <c r="G91" s="90"/>
      <c r="H91" s="90"/>
      <c r="I91" s="93"/>
      <c r="J91" s="93"/>
      <c r="K91" s="93"/>
      <c r="L91" s="69"/>
      <c r="M91" s="69"/>
      <c r="N91" s="39">
        <v>0</v>
      </c>
      <c r="O91" s="21"/>
      <c r="P91" s="21"/>
      <c r="Q91" s="141"/>
      <c r="R91" s="21"/>
      <c r="S91" s="141"/>
      <c r="T91" s="29">
        <v>0</v>
      </c>
      <c r="U91" s="145">
        <v>0</v>
      </c>
      <c r="V91" s="145">
        <v>0</v>
      </c>
      <c r="W91" s="145">
        <v>0</v>
      </c>
      <c r="X91" s="145">
        <v>0</v>
      </c>
      <c r="Y91" s="145">
        <v>0</v>
      </c>
      <c r="Z91" s="145">
        <v>0</v>
      </c>
      <c r="AA91" s="142">
        <f t="shared" si="2"/>
        <v>0</v>
      </c>
      <c r="AB91" s="141"/>
      <c r="AC91" s="67"/>
      <c r="AD91" s="67"/>
      <c r="AE91" s="24"/>
      <c r="AF91" s="24"/>
      <c r="AG91" s="24"/>
    </row>
    <row r="92" spans="1:33" ht="61.5">
      <c r="A92" s="153">
        <v>89</v>
      </c>
      <c r="B92" s="140"/>
      <c r="C92" s="140"/>
      <c r="D92" s="28"/>
      <c r="E92" s="59"/>
      <c r="F92" s="59"/>
      <c r="G92" s="90"/>
      <c r="H92" s="90"/>
      <c r="I92" s="93"/>
      <c r="J92" s="93"/>
      <c r="K92" s="93"/>
      <c r="L92" s="69"/>
      <c r="M92" s="69"/>
      <c r="N92" s="39">
        <v>0</v>
      </c>
      <c r="O92" s="21"/>
      <c r="P92" s="21"/>
      <c r="Q92" s="141"/>
      <c r="R92" s="21"/>
      <c r="S92" s="141"/>
      <c r="T92" s="29">
        <v>0</v>
      </c>
      <c r="U92" s="145">
        <v>0</v>
      </c>
      <c r="V92" s="145">
        <v>0</v>
      </c>
      <c r="W92" s="145">
        <v>0</v>
      </c>
      <c r="X92" s="145">
        <v>0</v>
      </c>
      <c r="Y92" s="145">
        <v>0</v>
      </c>
      <c r="Z92" s="145">
        <v>0</v>
      </c>
      <c r="AA92" s="142">
        <f t="shared" si="2"/>
        <v>0</v>
      </c>
      <c r="AB92" s="141"/>
      <c r="AC92" s="67"/>
      <c r="AD92" s="67"/>
      <c r="AE92" s="24"/>
      <c r="AF92" s="24"/>
      <c r="AG92" s="24"/>
    </row>
    <row r="93" spans="1:33" ht="61.5">
      <c r="A93" s="153">
        <v>90</v>
      </c>
      <c r="B93" s="140"/>
      <c r="C93" s="140"/>
      <c r="D93" s="28"/>
      <c r="E93" s="59"/>
      <c r="F93" s="59"/>
      <c r="G93" s="90"/>
      <c r="H93" s="90"/>
      <c r="I93" s="93"/>
      <c r="J93" s="93"/>
      <c r="K93" s="93"/>
      <c r="L93" s="69"/>
      <c r="M93" s="69"/>
      <c r="N93" s="39">
        <v>0</v>
      </c>
      <c r="O93" s="21"/>
      <c r="P93" s="21"/>
      <c r="Q93" s="141"/>
      <c r="R93" s="21"/>
      <c r="S93" s="141"/>
      <c r="T93" s="29">
        <v>0</v>
      </c>
      <c r="U93" s="145">
        <v>0</v>
      </c>
      <c r="V93" s="145">
        <v>0</v>
      </c>
      <c r="W93" s="145">
        <v>0</v>
      </c>
      <c r="X93" s="145">
        <v>0</v>
      </c>
      <c r="Y93" s="145">
        <v>0</v>
      </c>
      <c r="Z93" s="145">
        <v>0</v>
      </c>
      <c r="AA93" s="142">
        <f t="shared" si="2"/>
        <v>0</v>
      </c>
      <c r="AB93" s="141"/>
      <c r="AC93" s="67"/>
      <c r="AD93" s="67"/>
      <c r="AE93" s="24"/>
      <c r="AF93" s="24"/>
      <c r="AG93" s="24"/>
    </row>
    <row r="94" spans="1:33" ht="61.5">
      <c r="A94" s="153">
        <v>91</v>
      </c>
      <c r="B94" s="140"/>
      <c r="C94" s="140"/>
      <c r="D94" s="28"/>
      <c r="E94" s="59"/>
      <c r="F94" s="59"/>
      <c r="G94" s="90"/>
      <c r="H94" s="90"/>
      <c r="I94" s="93"/>
      <c r="J94" s="93"/>
      <c r="K94" s="93"/>
      <c r="L94" s="69"/>
      <c r="M94" s="69"/>
      <c r="N94" s="39">
        <v>0</v>
      </c>
      <c r="O94" s="21"/>
      <c r="P94" s="21"/>
      <c r="Q94" s="141"/>
      <c r="R94" s="21"/>
      <c r="S94" s="141"/>
      <c r="T94" s="29">
        <v>0</v>
      </c>
      <c r="U94" s="145">
        <v>0</v>
      </c>
      <c r="V94" s="145">
        <v>0</v>
      </c>
      <c r="W94" s="145">
        <v>0</v>
      </c>
      <c r="X94" s="145">
        <v>0</v>
      </c>
      <c r="Y94" s="145">
        <v>0</v>
      </c>
      <c r="Z94" s="145">
        <v>0</v>
      </c>
      <c r="AA94" s="142">
        <f t="shared" si="2"/>
        <v>0</v>
      </c>
      <c r="AB94" s="141"/>
      <c r="AC94" s="67"/>
      <c r="AD94" s="67"/>
      <c r="AE94" s="24"/>
      <c r="AF94" s="24"/>
      <c r="AG94" s="24"/>
    </row>
    <row r="95" spans="1:33" ht="61.5">
      <c r="A95" s="153">
        <v>92</v>
      </c>
      <c r="B95" s="140"/>
      <c r="C95" s="140"/>
      <c r="D95" s="28"/>
      <c r="E95" s="59"/>
      <c r="F95" s="59"/>
      <c r="G95" s="90"/>
      <c r="H95" s="90"/>
      <c r="I95" s="93"/>
      <c r="J95" s="93"/>
      <c r="K95" s="93"/>
      <c r="L95" s="69"/>
      <c r="M95" s="69"/>
      <c r="N95" s="39">
        <v>0</v>
      </c>
      <c r="O95" s="21"/>
      <c r="P95" s="21"/>
      <c r="Q95" s="141"/>
      <c r="R95" s="21"/>
      <c r="S95" s="141"/>
      <c r="T95" s="29">
        <v>0</v>
      </c>
      <c r="U95" s="145">
        <v>0</v>
      </c>
      <c r="V95" s="145">
        <v>0</v>
      </c>
      <c r="W95" s="145">
        <v>0</v>
      </c>
      <c r="X95" s="145">
        <v>0</v>
      </c>
      <c r="Y95" s="145">
        <v>0</v>
      </c>
      <c r="Z95" s="145">
        <v>0</v>
      </c>
      <c r="AA95" s="142">
        <f t="shared" si="2"/>
        <v>0</v>
      </c>
      <c r="AB95" s="141"/>
      <c r="AC95" s="67"/>
      <c r="AD95" s="67"/>
      <c r="AE95" s="24"/>
      <c r="AF95" s="24"/>
      <c r="AG95" s="24"/>
    </row>
    <row r="96" spans="1:33" ht="61.5">
      <c r="A96" s="153">
        <v>93</v>
      </c>
      <c r="B96" s="140"/>
      <c r="C96" s="140"/>
      <c r="D96" s="28"/>
      <c r="E96" s="59"/>
      <c r="F96" s="59"/>
      <c r="G96" s="90"/>
      <c r="H96" s="90"/>
      <c r="I96" s="93"/>
      <c r="J96" s="93"/>
      <c r="K96" s="93"/>
      <c r="L96" s="69"/>
      <c r="M96" s="69"/>
      <c r="N96" s="39">
        <v>0</v>
      </c>
      <c r="O96" s="21"/>
      <c r="P96" s="21"/>
      <c r="Q96" s="141"/>
      <c r="R96" s="21"/>
      <c r="S96" s="141"/>
      <c r="T96" s="29">
        <v>0</v>
      </c>
      <c r="U96" s="145">
        <v>0</v>
      </c>
      <c r="V96" s="145">
        <v>0</v>
      </c>
      <c r="W96" s="145">
        <v>0</v>
      </c>
      <c r="X96" s="145">
        <v>0</v>
      </c>
      <c r="Y96" s="145">
        <v>0</v>
      </c>
      <c r="Z96" s="145">
        <v>0</v>
      </c>
      <c r="AA96" s="142">
        <f t="shared" si="2"/>
        <v>0</v>
      </c>
      <c r="AB96" s="141"/>
      <c r="AC96" s="67"/>
      <c r="AD96" s="67"/>
      <c r="AE96" s="24"/>
      <c r="AF96" s="24"/>
      <c r="AG96" s="24"/>
    </row>
    <row r="97" spans="1:33" ht="61.5">
      <c r="A97" s="153">
        <v>94</v>
      </c>
      <c r="B97" s="140"/>
      <c r="C97" s="140"/>
      <c r="D97" s="28"/>
      <c r="E97" s="59"/>
      <c r="F97" s="59"/>
      <c r="G97" s="90"/>
      <c r="H97" s="90"/>
      <c r="I97" s="93"/>
      <c r="J97" s="93"/>
      <c r="K97" s="93"/>
      <c r="L97" s="69"/>
      <c r="M97" s="69"/>
      <c r="N97" s="39">
        <v>0</v>
      </c>
      <c r="O97" s="21"/>
      <c r="P97" s="21"/>
      <c r="Q97" s="141"/>
      <c r="R97" s="21"/>
      <c r="S97" s="141"/>
      <c r="T97" s="29">
        <v>0</v>
      </c>
      <c r="U97" s="145">
        <v>0</v>
      </c>
      <c r="V97" s="145">
        <v>0</v>
      </c>
      <c r="W97" s="145">
        <v>0</v>
      </c>
      <c r="X97" s="145">
        <v>0</v>
      </c>
      <c r="Y97" s="145">
        <v>0</v>
      </c>
      <c r="Z97" s="145">
        <v>0</v>
      </c>
      <c r="AA97" s="142">
        <f t="shared" si="2"/>
        <v>0</v>
      </c>
      <c r="AB97" s="141"/>
      <c r="AC97" s="67"/>
      <c r="AD97" s="67"/>
      <c r="AE97" s="24"/>
      <c r="AF97" s="24"/>
      <c r="AG97" s="24"/>
    </row>
    <row r="98" spans="1:33" ht="61.5">
      <c r="A98" s="153">
        <v>95</v>
      </c>
      <c r="B98" s="140"/>
      <c r="C98" s="140"/>
      <c r="D98" s="28"/>
      <c r="E98" s="59"/>
      <c r="F98" s="59"/>
      <c r="G98" s="90"/>
      <c r="H98" s="90"/>
      <c r="I98" s="93"/>
      <c r="J98" s="93"/>
      <c r="K98" s="93"/>
      <c r="L98" s="69"/>
      <c r="M98" s="69"/>
      <c r="N98" s="39">
        <v>0</v>
      </c>
      <c r="O98" s="21"/>
      <c r="P98" s="21"/>
      <c r="Q98" s="141"/>
      <c r="R98" s="21"/>
      <c r="S98" s="141"/>
      <c r="T98" s="29">
        <v>0</v>
      </c>
      <c r="U98" s="145">
        <v>0</v>
      </c>
      <c r="V98" s="145">
        <v>0</v>
      </c>
      <c r="W98" s="145">
        <v>0</v>
      </c>
      <c r="X98" s="145">
        <v>0</v>
      </c>
      <c r="Y98" s="145">
        <v>0</v>
      </c>
      <c r="Z98" s="145">
        <v>0</v>
      </c>
      <c r="AA98" s="142">
        <f t="shared" si="2"/>
        <v>0</v>
      </c>
      <c r="AB98" s="141"/>
      <c r="AC98" s="67"/>
      <c r="AD98" s="67"/>
      <c r="AE98" s="24"/>
      <c r="AF98" s="24"/>
      <c r="AG98" s="24"/>
    </row>
    <row r="99" spans="1:33" ht="61.5">
      <c r="A99" s="153">
        <v>96</v>
      </c>
      <c r="B99" s="140"/>
      <c r="C99" s="140"/>
      <c r="D99" s="28"/>
      <c r="E99" s="59"/>
      <c r="F99" s="59"/>
      <c r="G99" s="90"/>
      <c r="H99" s="90"/>
      <c r="I99" s="93"/>
      <c r="J99" s="93"/>
      <c r="K99" s="93"/>
      <c r="L99" s="69"/>
      <c r="M99" s="69"/>
      <c r="N99" s="39">
        <v>0</v>
      </c>
      <c r="O99" s="21"/>
      <c r="P99" s="21"/>
      <c r="Q99" s="141"/>
      <c r="R99" s="21"/>
      <c r="S99" s="141"/>
      <c r="T99" s="29">
        <v>0</v>
      </c>
      <c r="U99" s="145">
        <v>0</v>
      </c>
      <c r="V99" s="145">
        <v>0</v>
      </c>
      <c r="W99" s="145">
        <v>0</v>
      </c>
      <c r="X99" s="145">
        <v>0</v>
      </c>
      <c r="Y99" s="145">
        <v>0</v>
      </c>
      <c r="Z99" s="145">
        <v>0</v>
      </c>
      <c r="AA99" s="142">
        <f t="shared" si="2"/>
        <v>0</v>
      </c>
      <c r="AB99" s="141"/>
      <c r="AC99" s="67"/>
      <c r="AD99" s="67"/>
      <c r="AE99" s="24"/>
      <c r="AF99" s="24"/>
      <c r="AG99" s="24"/>
    </row>
    <row r="100" spans="1:33" ht="61.5">
      <c r="A100" s="153">
        <v>97</v>
      </c>
      <c r="B100" s="140"/>
      <c r="C100" s="140"/>
      <c r="D100" s="28"/>
      <c r="E100" s="59"/>
      <c r="F100" s="59"/>
      <c r="G100" s="90"/>
      <c r="H100" s="90"/>
      <c r="I100" s="93"/>
      <c r="J100" s="93"/>
      <c r="K100" s="93"/>
      <c r="L100" s="69"/>
      <c r="M100" s="69"/>
      <c r="N100" s="39">
        <v>0</v>
      </c>
      <c r="O100" s="21"/>
      <c r="P100" s="21"/>
      <c r="Q100" s="141"/>
      <c r="R100" s="21"/>
      <c r="S100" s="141"/>
      <c r="T100" s="29">
        <v>0</v>
      </c>
      <c r="U100" s="145">
        <v>0</v>
      </c>
      <c r="V100" s="145">
        <v>0</v>
      </c>
      <c r="W100" s="145">
        <v>0</v>
      </c>
      <c r="X100" s="145">
        <v>0</v>
      </c>
      <c r="Y100" s="145">
        <v>0</v>
      </c>
      <c r="Z100" s="145">
        <v>0</v>
      </c>
      <c r="AA100" s="142">
        <f t="shared" ref="AA100:AA131" si="3">AVERAGE(T100:Z100)</f>
        <v>0</v>
      </c>
      <c r="AB100" s="141"/>
      <c r="AC100" s="67"/>
      <c r="AD100" s="67"/>
      <c r="AE100" s="24"/>
      <c r="AF100" s="24"/>
      <c r="AG100" s="24"/>
    </row>
    <row r="101" spans="1:33" ht="61.5">
      <c r="A101" s="153">
        <v>98</v>
      </c>
      <c r="B101" s="140"/>
      <c r="C101" s="140"/>
      <c r="D101" s="28"/>
      <c r="E101" s="59"/>
      <c r="F101" s="59"/>
      <c r="G101" s="90"/>
      <c r="H101" s="90"/>
      <c r="I101" s="93"/>
      <c r="J101" s="93"/>
      <c r="K101" s="93"/>
      <c r="L101" s="69"/>
      <c r="M101" s="69"/>
      <c r="N101" s="39">
        <v>0</v>
      </c>
      <c r="O101" s="21"/>
      <c r="P101" s="21"/>
      <c r="Q101" s="141"/>
      <c r="R101" s="21"/>
      <c r="S101" s="141"/>
      <c r="T101" s="29">
        <v>0</v>
      </c>
      <c r="U101" s="145">
        <v>0</v>
      </c>
      <c r="V101" s="145">
        <v>0</v>
      </c>
      <c r="W101" s="145">
        <v>0</v>
      </c>
      <c r="X101" s="145">
        <v>0</v>
      </c>
      <c r="Y101" s="145">
        <v>0</v>
      </c>
      <c r="Z101" s="145">
        <v>0</v>
      </c>
      <c r="AA101" s="142">
        <f t="shared" si="3"/>
        <v>0</v>
      </c>
      <c r="AB101" s="141"/>
      <c r="AC101" s="67"/>
      <c r="AD101" s="67"/>
      <c r="AE101" s="24"/>
      <c r="AF101" s="24"/>
      <c r="AG101" s="24"/>
    </row>
    <row r="102" spans="1:33" ht="61.5">
      <c r="A102" s="153">
        <v>99</v>
      </c>
      <c r="B102" s="140"/>
      <c r="C102" s="140"/>
      <c r="D102" s="28"/>
      <c r="E102" s="59"/>
      <c r="F102" s="59"/>
      <c r="G102" s="90"/>
      <c r="H102" s="90"/>
      <c r="I102" s="93"/>
      <c r="J102" s="93"/>
      <c r="K102" s="93"/>
      <c r="L102" s="69"/>
      <c r="M102" s="69"/>
      <c r="N102" s="39">
        <v>0</v>
      </c>
      <c r="O102" s="21"/>
      <c r="P102" s="21"/>
      <c r="Q102" s="141"/>
      <c r="R102" s="21"/>
      <c r="S102" s="141"/>
      <c r="T102" s="29">
        <v>0</v>
      </c>
      <c r="U102" s="145">
        <v>0</v>
      </c>
      <c r="V102" s="145">
        <v>0</v>
      </c>
      <c r="W102" s="145">
        <v>0</v>
      </c>
      <c r="X102" s="145">
        <v>0</v>
      </c>
      <c r="Y102" s="145">
        <v>0</v>
      </c>
      <c r="Z102" s="145">
        <v>0</v>
      </c>
      <c r="AA102" s="142">
        <f t="shared" si="3"/>
        <v>0</v>
      </c>
      <c r="AB102" s="141"/>
      <c r="AC102" s="67"/>
      <c r="AD102" s="67"/>
      <c r="AE102" s="24"/>
      <c r="AF102" s="24"/>
      <c r="AG102" s="24"/>
    </row>
    <row r="103" spans="1:33" ht="61.5">
      <c r="A103" s="153">
        <v>100</v>
      </c>
      <c r="B103" s="140"/>
      <c r="C103" s="140"/>
      <c r="D103" s="28"/>
      <c r="E103" s="59"/>
      <c r="F103" s="59"/>
      <c r="G103" s="90"/>
      <c r="H103" s="90"/>
      <c r="I103" s="93"/>
      <c r="J103" s="93"/>
      <c r="K103" s="93"/>
      <c r="L103" s="69"/>
      <c r="M103" s="69"/>
      <c r="N103" s="39">
        <v>0</v>
      </c>
      <c r="O103" s="21"/>
      <c r="P103" s="21"/>
      <c r="Q103" s="141"/>
      <c r="R103" s="21"/>
      <c r="S103" s="141"/>
      <c r="T103" s="29">
        <v>0</v>
      </c>
      <c r="U103" s="145">
        <v>0</v>
      </c>
      <c r="V103" s="145">
        <v>0</v>
      </c>
      <c r="W103" s="145">
        <v>0</v>
      </c>
      <c r="X103" s="145">
        <v>0</v>
      </c>
      <c r="Y103" s="145">
        <v>0</v>
      </c>
      <c r="Z103" s="145">
        <v>0</v>
      </c>
      <c r="AA103" s="142">
        <f t="shared" si="3"/>
        <v>0</v>
      </c>
      <c r="AB103" s="141"/>
      <c r="AC103" s="67"/>
      <c r="AD103" s="67"/>
      <c r="AE103" s="24"/>
      <c r="AF103" s="24"/>
      <c r="AG103" s="24"/>
    </row>
    <row r="104" spans="1:33" ht="61.5">
      <c r="A104" s="153">
        <v>101</v>
      </c>
      <c r="B104" s="140"/>
      <c r="C104" s="140"/>
      <c r="D104" s="28"/>
      <c r="E104" s="59"/>
      <c r="F104" s="59"/>
      <c r="G104" s="90"/>
      <c r="H104" s="90"/>
      <c r="I104" s="93"/>
      <c r="J104" s="93"/>
      <c r="K104" s="93"/>
      <c r="L104" s="69"/>
      <c r="M104" s="69"/>
      <c r="N104" s="39">
        <v>0</v>
      </c>
      <c r="O104" s="21"/>
      <c r="P104" s="21"/>
      <c r="Q104" s="141"/>
      <c r="R104" s="21"/>
      <c r="S104" s="141"/>
      <c r="T104" s="29">
        <v>0</v>
      </c>
      <c r="U104" s="145">
        <v>0</v>
      </c>
      <c r="V104" s="145">
        <v>0</v>
      </c>
      <c r="W104" s="145">
        <v>0</v>
      </c>
      <c r="X104" s="145">
        <v>0</v>
      </c>
      <c r="Y104" s="145">
        <v>0</v>
      </c>
      <c r="Z104" s="145">
        <v>0</v>
      </c>
      <c r="AA104" s="142">
        <f t="shared" si="3"/>
        <v>0</v>
      </c>
      <c r="AB104" s="141"/>
      <c r="AC104" s="67"/>
      <c r="AD104" s="67"/>
      <c r="AE104" s="24"/>
      <c r="AF104" s="24"/>
      <c r="AG104" s="24"/>
    </row>
    <row r="105" spans="1:33" ht="61.5">
      <c r="A105" s="153">
        <v>102</v>
      </c>
      <c r="B105" s="140"/>
      <c r="C105" s="140"/>
      <c r="D105" s="28"/>
      <c r="E105" s="59"/>
      <c r="F105" s="59"/>
      <c r="G105" s="90"/>
      <c r="H105" s="90"/>
      <c r="I105" s="93"/>
      <c r="J105" s="93"/>
      <c r="K105" s="93"/>
      <c r="L105" s="69"/>
      <c r="M105" s="69"/>
      <c r="N105" s="39">
        <v>0</v>
      </c>
      <c r="O105" s="21"/>
      <c r="P105" s="21"/>
      <c r="Q105" s="141"/>
      <c r="R105" s="21"/>
      <c r="S105" s="141"/>
      <c r="T105" s="29">
        <v>0</v>
      </c>
      <c r="U105" s="145">
        <v>0</v>
      </c>
      <c r="V105" s="145">
        <v>0</v>
      </c>
      <c r="W105" s="145">
        <v>0</v>
      </c>
      <c r="X105" s="145">
        <v>0</v>
      </c>
      <c r="Y105" s="145">
        <v>0</v>
      </c>
      <c r="Z105" s="145">
        <v>0</v>
      </c>
      <c r="AA105" s="142">
        <f t="shared" si="3"/>
        <v>0</v>
      </c>
      <c r="AB105" s="141"/>
      <c r="AC105" s="67"/>
      <c r="AD105" s="67"/>
      <c r="AE105" s="24"/>
      <c r="AF105" s="24"/>
      <c r="AG105" s="24"/>
    </row>
    <row r="106" spans="1:33" ht="61.5">
      <c r="A106" s="153">
        <v>103</v>
      </c>
      <c r="B106" s="140"/>
      <c r="C106" s="140"/>
      <c r="D106" s="28"/>
      <c r="E106" s="59"/>
      <c r="F106" s="59"/>
      <c r="G106" s="90"/>
      <c r="H106" s="90"/>
      <c r="I106" s="93"/>
      <c r="J106" s="93"/>
      <c r="K106" s="93"/>
      <c r="L106" s="69"/>
      <c r="M106" s="69"/>
      <c r="N106" s="39">
        <v>0</v>
      </c>
      <c r="O106" s="21"/>
      <c r="P106" s="21"/>
      <c r="Q106" s="141"/>
      <c r="R106" s="21"/>
      <c r="S106" s="141"/>
      <c r="T106" s="29">
        <v>0</v>
      </c>
      <c r="U106" s="145">
        <v>0</v>
      </c>
      <c r="V106" s="145">
        <v>0</v>
      </c>
      <c r="W106" s="145">
        <v>0</v>
      </c>
      <c r="X106" s="145">
        <v>0</v>
      </c>
      <c r="Y106" s="145">
        <v>0</v>
      </c>
      <c r="Z106" s="145">
        <v>0</v>
      </c>
      <c r="AA106" s="142">
        <f t="shared" si="3"/>
        <v>0</v>
      </c>
      <c r="AB106" s="141"/>
      <c r="AC106" s="67"/>
      <c r="AD106" s="67"/>
      <c r="AE106" s="24"/>
      <c r="AF106" s="24"/>
      <c r="AG106" s="24"/>
    </row>
    <row r="107" spans="1:33" ht="61.5">
      <c r="A107" s="153">
        <v>104</v>
      </c>
      <c r="B107" s="140"/>
      <c r="C107" s="140"/>
      <c r="D107" s="28"/>
      <c r="E107" s="59"/>
      <c r="F107" s="59"/>
      <c r="G107" s="90"/>
      <c r="H107" s="90"/>
      <c r="I107" s="93"/>
      <c r="J107" s="93"/>
      <c r="K107" s="93"/>
      <c r="L107" s="69"/>
      <c r="M107" s="69"/>
      <c r="N107" s="39">
        <v>0</v>
      </c>
      <c r="O107" s="21"/>
      <c r="P107" s="21"/>
      <c r="Q107" s="141"/>
      <c r="R107" s="21"/>
      <c r="S107" s="141"/>
      <c r="T107" s="29">
        <v>0</v>
      </c>
      <c r="U107" s="145">
        <v>0</v>
      </c>
      <c r="V107" s="145">
        <v>0</v>
      </c>
      <c r="W107" s="145">
        <v>0</v>
      </c>
      <c r="X107" s="145">
        <v>0</v>
      </c>
      <c r="Y107" s="145">
        <v>0</v>
      </c>
      <c r="Z107" s="145">
        <v>0</v>
      </c>
      <c r="AA107" s="142">
        <f t="shared" si="3"/>
        <v>0</v>
      </c>
      <c r="AB107" s="141"/>
      <c r="AC107" s="67"/>
      <c r="AD107" s="67"/>
      <c r="AE107" s="24"/>
      <c r="AF107" s="24"/>
      <c r="AG107" s="24"/>
    </row>
    <row r="108" spans="1:33" ht="61.5">
      <c r="A108" s="153">
        <v>105</v>
      </c>
      <c r="B108" s="140"/>
      <c r="C108" s="140"/>
      <c r="D108" s="28"/>
      <c r="E108" s="59"/>
      <c r="F108" s="59"/>
      <c r="G108" s="90"/>
      <c r="H108" s="90"/>
      <c r="I108" s="93"/>
      <c r="J108" s="93"/>
      <c r="K108" s="93"/>
      <c r="L108" s="69"/>
      <c r="M108" s="69"/>
      <c r="N108" s="39">
        <v>3</v>
      </c>
      <c r="O108" s="21"/>
      <c r="P108" s="21"/>
      <c r="Q108" s="141"/>
      <c r="R108" s="21"/>
      <c r="S108" s="141"/>
      <c r="T108" s="29">
        <v>0</v>
      </c>
      <c r="U108" s="145">
        <v>0</v>
      </c>
      <c r="V108" s="145">
        <v>0</v>
      </c>
      <c r="W108" s="145">
        <v>0</v>
      </c>
      <c r="X108" s="145">
        <v>0</v>
      </c>
      <c r="Y108" s="145">
        <v>0</v>
      </c>
      <c r="Z108" s="145">
        <v>0</v>
      </c>
      <c r="AA108" s="142">
        <f t="shared" si="3"/>
        <v>0</v>
      </c>
      <c r="AB108" s="141"/>
      <c r="AC108" s="67"/>
      <c r="AD108" s="67"/>
      <c r="AE108" s="24"/>
      <c r="AF108" s="24"/>
      <c r="AG108" s="24"/>
    </row>
    <row r="109" spans="1:33" ht="61.5">
      <c r="A109" s="153">
        <v>106</v>
      </c>
      <c r="B109" s="140"/>
      <c r="C109" s="140"/>
      <c r="D109" s="28"/>
      <c r="E109" s="59"/>
      <c r="F109" s="59"/>
      <c r="G109" s="90"/>
      <c r="H109" s="90"/>
      <c r="I109" s="93"/>
      <c r="J109" s="93"/>
      <c r="K109" s="93"/>
      <c r="L109" s="69"/>
      <c r="M109" s="69"/>
      <c r="N109" s="39">
        <v>0</v>
      </c>
      <c r="O109" s="21"/>
      <c r="P109" s="21"/>
      <c r="Q109" s="141"/>
      <c r="R109" s="21"/>
      <c r="S109" s="141"/>
      <c r="T109" s="29">
        <v>0</v>
      </c>
      <c r="U109" s="145">
        <v>0</v>
      </c>
      <c r="V109" s="145">
        <v>0</v>
      </c>
      <c r="W109" s="145">
        <v>0</v>
      </c>
      <c r="X109" s="145">
        <v>0</v>
      </c>
      <c r="Y109" s="145">
        <v>0</v>
      </c>
      <c r="Z109" s="145">
        <v>0</v>
      </c>
      <c r="AA109" s="142">
        <f t="shared" si="3"/>
        <v>0</v>
      </c>
      <c r="AB109" s="141"/>
      <c r="AC109" s="67"/>
      <c r="AD109" s="67"/>
      <c r="AE109" s="24"/>
      <c r="AF109" s="24"/>
      <c r="AG109" s="24"/>
    </row>
    <row r="110" spans="1:33" ht="61.5">
      <c r="A110" s="153">
        <v>107</v>
      </c>
      <c r="B110" s="140"/>
      <c r="C110" s="140"/>
      <c r="D110" s="28"/>
      <c r="E110" s="59"/>
      <c r="F110" s="59"/>
      <c r="G110" s="90"/>
      <c r="H110" s="90"/>
      <c r="I110" s="93"/>
      <c r="J110" s="93"/>
      <c r="K110" s="93"/>
      <c r="L110" s="69"/>
      <c r="M110" s="69"/>
      <c r="N110" s="39">
        <v>0</v>
      </c>
      <c r="O110" s="21"/>
      <c r="P110" s="21"/>
      <c r="Q110" s="141"/>
      <c r="R110" s="21"/>
      <c r="S110" s="141"/>
      <c r="T110" s="29">
        <v>0</v>
      </c>
      <c r="U110" s="145">
        <v>0</v>
      </c>
      <c r="V110" s="145">
        <v>0</v>
      </c>
      <c r="W110" s="145">
        <v>0</v>
      </c>
      <c r="X110" s="145">
        <v>0</v>
      </c>
      <c r="Y110" s="145">
        <v>0</v>
      </c>
      <c r="Z110" s="145">
        <v>0</v>
      </c>
      <c r="AA110" s="142">
        <f t="shared" si="3"/>
        <v>0</v>
      </c>
      <c r="AB110" s="141"/>
      <c r="AC110" s="67"/>
      <c r="AD110" s="67"/>
      <c r="AE110" s="24"/>
      <c r="AF110" s="24"/>
      <c r="AG110" s="24"/>
    </row>
    <row r="111" spans="1:33" ht="61.5">
      <c r="A111" s="153">
        <v>108</v>
      </c>
      <c r="B111" s="140"/>
      <c r="C111" s="140"/>
      <c r="D111" s="28"/>
      <c r="E111" s="59"/>
      <c r="F111" s="59"/>
      <c r="G111" s="90"/>
      <c r="H111" s="90"/>
      <c r="I111" s="93"/>
      <c r="J111" s="93"/>
      <c r="K111" s="93"/>
      <c r="L111" s="69"/>
      <c r="M111" s="69"/>
      <c r="N111" s="39">
        <v>0</v>
      </c>
      <c r="O111" s="21"/>
      <c r="P111" s="21"/>
      <c r="Q111" s="141"/>
      <c r="R111" s="21"/>
      <c r="S111" s="141"/>
      <c r="T111" s="29">
        <v>0</v>
      </c>
      <c r="U111" s="145">
        <v>0</v>
      </c>
      <c r="V111" s="145">
        <v>0</v>
      </c>
      <c r="W111" s="145">
        <v>0</v>
      </c>
      <c r="X111" s="145">
        <v>0</v>
      </c>
      <c r="Y111" s="145">
        <v>0</v>
      </c>
      <c r="Z111" s="145">
        <v>0</v>
      </c>
      <c r="AA111" s="142">
        <f t="shared" si="3"/>
        <v>0</v>
      </c>
      <c r="AB111" s="141"/>
      <c r="AC111" s="67"/>
      <c r="AD111" s="67"/>
      <c r="AE111" s="24"/>
      <c r="AF111" s="24"/>
      <c r="AG111" s="24"/>
    </row>
    <row r="112" spans="1:33" ht="61.5">
      <c r="A112" s="153">
        <v>109</v>
      </c>
      <c r="B112" s="140"/>
      <c r="C112" s="140"/>
      <c r="D112" s="28"/>
      <c r="E112" s="59"/>
      <c r="F112" s="59"/>
      <c r="G112" s="90"/>
      <c r="H112" s="90"/>
      <c r="I112" s="93"/>
      <c r="J112" s="93"/>
      <c r="K112" s="93"/>
      <c r="L112" s="69"/>
      <c r="M112" s="69"/>
      <c r="N112" s="39">
        <v>0</v>
      </c>
      <c r="O112" s="21"/>
      <c r="P112" s="21"/>
      <c r="Q112" s="141"/>
      <c r="R112" s="21"/>
      <c r="S112" s="141"/>
      <c r="T112" s="29">
        <v>0</v>
      </c>
      <c r="U112" s="145">
        <v>0</v>
      </c>
      <c r="V112" s="145">
        <v>0</v>
      </c>
      <c r="W112" s="145">
        <v>0</v>
      </c>
      <c r="X112" s="145">
        <v>0</v>
      </c>
      <c r="Y112" s="145">
        <v>0</v>
      </c>
      <c r="Z112" s="145">
        <v>0</v>
      </c>
      <c r="AA112" s="142">
        <f t="shared" si="3"/>
        <v>0</v>
      </c>
      <c r="AB112" s="141"/>
      <c r="AC112" s="67"/>
      <c r="AD112" s="67"/>
      <c r="AE112" s="24"/>
      <c r="AF112" s="24"/>
      <c r="AG112" s="24"/>
    </row>
    <row r="113" spans="1:33" ht="61.5">
      <c r="A113" s="153">
        <v>110</v>
      </c>
      <c r="B113" s="140"/>
      <c r="C113" s="140"/>
      <c r="D113" s="28"/>
      <c r="E113" s="59"/>
      <c r="F113" s="59"/>
      <c r="G113" s="90"/>
      <c r="H113" s="90"/>
      <c r="I113" s="93"/>
      <c r="J113" s="93"/>
      <c r="K113" s="93"/>
      <c r="L113" s="69"/>
      <c r="M113" s="69"/>
      <c r="N113" s="39">
        <v>0</v>
      </c>
      <c r="O113" s="21"/>
      <c r="P113" s="21"/>
      <c r="Q113" s="141"/>
      <c r="R113" s="21"/>
      <c r="S113" s="141"/>
      <c r="T113" s="29">
        <v>0</v>
      </c>
      <c r="U113" s="145">
        <v>0</v>
      </c>
      <c r="V113" s="145">
        <v>0</v>
      </c>
      <c r="W113" s="145">
        <v>0</v>
      </c>
      <c r="X113" s="145">
        <v>0</v>
      </c>
      <c r="Y113" s="145">
        <v>0</v>
      </c>
      <c r="Z113" s="145">
        <v>0</v>
      </c>
      <c r="AA113" s="142">
        <f t="shared" si="3"/>
        <v>0</v>
      </c>
      <c r="AB113" s="141"/>
      <c r="AC113" s="67"/>
      <c r="AD113" s="67"/>
      <c r="AE113" s="24"/>
      <c r="AF113" s="24"/>
      <c r="AG113" s="24"/>
    </row>
    <row r="114" spans="1:33" ht="61.5">
      <c r="A114" s="153">
        <v>111</v>
      </c>
      <c r="B114" s="140"/>
      <c r="C114" s="140"/>
      <c r="D114" s="28"/>
      <c r="E114" s="59"/>
      <c r="F114" s="59"/>
      <c r="G114" s="90"/>
      <c r="H114" s="90"/>
      <c r="I114" s="93"/>
      <c r="J114" s="93"/>
      <c r="K114" s="93"/>
      <c r="L114" s="69"/>
      <c r="M114" s="69"/>
      <c r="N114" s="39">
        <v>0</v>
      </c>
      <c r="O114" s="21"/>
      <c r="P114" s="21"/>
      <c r="Q114" s="141"/>
      <c r="R114" s="21"/>
      <c r="S114" s="141"/>
      <c r="T114" s="29">
        <v>0</v>
      </c>
      <c r="U114" s="145">
        <v>0</v>
      </c>
      <c r="V114" s="145">
        <v>0</v>
      </c>
      <c r="W114" s="145">
        <v>0</v>
      </c>
      <c r="X114" s="145">
        <v>0</v>
      </c>
      <c r="Y114" s="145">
        <v>0</v>
      </c>
      <c r="Z114" s="145">
        <v>0</v>
      </c>
      <c r="AA114" s="142">
        <f t="shared" si="3"/>
        <v>0</v>
      </c>
      <c r="AB114" s="141"/>
      <c r="AC114" s="67"/>
      <c r="AD114" s="67"/>
      <c r="AE114" s="24"/>
      <c r="AF114" s="24"/>
      <c r="AG114" s="24"/>
    </row>
    <row r="115" spans="1:33" ht="61.5">
      <c r="A115" s="153">
        <v>112</v>
      </c>
      <c r="B115" s="140"/>
      <c r="C115" s="140"/>
      <c r="D115" s="28"/>
      <c r="E115" s="59"/>
      <c r="F115" s="59"/>
      <c r="G115" s="90"/>
      <c r="H115" s="90"/>
      <c r="I115" s="93"/>
      <c r="J115" s="93"/>
      <c r="K115" s="93"/>
      <c r="L115" s="69"/>
      <c r="M115" s="69"/>
      <c r="N115" s="39">
        <v>0</v>
      </c>
      <c r="O115" s="21"/>
      <c r="P115" s="21"/>
      <c r="Q115" s="141"/>
      <c r="R115" s="21"/>
      <c r="S115" s="141"/>
      <c r="T115" s="29">
        <v>0</v>
      </c>
      <c r="U115" s="145">
        <v>0</v>
      </c>
      <c r="V115" s="145">
        <v>0</v>
      </c>
      <c r="W115" s="145">
        <v>0</v>
      </c>
      <c r="X115" s="145">
        <v>0</v>
      </c>
      <c r="Y115" s="145">
        <v>0</v>
      </c>
      <c r="Z115" s="145">
        <v>0</v>
      </c>
      <c r="AA115" s="142">
        <f t="shared" si="3"/>
        <v>0</v>
      </c>
      <c r="AB115" s="141"/>
      <c r="AC115" s="67"/>
      <c r="AD115" s="67"/>
      <c r="AE115" s="24"/>
      <c r="AF115" s="24"/>
      <c r="AG115" s="24"/>
    </row>
    <row r="116" spans="1:33" ht="61.5">
      <c r="A116" s="153">
        <v>113</v>
      </c>
      <c r="B116" s="140"/>
      <c r="C116" s="140"/>
      <c r="D116" s="28"/>
      <c r="E116" s="59"/>
      <c r="F116" s="59"/>
      <c r="G116" s="90"/>
      <c r="H116" s="90"/>
      <c r="I116" s="93"/>
      <c r="J116" s="93"/>
      <c r="K116" s="93"/>
      <c r="L116" s="69"/>
      <c r="M116" s="69"/>
      <c r="N116" s="39">
        <v>0</v>
      </c>
      <c r="O116" s="21"/>
      <c r="P116" s="21"/>
      <c r="Q116" s="141"/>
      <c r="R116" s="21"/>
      <c r="S116" s="141"/>
      <c r="T116" s="29">
        <v>0</v>
      </c>
      <c r="U116" s="145">
        <v>0</v>
      </c>
      <c r="V116" s="145">
        <v>0</v>
      </c>
      <c r="W116" s="145">
        <v>0</v>
      </c>
      <c r="X116" s="145">
        <v>0</v>
      </c>
      <c r="Y116" s="145">
        <v>0</v>
      </c>
      <c r="Z116" s="145">
        <v>0</v>
      </c>
      <c r="AA116" s="142">
        <f t="shared" si="3"/>
        <v>0</v>
      </c>
      <c r="AB116" s="141"/>
      <c r="AC116" s="67"/>
      <c r="AD116" s="67"/>
      <c r="AE116" s="24"/>
      <c r="AF116" s="24"/>
      <c r="AG116" s="24"/>
    </row>
    <row r="117" spans="1:33" ht="61.5">
      <c r="A117" s="153">
        <v>114</v>
      </c>
      <c r="B117" s="140"/>
      <c r="C117" s="140"/>
      <c r="D117" s="28"/>
      <c r="E117" s="59"/>
      <c r="F117" s="59"/>
      <c r="G117" s="90"/>
      <c r="H117" s="90"/>
      <c r="I117" s="93"/>
      <c r="J117" s="93"/>
      <c r="K117" s="93"/>
      <c r="L117" s="69"/>
      <c r="M117" s="69"/>
      <c r="N117" s="39">
        <v>0</v>
      </c>
      <c r="O117" s="21"/>
      <c r="P117" s="21"/>
      <c r="Q117" s="141"/>
      <c r="R117" s="21"/>
      <c r="S117" s="141"/>
      <c r="T117" s="29">
        <v>0</v>
      </c>
      <c r="U117" s="145">
        <v>0</v>
      </c>
      <c r="V117" s="145">
        <v>0</v>
      </c>
      <c r="W117" s="145">
        <v>0</v>
      </c>
      <c r="X117" s="145">
        <v>0</v>
      </c>
      <c r="Y117" s="145">
        <v>0</v>
      </c>
      <c r="Z117" s="145">
        <v>0</v>
      </c>
      <c r="AA117" s="142">
        <f t="shared" si="3"/>
        <v>0</v>
      </c>
      <c r="AB117" s="141"/>
      <c r="AC117" s="67"/>
      <c r="AD117" s="67"/>
      <c r="AE117" s="24"/>
      <c r="AF117" s="24"/>
      <c r="AG117" s="24"/>
    </row>
    <row r="118" spans="1:33" ht="61.5">
      <c r="A118" s="153">
        <v>115</v>
      </c>
      <c r="B118" s="140"/>
      <c r="C118" s="140"/>
      <c r="D118" s="28"/>
      <c r="E118" s="59"/>
      <c r="F118" s="59"/>
      <c r="G118" s="90"/>
      <c r="H118" s="90"/>
      <c r="I118" s="93"/>
      <c r="J118" s="93"/>
      <c r="K118" s="93"/>
      <c r="L118" s="69"/>
      <c r="M118" s="69"/>
      <c r="N118" s="39">
        <v>0</v>
      </c>
      <c r="O118" s="21"/>
      <c r="P118" s="21"/>
      <c r="Q118" s="141"/>
      <c r="R118" s="21"/>
      <c r="S118" s="141"/>
      <c r="T118" s="29">
        <v>0</v>
      </c>
      <c r="U118" s="145">
        <v>0</v>
      </c>
      <c r="V118" s="145">
        <v>0</v>
      </c>
      <c r="W118" s="145">
        <v>0</v>
      </c>
      <c r="X118" s="145">
        <v>0</v>
      </c>
      <c r="Y118" s="145">
        <v>0</v>
      </c>
      <c r="Z118" s="145">
        <v>0</v>
      </c>
      <c r="AA118" s="142">
        <f t="shared" si="3"/>
        <v>0</v>
      </c>
      <c r="AB118" s="141"/>
      <c r="AC118" s="67"/>
      <c r="AD118" s="67"/>
      <c r="AE118" s="24"/>
      <c r="AF118" s="24"/>
      <c r="AG118" s="24"/>
    </row>
    <row r="119" spans="1:33" ht="61.5">
      <c r="A119" s="153">
        <v>116</v>
      </c>
      <c r="B119" s="140"/>
      <c r="C119" s="140"/>
      <c r="D119" s="28"/>
      <c r="E119" s="59"/>
      <c r="F119" s="59"/>
      <c r="G119" s="90"/>
      <c r="H119" s="90"/>
      <c r="I119" s="93"/>
      <c r="J119" s="93"/>
      <c r="K119" s="93"/>
      <c r="L119" s="69"/>
      <c r="M119" s="69"/>
      <c r="N119" s="39">
        <v>0</v>
      </c>
      <c r="O119" s="21"/>
      <c r="P119" s="21"/>
      <c r="Q119" s="141"/>
      <c r="R119" s="21"/>
      <c r="S119" s="141"/>
      <c r="T119" s="29">
        <v>0</v>
      </c>
      <c r="U119" s="145">
        <v>0</v>
      </c>
      <c r="V119" s="145">
        <v>0</v>
      </c>
      <c r="W119" s="145">
        <v>0</v>
      </c>
      <c r="X119" s="145">
        <v>0</v>
      </c>
      <c r="Y119" s="145">
        <v>0</v>
      </c>
      <c r="Z119" s="145">
        <v>0</v>
      </c>
      <c r="AA119" s="142">
        <f t="shared" si="3"/>
        <v>0</v>
      </c>
      <c r="AB119" s="141"/>
      <c r="AC119" s="67"/>
      <c r="AD119" s="67"/>
      <c r="AE119" s="24"/>
      <c r="AF119" s="24"/>
      <c r="AG119" s="24"/>
    </row>
    <row r="120" spans="1:33" ht="61.5">
      <c r="A120" s="153">
        <v>117</v>
      </c>
      <c r="B120" s="140"/>
      <c r="C120" s="140"/>
      <c r="D120" s="28"/>
      <c r="E120" s="59"/>
      <c r="F120" s="59"/>
      <c r="G120" s="90"/>
      <c r="H120" s="90"/>
      <c r="I120" s="93"/>
      <c r="J120" s="93"/>
      <c r="K120" s="93"/>
      <c r="L120" s="69"/>
      <c r="M120" s="69"/>
      <c r="N120" s="39">
        <v>0</v>
      </c>
      <c r="O120" s="21"/>
      <c r="P120" s="21"/>
      <c r="Q120" s="141"/>
      <c r="R120" s="21"/>
      <c r="S120" s="141"/>
      <c r="T120" s="29">
        <v>0</v>
      </c>
      <c r="U120" s="145">
        <v>0</v>
      </c>
      <c r="V120" s="145">
        <v>0</v>
      </c>
      <c r="W120" s="145">
        <v>0</v>
      </c>
      <c r="X120" s="145">
        <v>0</v>
      </c>
      <c r="Y120" s="145">
        <v>0</v>
      </c>
      <c r="Z120" s="145">
        <v>0</v>
      </c>
      <c r="AA120" s="142">
        <f t="shared" si="3"/>
        <v>0</v>
      </c>
      <c r="AB120" s="141"/>
      <c r="AC120" s="67"/>
      <c r="AD120" s="67"/>
      <c r="AE120" s="24"/>
      <c r="AF120" s="24"/>
      <c r="AG120" s="24"/>
    </row>
    <row r="121" spans="1:33" ht="61.5">
      <c r="A121" s="153">
        <v>118</v>
      </c>
      <c r="B121" s="140"/>
      <c r="C121" s="140"/>
      <c r="D121" s="28"/>
      <c r="E121" s="59"/>
      <c r="F121" s="59"/>
      <c r="G121" s="90"/>
      <c r="H121" s="90"/>
      <c r="I121" s="93"/>
      <c r="J121" s="93"/>
      <c r="K121" s="93"/>
      <c r="L121" s="69"/>
      <c r="M121" s="69"/>
      <c r="N121" s="39">
        <v>0</v>
      </c>
      <c r="O121" s="21"/>
      <c r="P121" s="21"/>
      <c r="Q121" s="141"/>
      <c r="R121" s="21"/>
      <c r="S121" s="141"/>
      <c r="T121" s="29">
        <v>0</v>
      </c>
      <c r="U121" s="145">
        <v>0</v>
      </c>
      <c r="V121" s="145">
        <v>0</v>
      </c>
      <c r="W121" s="145">
        <v>0</v>
      </c>
      <c r="X121" s="145">
        <v>0</v>
      </c>
      <c r="Y121" s="145">
        <v>0</v>
      </c>
      <c r="Z121" s="145">
        <v>0</v>
      </c>
      <c r="AA121" s="142">
        <f t="shared" si="3"/>
        <v>0</v>
      </c>
      <c r="AB121" s="141"/>
      <c r="AC121" s="67"/>
      <c r="AD121" s="67"/>
      <c r="AE121" s="24"/>
      <c r="AF121" s="24"/>
      <c r="AG121" s="24"/>
    </row>
    <row r="122" spans="1:33" ht="61.5">
      <c r="A122" s="153">
        <v>119</v>
      </c>
      <c r="B122" s="140"/>
      <c r="C122" s="140"/>
      <c r="D122" s="28"/>
      <c r="E122" s="59"/>
      <c r="F122" s="59"/>
      <c r="G122" s="90"/>
      <c r="H122" s="90"/>
      <c r="I122" s="93"/>
      <c r="J122" s="93"/>
      <c r="K122" s="93"/>
      <c r="L122" s="69"/>
      <c r="M122" s="69"/>
      <c r="N122" s="39">
        <v>0</v>
      </c>
      <c r="O122" s="21"/>
      <c r="P122" s="21"/>
      <c r="Q122" s="141"/>
      <c r="R122" s="21"/>
      <c r="S122" s="141"/>
      <c r="T122" s="29">
        <v>0</v>
      </c>
      <c r="U122" s="145">
        <v>0</v>
      </c>
      <c r="V122" s="145">
        <v>0</v>
      </c>
      <c r="W122" s="145">
        <v>0</v>
      </c>
      <c r="X122" s="145">
        <v>0</v>
      </c>
      <c r="Y122" s="145">
        <v>0</v>
      </c>
      <c r="Z122" s="145">
        <v>0</v>
      </c>
      <c r="AA122" s="142">
        <f t="shared" si="3"/>
        <v>0</v>
      </c>
      <c r="AB122" s="141"/>
      <c r="AC122" s="67"/>
      <c r="AD122" s="67"/>
      <c r="AE122" s="24"/>
      <c r="AF122" s="24"/>
      <c r="AG122" s="24"/>
    </row>
    <row r="123" spans="1:33" ht="61.5">
      <c r="A123" s="153">
        <v>120</v>
      </c>
      <c r="B123" s="140"/>
      <c r="C123" s="140"/>
      <c r="D123" s="28"/>
      <c r="E123" s="59"/>
      <c r="F123" s="59"/>
      <c r="G123" s="90"/>
      <c r="H123" s="90"/>
      <c r="I123" s="93"/>
      <c r="J123" s="93"/>
      <c r="K123" s="93"/>
      <c r="L123" s="69"/>
      <c r="M123" s="69"/>
      <c r="N123" s="39">
        <v>0</v>
      </c>
      <c r="O123" s="21"/>
      <c r="P123" s="21"/>
      <c r="Q123" s="141"/>
      <c r="R123" s="21"/>
      <c r="S123" s="141"/>
      <c r="T123" s="29">
        <v>0</v>
      </c>
      <c r="U123" s="145">
        <v>0</v>
      </c>
      <c r="V123" s="145">
        <v>0</v>
      </c>
      <c r="W123" s="145">
        <v>0</v>
      </c>
      <c r="X123" s="145">
        <v>0</v>
      </c>
      <c r="Y123" s="145">
        <v>0</v>
      </c>
      <c r="Z123" s="145">
        <v>0</v>
      </c>
      <c r="AA123" s="142">
        <f t="shared" si="3"/>
        <v>0</v>
      </c>
      <c r="AB123" s="141"/>
      <c r="AC123" s="67"/>
      <c r="AD123" s="67"/>
      <c r="AE123" s="24"/>
      <c r="AF123" s="24"/>
      <c r="AG123" s="24"/>
    </row>
    <row r="124" spans="1:33" ht="61.5">
      <c r="A124" s="153">
        <v>121</v>
      </c>
      <c r="B124" s="140"/>
      <c r="C124" s="140"/>
      <c r="D124" s="28"/>
      <c r="E124" s="59"/>
      <c r="F124" s="59"/>
      <c r="G124" s="90"/>
      <c r="H124" s="90"/>
      <c r="I124" s="93"/>
      <c r="J124" s="93"/>
      <c r="K124" s="93"/>
      <c r="L124" s="69"/>
      <c r="M124" s="69"/>
      <c r="N124" s="39">
        <v>0</v>
      </c>
      <c r="O124" s="21"/>
      <c r="P124" s="21"/>
      <c r="Q124" s="141"/>
      <c r="R124" s="21"/>
      <c r="S124" s="141"/>
      <c r="T124" s="29">
        <v>0</v>
      </c>
      <c r="U124" s="145">
        <v>0</v>
      </c>
      <c r="V124" s="145">
        <v>0</v>
      </c>
      <c r="W124" s="145">
        <v>0</v>
      </c>
      <c r="X124" s="145">
        <v>0</v>
      </c>
      <c r="Y124" s="145">
        <v>0</v>
      </c>
      <c r="Z124" s="145">
        <v>0</v>
      </c>
      <c r="AA124" s="142">
        <f t="shared" si="3"/>
        <v>0</v>
      </c>
      <c r="AB124" s="141"/>
      <c r="AC124" s="67"/>
      <c r="AD124" s="67"/>
      <c r="AE124" s="24"/>
      <c r="AF124" s="24"/>
      <c r="AG124" s="24"/>
    </row>
    <row r="125" spans="1:33" ht="61.5">
      <c r="A125" s="153">
        <v>122</v>
      </c>
      <c r="B125" s="140"/>
      <c r="C125" s="140"/>
      <c r="D125" s="28"/>
      <c r="E125" s="59"/>
      <c r="F125" s="59"/>
      <c r="G125" s="90"/>
      <c r="H125" s="90"/>
      <c r="I125" s="93"/>
      <c r="J125" s="93"/>
      <c r="K125" s="93"/>
      <c r="L125" s="69"/>
      <c r="M125" s="69"/>
      <c r="N125" s="39">
        <v>0</v>
      </c>
      <c r="O125" s="21"/>
      <c r="P125" s="21"/>
      <c r="Q125" s="141"/>
      <c r="R125" s="21"/>
      <c r="S125" s="141"/>
      <c r="T125" s="29">
        <v>0</v>
      </c>
      <c r="U125" s="145">
        <v>0</v>
      </c>
      <c r="V125" s="145">
        <v>0</v>
      </c>
      <c r="W125" s="145">
        <v>0</v>
      </c>
      <c r="X125" s="145">
        <v>0</v>
      </c>
      <c r="Y125" s="145">
        <v>0</v>
      </c>
      <c r="Z125" s="145">
        <v>0</v>
      </c>
      <c r="AA125" s="142">
        <f t="shared" si="3"/>
        <v>0</v>
      </c>
      <c r="AB125" s="141"/>
      <c r="AC125" s="67"/>
      <c r="AD125" s="67"/>
      <c r="AE125" s="24"/>
      <c r="AF125" s="24"/>
      <c r="AG125" s="24"/>
    </row>
    <row r="126" spans="1:33" ht="61.5">
      <c r="A126" s="153">
        <v>123</v>
      </c>
      <c r="B126" s="140"/>
      <c r="C126" s="140"/>
      <c r="D126" s="28"/>
      <c r="E126" s="59"/>
      <c r="F126" s="59"/>
      <c r="G126" s="90"/>
      <c r="H126" s="90"/>
      <c r="I126" s="93"/>
      <c r="J126" s="93"/>
      <c r="K126" s="93"/>
      <c r="L126" s="69"/>
      <c r="M126" s="69"/>
      <c r="N126" s="39">
        <v>0</v>
      </c>
      <c r="O126" s="21"/>
      <c r="P126" s="21"/>
      <c r="Q126" s="141"/>
      <c r="R126" s="21"/>
      <c r="S126" s="141"/>
      <c r="T126" s="29">
        <v>0</v>
      </c>
      <c r="U126" s="145">
        <v>0</v>
      </c>
      <c r="V126" s="145">
        <v>0</v>
      </c>
      <c r="W126" s="145">
        <v>0</v>
      </c>
      <c r="X126" s="145">
        <v>0</v>
      </c>
      <c r="Y126" s="145">
        <v>0</v>
      </c>
      <c r="Z126" s="145">
        <v>0</v>
      </c>
      <c r="AA126" s="142">
        <f t="shared" si="3"/>
        <v>0</v>
      </c>
      <c r="AB126" s="141"/>
      <c r="AC126" s="67"/>
      <c r="AD126" s="67"/>
      <c r="AE126" s="24"/>
      <c r="AF126" s="24"/>
      <c r="AG126" s="24"/>
    </row>
    <row r="127" spans="1:33" ht="61.5">
      <c r="A127" s="153">
        <v>124</v>
      </c>
      <c r="B127" s="140"/>
      <c r="C127" s="140"/>
      <c r="D127" s="28"/>
      <c r="E127" s="59"/>
      <c r="F127" s="59"/>
      <c r="G127" s="90"/>
      <c r="H127" s="90"/>
      <c r="I127" s="93"/>
      <c r="J127" s="93"/>
      <c r="K127" s="93"/>
      <c r="L127" s="69"/>
      <c r="M127" s="69"/>
      <c r="N127" s="39">
        <v>0</v>
      </c>
      <c r="O127" s="21"/>
      <c r="P127" s="21"/>
      <c r="Q127" s="141"/>
      <c r="R127" s="21"/>
      <c r="S127" s="141"/>
      <c r="T127" s="29">
        <v>0</v>
      </c>
      <c r="U127" s="145">
        <v>0</v>
      </c>
      <c r="V127" s="145">
        <v>0</v>
      </c>
      <c r="W127" s="145">
        <v>0</v>
      </c>
      <c r="X127" s="145">
        <v>0</v>
      </c>
      <c r="Y127" s="145">
        <v>0</v>
      </c>
      <c r="Z127" s="145">
        <v>0</v>
      </c>
      <c r="AA127" s="142">
        <f t="shared" si="3"/>
        <v>0</v>
      </c>
      <c r="AB127" s="141"/>
      <c r="AC127" s="67"/>
      <c r="AD127" s="67"/>
      <c r="AE127" s="24"/>
      <c r="AF127" s="24"/>
      <c r="AG127" s="24"/>
    </row>
    <row r="128" spans="1:33" ht="61.5">
      <c r="A128" s="153">
        <v>125</v>
      </c>
      <c r="B128" s="140"/>
      <c r="C128" s="140"/>
      <c r="D128" s="28"/>
      <c r="E128" s="59"/>
      <c r="F128" s="59"/>
      <c r="G128" s="90"/>
      <c r="H128" s="90"/>
      <c r="I128" s="93"/>
      <c r="J128" s="93"/>
      <c r="K128" s="93"/>
      <c r="L128" s="69"/>
      <c r="M128" s="69"/>
      <c r="N128" s="39">
        <v>0</v>
      </c>
      <c r="O128" s="21"/>
      <c r="P128" s="21"/>
      <c r="Q128" s="141"/>
      <c r="R128" s="21"/>
      <c r="S128" s="141"/>
      <c r="T128" s="29">
        <v>0</v>
      </c>
      <c r="U128" s="145">
        <v>0</v>
      </c>
      <c r="V128" s="145">
        <v>0</v>
      </c>
      <c r="W128" s="145">
        <v>0</v>
      </c>
      <c r="X128" s="145">
        <v>0</v>
      </c>
      <c r="Y128" s="145">
        <v>0</v>
      </c>
      <c r="Z128" s="145">
        <v>0</v>
      </c>
      <c r="AA128" s="142">
        <f t="shared" si="3"/>
        <v>0</v>
      </c>
      <c r="AB128" s="141"/>
      <c r="AC128" s="67"/>
      <c r="AD128" s="67"/>
      <c r="AE128" s="24"/>
      <c r="AF128" s="24"/>
      <c r="AG128" s="24"/>
    </row>
    <row r="129" spans="1:33" ht="61.5">
      <c r="A129" s="153">
        <v>126</v>
      </c>
      <c r="B129" s="140"/>
      <c r="C129" s="140"/>
      <c r="D129" s="28"/>
      <c r="E129" s="59"/>
      <c r="F129" s="59"/>
      <c r="G129" s="90"/>
      <c r="H129" s="90"/>
      <c r="I129" s="93"/>
      <c r="J129" s="93"/>
      <c r="K129" s="93"/>
      <c r="L129" s="69"/>
      <c r="M129" s="69"/>
      <c r="N129" s="39">
        <v>0</v>
      </c>
      <c r="O129" s="21"/>
      <c r="P129" s="21"/>
      <c r="Q129" s="141"/>
      <c r="R129" s="21"/>
      <c r="S129" s="141"/>
      <c r="T129" s="29">
        <v>0</v>
      </c>
      <c r="U129" s="145">
        <v>0</v>
      </c>
      <c r="V129" s="145">
        <v>0</v>
      </c>
      <c r="W129" s="145">
        <v>0</v>
      </c>
      <c r="X129" s="145">
        <v>0</v>
      </c>
      <c r="Y129" s="145">
        <v>0</v>
      </c>
      <c r="Z129" s="145">
        <v>0</v>
      </c>
      <c r="AA129" s="142">
        <f t="shared" si="3"/>
        <v>0</v>
      </c>
      <c r="AB129" s="141"/>
      <c r="AC129" s="67"/>
      <c r="AD129" s="67"/>
      <c r="AE129" s="24"/>
      <c r="AF129" s="24"/>
      <c r="AG129" s="24"/>
    </row>
    <row r="130" spans="1:33" ht="61.5">
      <c r="A130" s="153">
        <v>127</v>
      </c>
      <c r="B130" s="140"/>
      <c r="C130" s="140"/>
      <c r="D130" s="28"/>
      <c r="E130" s="59"/>
      <c r="F130" s="59"/>
      <c r="G130" s="90"/>
      <c r="H130" s="90"/>
      <c r="I130" s="93"/>
      <c r="J130" s="93"/>
      <c r="K130" s="93"/>
      <c r="L130" s="69"/>
      <c r="M130" s="69"/>
      <c r="N130" s="39">
        <v>0</v>
      </c>
      <c r="O130" s="21"/>
      <c r="P130" s="21"/>
      <c r="Q130" s="141"/>
      <c r="R130" s="21"/>
      <c r="S130" s="141"/>
      <c r="T130" s="29">
        <v>0</v>
      </c>
      <c r="U130" s="145">
        <v>0</v>
      </c>
      <c r="V130" s="145">
        <v>0</v>
      </c>
      <c r="W130" s="145">
        <v>0</v>
      </c>
      <c r="X130" s="145">
        <v>0</v>
      </c>
      <c r="Y130" s="145">
        <v>0</v>
      </c>
      <c r="Z130" s="145">
        <v>0</v>
      </c>
      <c r="AA130" s="142">
        <f t="shared" si="3"/>
        <v>0</v>
      </c>
      <c r="AB130" s="141"/>
      <c r="AC130" s="67"/>
      <c r="AD130" s="67"/>
      <c r="AE130" s="24"/>
      <c r="AF130" s="24"/>
      <c r="AG130" s="24"/>
    </row>
    <row r="131" spans="1:33" ht="61.5">
      <c r="A131" s="153">
        <v>128</v>
      </c>
      <c r="B131" s="140"/>
      <c r="C131" s="140"/>
      <c r="D131" s="28"/>
      <c r="E131" s="59"/>
      <c r="F131" s="59"/>
      <c r="G131" s="90"/>
      <c r="H131" s="90"/>
      <c r="I131" s="93"/>
      <c r="J131" s="93"/>
      <c r="K131" s="93"/>
      <c r="L131" s="69"/>
      <c r="M131" s="69"/>
      <c r="N131" s="39">
        <v>0</v>
      </c>
      <c r="O131" s="21"/>
      <c r="P131" s="21"/>
      <c r="Q131" s="141"/>
      <c r="R131" s="21"/>
      <c r="S131" s="141"/>
      <c r="T131" s="29">
        <v>0</v>
      </c>
      <c r="U131" s="145">
        <v>0</v>
      </c>
      <c r="V131" s="145">
        <v>0</v>
      </c>
      <c r="W131" s="145">
        <v>0</v>
      </c>
      <c r="X131" s="145">
        <v>0</v>
      </c>
      <c r="Y131" s="145">
        <v>0</v>
      </c>
      <c r="Z131" s="145">
        <v>0</v>
      </c>
      <c r="AA131" s="142">
        <f t="shared" si="3"/>
        <v>0</v>
      </c>
      <c r="AB131" s="141"/>
      <c r="AC131" s="67"/>
      <c r="AD131" s="67"/>
      <c r="AE131" s="24"/>
      <c r="AF131" s="24"/>
      <c r="AG131" s="24"/>
    </row>
    <row r="132" spans="1:33" ht="61.5">
      <c r="A132" s="153">
        <v>129</v>
      </c>
      <c r="B132" s="152"/>
      <c r="C132" s="152"/>
      <c r="D132" s="28"/>
      <c r="E132" s="59"/>
      <c r="F132" s="59"/>
      <c r="G132" s="90"/>
      <c r="H132" s="90"/>
      <c r="I132" s="93"/>
      <c r="J132" s="93"/>
      <c r="K132" s="93"/>
      <c r="L132" s="69"/>
      <c r="M132" s="69"/>
      <c r="N132" s="39">
        <v>0</v>
      </c>
      <c r="O132" s="21"/>
      <c r="P132" s="21"/>
      <c r="Q132" s="141"/>
      <c r="R132" s="21"/>
      <c r="S132" s="141"/>
      <c r="T132" s="29">
        <v>0</v>
      </c>
      <c r="U132" s="145">
        <v>0</v>
      </c>
      <c r="V132" s="145">
        <v>0</v>
      </c>
      <c r="W132" s="145">
        <v>0</v>
      </c>
      <c r="X132" s="145">
        <v>0</v>
      </c>
      <c r="Y132" s="145">
        <v>0</v>
      </c>
      <c r="Z132" s="145">
        <v>0</v>
      </c>
      <c r="AA132" s="142">
        <f t="shared" ref="AA132:AA163" si="4">AVERAGE(T132:Z132)</f>
        <v>0</v>
      </c>
      <c r="AB132" s="141"/>
      <c r="AC132" s="67"/>
      <c r="AD132" s="67"/>
      <c r="AE132" s="24"/>
      <c r="AF132" s="24"/>
      <c r="AG132" s="24"/>
    </row>
    <row r="133" spans="1:33" ht="61.5">
      <c r="A133" s="153">
        <v>130</v>
      </c>
      <c r="B133" s="153"/>
      <c r="C133" s="153"/>
      <c r="D133" s="28"/>
      <c r="E133" s="59"/>
      <c r="F133" s="59"/>
      <c r="G133" s="90"/>
      <c r="H133" s="90"/>
      <c r="I133" s="93"/>
      <c r="J133" s="93"/>
      <c r="K133" s="93"/>
      <c r="L133" s="69"/>
      <c r="M133" s="69"/>
      <c r="N133" s="39">
        <v>0</v>
      </c>
      <c r="O133" s="21"/>
      <c r="P133" s="21"/>
      <c r="Q133" s="141"/>
      <c r="R133" s="21"/>
      <c r="S133" s="141"/>
      <c r="T133" s="29">
        <v>0</v>
      </c>
      <c r="U133" s="145">
        <v>0</v>
      </c>
      <c r="V133" s="145">
        <v>0</v>
      </c>
      <c r="W133" s="145">
        <v>0</v>
      </c>
      <c r="X133" s="145">
        <v>0</v>
      </c>
      <c r="Y133" s="145">
        <v>0</v>
      </c>
      <c r="Z133" s="145">
        <v>0</v>
      </c>
      <c r="AA133" s="142">
        <f t="shared" si="4"/>
        <v>0</v>
      </c>
      <c r="AB133" s="141"/>
      <c r="AC133" s="67"/>
      <c r="AD133" s="67"/>
      <c r="AE133" s="24"/>
      <c r="AF133" s="24"/>
      <c r="AG133" s="24"/>
    </row>
    <row r="134" spans="1:33" ht="61.5">
      <c r="A134" s="153">
        <v>131</v>
      </c>
      <c r="B134" s="153"/>
      <c r="C134" s="153"/>
      <c r="D134" s="28"/>
      <c r="E134" s="59"/>
      <c r="F134" s="59"/>
      <c r="G134" s="90"/>
      <c r="H134" s="90"/>
      <c r="I134" s="93"/>
      <c r="J134" s="93"/>
      <c r="K134" s="93"/>
      <c r="L134" s="69"/>
      <c r="M134" s="69"/>
      <c r="N134" s="39">
        <v>0</v>
      </c>
      <c r="O134" s="21"/>
      <c r="P134" s="21"/>
      <c r="Q134" s="141"/>
      <c r="R134" s="21"/>
      <c r="S134" s="141"/>
      <c r="T134" s="29">
        <v>0</v>
      </c>
      <c r="U134" s="145">
        <v>0</v>
      </c>
      <c r="V134" s="145">
        <v>0</v>
      </c>
      <c r="W134" s="145">
        <v>0</v>
      </c>
      <c r="X134" s="145">
        <v>0</v>
      </c>
      <c r="Y134" s="145">
        <v>0</v>
      </c>
      <c r="Z134" s="145">
        <v>0</v>
      </c>
      <c r="AA134" s="142">
        <f t="shared" si="4"/>
        <v>0</v>
      </c>
      <c r="AB134" s="141"/>
      <c r="AC134" s="67"/>
      <c r="AD134" s="67"/>
      <c r="AE134" s="24"/>
      <c r="AF134" s="24"/>
      <c r="AG134" s="24"/>
    </row>
    <row r="135" spans="1:33" ht="61.5">
      <c r="A135" s="153">
        <v>132</v>
      </c>
      <c r="B135" s="153"/>
      <c r="C135" s="153"/>
      <c r="D135" s="28"/>
      <c r="E135" s="59"/>
      <c r="F135" s="59"/>
      <c r="G135" s="90"/>
      <c r="H135" s="90"/>
      <c r="I135" s="93"/>
      <c r="J135" s="93"/>
      <c r="K135" s="93"/>
      <c r="L135" s="69"/>
      <c r="M135" s="69"/>
      <c r="N135" s="39">
        <v>0</v>
      </c>
      <c r="O135" s="21"/>
      <c r="P135" s="21"/>
      <c r="Q135" s="141"/>
      <c r="R135" s="21"/>
      <c r="S135" s="141"/>
      <c r="T135" s="29">
        <v>0</v>
      </c>
      <c r="U135" s="145">
        <v>0</v>
      </c>
      <c r="V135" s="145">
        <v>0</v>
      </c>
      <c r="W135" s="145">
        <v>0</v>
      </c>
      <c r="X135" s="145">
        <v>0</v>
      </c>
      <c r="Y135" s="145">
        <v>0</v>
      </c>
      <c r="Z135" s="145">
        <v>0</v>
      </c>
      <c r="AA135" s="142">
        <f t="shared" si="4"/>
        <v>0</v>
      </c>
      <c r="AB135" s="141"/>
      <c r="AC135" s="67"/>
      <c r="AD135" s="67"/>
      <c r="AE135" s="24"/>
      <c r="AF135" s="24"/>
      <c r="AG135" s="24"/>
    </row>
    <row r="136" spans="1:33" ht="61.5">
      <c r="A136" s="153">
        <v>133</v>
      </c>
      <c r="B136" s="153"/>
      <c r="C136" s="153"/>
      <c r="D136" s="28"/>
      <c r="E136" s="59"/>
      <c r="F136" s="59"/>
      <c r="G136" s="90"/>
      <c r="H136" s="90"/>
      <c r="I136" s="93"/>
      <c r="J136" s="93"/>
      <c r="K136" s="93"/>
      <c r="L136" s="69"/>
      <c r="M136" s="69"/>
      <c r="N136" s="39">
        <v>0</v>
      </c>
      <c r="O136" s="21"/>
      <c r="P136" s="21"/>
      <c r="Q136" s="141"/>
      <c r="R136" s="21"/>
      <c r="S136" s="141"/>
      <c r="T136" s="29">
        <v>0</v>
      </c>
      <c r="U136" s="145">
        <v>0</v>
      </c>
      <c r="V136" s="145">
        <v>0</v>
      </c>
      <c r="W136" s="145">
        <v>0</v>
      </c>
      <c r="X136" s="145">
        <v>0</v>
      </c>
      <c r="Y136" s="145">
        <v>0</v>
      </c>
      <c r="Z136" s="145">
        <v>0</v>
      </c>
      <c r="AA136" s="142">
        <f t="shared" si="4"/>
        <v>0</v>
      </c>
      <c r="AB136" s="141"/>
      <c r="AC136" s="67"/>
      <c r="AD136" s="67"/>
      <c r="AE136" s="24"/>
      <c r="AF136" s="24"/>
      <c r="AG136" s="24"/>
    </row>
    <row r="137" spans="1:33" ht="61.5">
      <c r="A137" s="153">
        <v>134</v>
      </c>
      <c r="B137" s="153"/>
      <c r="C137" s="153"/>
      <c r="D137" s="28"/>
      <c r="E137" s="59"/>
      <c r="F137" s="59"/>
      <c r="G137" s="90"/>
      <c r="H137" s="90"/>
      <c r="I137" s="93"/>
      <c r="J137" s="93"/>
      <c r="K137" s="93"/>
      <c r="L137" s="69"/>
      <c r="M137" s="69"/>
      <c r="N137" s="39">
        <v>0</v>
      </c>
      <c r="O137" s="21"/>
      <c r="P137" s="21"/>
      <c r="Q137" s="141"/>
      <c r="R137" s="21"/>
      <c r="S137" s="141"/>
      <c r="T137" s="29">
        <v>0</v>
      </c>
      <c r="U137" s="145">
        <v>0</v>
      </c>
      <c r="V137" s="145">
        <v>0</v>
      </c>
      <c r="W137" s="145">
        <v>0</v>
      </c>
      <c r="X137" s="145">
        <v>0</v>
      </c>
      <c r="Y137" s="145">
        <v>0</v>
      </c>
      <c r="Z137" s="145">
        <v>0</v>
      </c>
      <c r="AA137" s="142">
        <f t="shared" si="4"/>
        <v>0</v>
      </c>
      <c r="AB137" s="141"/>
      <c r="AC137" s="67"/>
      <c r="AD137" s="67"/>
      <c r="AE137" s="24"/>
      <c r="AF137" s="24"/>
      <c r="AG137" s="24"/>
    </row>
    <row r="138" spans="1:33" ht="61.5">
      <c r="A138" s="153">
        <v>135</v>
      </c>
      <c r="B138" s="153"/>
      <c r="C138" s="153"/>
      <c r="D138" s="28"/>
      <c r="E138" s="59"/>
      <c r="F138" s="59"/>
      <c r="G138" s="90"/>
      <c r="H138" s="90"/>
      <c r="I138" s="93"/>
      <c r="J138" s="93"/>
      <c r="K138" s="93"/>
      <c r="L138" s="69"/>
      <c r="M138" s="69"/>
      <c r="N138" s="39">
        <v>0</v>
      </c>
      <c r="O138" s="21"/>
      <c r="P138" s="21"/>
      <c r="Q138" s="141"/>
      <c r="R138" s="21"/>
      <c r="S138" s="141"/>
      <c r="T138" s="29">
        <v>0</v>
      </c>
      <c r="U138" s="145">
        <v>0</v>
      </c>
      <c r="V138" s="145">
        <v>0</v>
      </c>
      <c r="W138" s="145">
        <v>0</v>
      </c>
      <c r="X138" s="145">
        <v>0</v>
      </c>
      <c r="Y138" s="145">
        <v>0</v>
      </c>
      <c r="Z138" s="145">
        <v>0</v>
      </c>
      <c r="AA138" s="142">
        <f t="shared" si="4"/>
        <v>0</v>
      </c>
      <c r="AB138" s="141"/>
      <c r="AC138" s="67"/>
      <c r="AD138" s="67"/>
      <c r="AE138" s="24"/>
      <c r="AF138" s="24"/>
      <c r="AG138" s="24"/>
    </row>
    <row r="139" spans="1:33" ht="61.5">
      <c r="A139" s="153">
        <v>136</v>
      </c>
      <c r="B139" s="153"/>
      <c r="C139" s="153"/>
      <c r="D139" s="28"/>
      <c r="E139" s="59"/>
      <c r="F139" s="59"/>
      <c r="G139" s="90"/>
      <c r="H139" s="90"/>
      <c r="I139" s="93"/>
      <c r="J139" s="93"/>
      <c r="K139" s="93"/>
      <c r="L139" s="69"/>
      <c r="M139" s="69"/>
      <c r="N139" s="39">
        <v>0</v>
      </c>
      <c r="O139" s="21"/>
      <c r="P139" s="21"/>
      <c r="Q139" s="141"/>
      <c r="R139" s="21"/>
      <c r="S139" s="141"/>
      <c r="T139" s="29">
        <v>0</v>
      </c>
      <c r="U139" s="145">
        <v>0</v>
      </c>
      <c r="V139" s="145">
        <v>0</v>
      </c>
      <c r="W139" s="145">
        <v>0</v>
      </c>
      <c r="X139" s="145">
        <v>0</v>
      </c>
      <c r="Y139" s="145">
        <v>0</v>
      </c>
      <c r="Z139" s="145">
        <v>0</v>
      </c>
      <c r="AA139" s="142">
        <f t="shared" si="4"/>
        <v>0</v>
      </c>
      <c r="AB139" s="141"/>
      <c r="AC139" s="67"/>
      <c r="AD139" s="67"/>
      <c r="AE139" s="24"/>
      <c r="AF139" s="24"/>
      <c r="AG139" s="24"/>
    </row>
    <row r="140" spans="1:33" ht="61.5">
      <c r="A140" s="153">
        <v>137</v>
      </c>
      <c r="B140" s="153"/>
      <c r="C140" s="153"/>
      <c r="D140" s="28"/>
      <c r="E140" s="59"/>
      <c r="F140" s="59"/>
      <c r="G140" s="90"/>
      <c r="H140" s="90"/>
      <c r="I140" s="93"/>
      <c r="J140" s="93"/>
      <c r="K140" s="93"/>
      <c r="L140" s="69"/>
      <c r="M140" s="69"/>
      <c r="N140" s="39">
        <v>0</v>
      </c>
      <c r="O140" s="21"/>
      <c r="P140" s="21"/>
      <c r="Q140" s="141"/>
      <c r="R140" s="21"/>
      <c r="S140" s="141"/>
      <c r="T140" s="29">
        <v>0</v>
      </c>
      <c r="U140" s="145">
        <v>0</v>
      </c>
      <c r="V140" s="145">
        <v>0</v>
      </c>
      <c r="W140" s="145">
        <v>0</v>
      </c>
      <c r="X140" s="145">
        <v>0</v>
      </c>
      <c r="Y140" s="145">
        <v>0</v>
      </c>
      <c r="Z140" s="145">
        <v>0</v>
      </c>
      <c r="AA140" s="142">
        <f t="shared" si="4"/>
        <v>0</v>
      </c>
      <c r="AB140" s="141"/>
      <c r="AC140" s="67"/>
      <c r="AD140" s="67"/>
      <c r="AE140" s="24"/>
      <c r="AF140" s="24"/>
      <c r="AG140" s="24"/>
    </row>
    <row r="141" spans="1:33" ht="61.5">
      <c r="A141" s="153">
        <v>138</v>
      </c>
      <c r="B141" s="153"/>
      <c r="C141" s="153"/>
      <c r="D141" s="28"/>
      <c r="E141" s="59"/>
      <c r="F141" s="59"/>
      <c r="G141" s="90"/>
      <c r="H141" s="90"/>
      <c r="I141" s="93"/>
      <c r="J141" s="93"/>
      <c r="K141" s="93"/>
      <c r="L141" s="69"/>
      <c r="M141" s="69"/>
      <c r="N141" s="39">
        <v>0</v>
      </c>
      <c r="O141" s="21"/>
      <c r="P141" s="21"/>
      <c r="Q141" s="141"/>
      <c r="R141" s="21"/>
      <c r="S141" s="141"/>
      <c r="T141" s="29">
        <v>0</v>
      </c>
      <c r="U141" s="145">
        <v>0</v>
      </c>
      <c r="V141" s="145">
        <v>0</v>
      </c>
      <c r="W141" s="145">
        <v>0</v>
      </c>
      <c r="X141" s="145">
        <v>0</v>
      </c>
      <c r="Y141" s="145">
        <v>0</v>
      </c>
      <c r="Z141" s="145">
        <v>0</v>
      </c>
      <c r="AA141" s="142">
        <f t="shared" si="4"/>
        <v>0</v>
      </c>
      <c r="AB141" s="141"/>
      <c r="AC141" s="67"/>
      <c r="AD141" s="67"/>
      <c r="AE141" s="24"/>
      <c r="AF141" s="24"/>
      <c r="AG141" s="24"/>
    </row>
    <row r="142" spans="1:33" ht="61.5">
      <c r="A142" s="153">
        <v>139</v>
      </c>
      <c r="B142" s="153"/>
      <c r="C142" s="153"/>
      <c r="D142" s="28"/>
      <c r="E142" s="59"/>
      <c r="F142" s="59"/>
      <c r="G142" s="90"/>
      <c r="H142" s="90"/>
      <c r="I142" s="93"/>
      <c r="J142" s="93"/>
      <c r="K142" s="93"/>
      <c r="L142" s="69"/>
      <c r="M142" s="69"/>
      <c r="N142" s="39">
        <v>0</v>
      </c>
      <c r="O142" s="21"/>
      <c r="P142" s="21"/>
      <c r="Q142" s="141"/>
      <c r="R142" s="21"/>
      <c r="S142" s="141"/>
      <c r="T142" s="29">
        <v>0</v>
      </c>
      <c r="U142" s="145">
        <v>0</v>
      </c>
      <c r="V142" s="145">
        <v>0</v>
      </c>
      <c r="W142" s="145">
        <v>0</v>
      </c>
      <c r="X142" s="145">
        <v>0</v>
      </c>
      <c r="Y142" s="145">
        <v>0</v>
      </c>
      <c r="Z142" s="145">
        <v>0</v>
      </c>
      <c r="AA142" s="142">
        <f t="shared" si="4"/>
        <v>0</v>
      </c>
      <c r="AB142" s="141"/>
      <c r="AC142" s="67"/>
      <c r="AD142" s="67"/>
      <c r="AE142" s="24"/>
      <c r="AF142" s="24"/>
      <c r="AG142" s="24"/>
    </row>
    <row r="143" spans="1:33" ht="61.5">
      <c r="A143" s="153">
        <v>140</v>
      </c>
      <c r="B143" s="153"/>
      <c r="C143" s="153"/>
      <c r="D143" s="28"/>
      <c r="E143" s="59"/>
      <c r="F143" s="59"/>
      <c r="G143" s="90"/>
      <c r="H143" s="90"/>
      <c r="I143" s="93"/>
      <c r="J143" s="93"/>
      <c r="K143" s="93"/>
      <c r="L143" s="69"/>
      <c r="M143" s="69"/>
      <c r="N143" s="39">
        <v>0</v>
      </c>
      <c r="O143" s="21"/>
      <c r="P143" s="21"/>
      <c r="Q143" s="141"/>
      <c r="R143" s="21"/>
      <c r="S143" s="141"/>
      <c r="T143" s="29">
        <v>0</v>
      </c>
      <c r="U143" s="145">
        <v>0</v>
      </c>
      <c r="V143" s="145">
        <v>0</v>
      </c>
      <c r="W143" s="145">
        <v>0</v>
      </c>
      <c r="X143" s="145">
        <v>0</v>
      </c>
      <c r="Y143" s="145">
        <v>0</v>
      </c>
      <c r="Z143" s="145">
        <v>0</v>
      </c>
      <c r="AA143" s="142">
        <f t="shared" si="4"/>
        <v>0</v>
      </c>
      <c r="AB143" s="141"/>
      <c r="AC143" s="67"/>
      <c r="AD143" s="67"/>
      <c r="AE143" s="24"/>
      <c r="AF143" s="24"/>
      <c r="AG143" s="24"/>
    </row>
    <row r="144" spans="1:33" ht="61.5">
      <c r="A144" s="153">
        <v>141</v>
      </c>
      <c r="B144" s="153"/>
      <c r="C144" s="153"/>
      <c r="D144" s="28"/>
      <c r="E144" s="59"/>
      <c r="F144" s="59"/>
      <c r="G144" s="90"/>
      <c r="H144" s="90"/>
      <c r="I144" s="93"/>
      <c r="J144" s="93"/>
      <c r="K144" s="93"/>
      <c r="L144" s="69"/>
      <c r="M144" s="69"/>
      <c r="N144" s="39">
        <v>0</v>
      </c>
      <c r="O144" s="21"/>
      <c r="P144" s="21"/>
      <c r="Q144" s="141"/>
      <c r="R144" s="21"/>
      <c r="S144" s="141"/>
      <c r="T144" s="29">
        <v>0</v>
      </c>
      <c r="U144" s="145">
        <v>0</v>
      </c>
      <c r="V144" s="145">
        <v>0</v>
      </c>
      <c r="W144" s="145">
        <v>0</v>
      </c>
      <c r="X144" s="145">
        <v>0</v>
      </c>
      <c r="Y144" s="145">
        <v>0</v>
      </c>
      <c r="Z144" s="145">
        <v>0</v>
      </c>
      <c r="AA144" s="142">
        <f t="shared" si="4"/>
        <v>0</v>
      </c>
      <c r="AB144" s="141"/>
      <c r="AC144" s="67"/>
      <c r="AD144" s="67"/>
      <c r="AE144" s="24"/>
      <c r="AF144" s="24"/>
      <c r="AG144" s="24"/>
    </row>
    <row r="145" spans="1:33" ht="61.5">
      <c r="A145" s="153">
        <v>142</v>
      </c>
      <c r="B145" s="153"/>
      <c r="C145" s="153"/>
      <c r="D145" s="28"/>
      <c r="E145" s="59"/>
      <c r="F145" s="59"/>
      <c r="G145" s="90"/>
      <c r="H145" s="90"/>
      <c r="I145" s="93"/>
      <c r="J145" s="93"/>
      <c r="K145" s="93"/>
      <c r="L145" s="69"/>
      <c r="M145" s="69"/>
      <c r="N145" s="39">
        <v>0</v>
      </c>
      <c r="O145" s="21"/>
      <c r="P145" s="21"/>
      <c r="Q145" s="141"/>
      <c r="R145" s="21"/>
      <c r="S145" s="141"/>
      <c r="T145" s="29">
        <v>0</v>
      </c>
      <c r="U145" s="145">
        <v>0</v>
      </c>
      <c r="V145" s="145">
        <v>0</v>
      </c>
      <c r="W145" s="145">
        <v>0</v>
      </c>
      <c r="X145" s="145">
        <v>0</v>
      </c>
      <c r="Y145" s="145">
        <v>0</v>
      </c>
      <c r="Z145" s="145">
        <v>0</v>
      </c>
      <c r="AA145" s="142">
        <f t="shared" si="4"/>
        <v>0</v>
      </c>
      <c r="AB145" s="141"/>
      <c r="AC145" s="67"/>
      <c r="AD145" s="67"/>
      <c r="AE145" s="24"/>
      <c r="AF145" s="24"/>
      <c r="AG145" s="24"/>
    </row>
    <row r="146" spans="1:33" ht="61.5">
      <c r="A146" s="153">
        <v>143</v>
      </c>
      <c r="B146" s="153"/>
      <c r="C146" s="153"/>
      <c r="D146" s="28"/>
      <c r="E146" s="59"/>
      <c r="F146" s="59"/>
      <c r="G146" s="90"/>
      <c r="H146" s="90"/>
      <c r="I146" s="93"/>
      <c r="J146" s="94"/>
      <c r="K146" s="94"/>
      <c r="L146" s="69"/>
      <c r="M146" s="69"/>
      <c r="N146" s="39">
        <v>0</v>
      </c>
      <c r="O146" s="25"/>
      <c r="P146" s="25"/>
      <c r="Q146" s="154"/>
      <c r="R146" s="25"/>
      <c r="S146" s="141"/>
      <c r="T146" s="29">
        <v>0</v>
      </c>
      <c r="U146" s="145">
        <v>0</v>
      </c>
      <c r="V146" s="145">
        <v>0</v>
      </c>
      <c r="W146" s="145">
        <v>0</v>
      </c>
      <c r="X146" s="145">
        <v>0</v>
      </c>
      <c r="Y146" s="145">
        <v>0</v>
      </c>
      <c r="Z146" s="145">
        <v>0</v>
      </c>
      <c r="AA146" s="142">
        <f t="shared" si="4"/>
        <v>0</v>
      </c>
      <c r="AB146" s="141"/>
      <c r="AC146" s="67"/>
      <c r="AD146" s="67"/>
      <c r="AE146" s="24"/>
      <c r="AF146" s="24"/>
      <c r="AG146" s="24"/>
    </row>
    <row r="147" spans="1:33" ht="61.5">
      <c r="A147" s="153">
        <v>144</v>
      </c>
      <c r="B147" s="153"/>
      <c r="C147" s="153"/>
      <c r="D147" s="28"/>
      <c r="E147" s="59"/>
      <c r="F147" s="59"/>
      <c r="G147" s="90"/>
      <c r="H147" s="90"/>
      <c r="I147" s="93"/>
      <c r="J147" s="96"/>
      <c r="K147" s="96"/>
      <c r="L147" s="69"/>
      <c r="M147" s="69"/>
      <c r="N147" s="39">
        <v>0</v>
      </c>
      <c r="O147" s="21"/>
      <c r="P147" s="21"/>
      <c r="Q147" s="141"/>
      <c r="R147" s="21"/>
      <c r="S147" s="141"/>
      <c r="T147" s="29">
        <v>0</v>
      </c>
      <c r="U147" s="145">
        <v>0</v>
      </c>
      <c r="V147" s="145">
        <v>0</v>
      </c>
      <c r="W147" s="145">
        <v>0</v>
      </c>
      <c r="X147" s="145">
        <v>0</v>
      </c>
      <c r="Y147" s="145">
        <v>0</v>
      </c>
      <c r="Z147" s="145">
        <v>0</v>
      </c>
      <c r="AA147" s="142">
        <f t="shared" si="4"/>
        <v>0</v>
      </c>
      <c r="AB147" s="141"/>
      <c r="AC147" s="67"/>
      <c r="AD147" s="67"/>
      <c r="AE147" s="24"/>
      <c r="AF147" s="24"/>
      <c r="AG147" s="24"/>
    </row>
    <row r="148" spans="1:33" ht="61.5">
      <c r="A148" s="153">
        <v>145</v>
      </c>
      <c r="B148" s="153"/>
      <c r="C148" s="153"/>
      <c r="D148" s="28"/>
      <c r="E148" s="59"/>
      <c r="F148" s="59"/>
      <c r="G148" s="90"/>
      <c r="H148" s="90"/>
      <c r="I148" s="93"/>
      <c r="J148" s="96"/>
      <c r="K148" s="96"/>
      <c r="L148" s="69"/>
      <c r="M148" s="69"/>
      <c r="N148" s="39">
        <v>0</v>
      </c>
      <c r="O148" s="21"/>
      <c r="P148" s="21"/>
      <c r="Q148" s="141"/>
      <c r="R148" s="21"/>
      <c r="S148" s="141"/>
      <c r="T148" s="29">
        <v>0</v>
      </c>
      <c r="U148" s="145">
        <v>0</v>
      </c>
      <c r="V148" s="145">
        <v>0</v>
      </c>
      <c r="W148" s="145">
        <v>0</v>
      </c>
      <c r="X148" s="145">
        <v>0</v>
      </c>
      <c r="Y148" s="145">
        <v>0</v>
      </c>
      <c r="Z148" s="145">
        <v>0</v>
      </c>
      <c r="AA148" s="142">
        <f t="shared" si="4"/>
        <v>0</v>
      </c>
      <c r="AB148" s="141"/>
      <c r="AC148" s="67"/>
      <c r="AD148" s="67"/>
      <c r="AE148" s="24"/>
      <c r="AF148" s="24"/>
      <c r="AG148" s="24"/>
    </row>
    <row r="149" spans="1:33" ht="61.5">
      <c r="A149" s="153">
        <v>146</v>
      </c>
      <c r="B149" s="153"/>
      <c r="C149" s="28"/>
      <c r="D149" s="28"/>
      <c r="E149" s="59"/>
      <c r="F149" s="59"/>
      <c r="G149" s="92"/>
      <c r="H149" s="90"/>
      <c r="I149" s="93"/>
      <c r="J149" s="96"/>
      <c r="K149" s="96"/>
      <c r="L149" s="69"/>
      <c r="M149" s="69"/>
      <c r="N149" s="39">
        <v>0</v>
      </c>
      <c r="O149" s="21"/>
      <c r="P149" s="21"/>
      <c r="Q149" s="141"/>
      <c r="R149" s="21"/>
      <c r="S149" s="141"/>
      <c r="T149" s="29">
        <v>0</v>
      </c>
      <c r="U149" s="145">
        <v>0</v>
      </c>
      <c r="V149" s="145">
        <v>0</v>
      </c>
      <c r="W149" s="145">
        <v>0</v>
      </c>
      <c r="X149" s="145">
        <v>0</v>
      </c>
      <c r="Y149" s="145">
        <v>0</v>
      </c>
      <c r="Z149" s="145">
        <v>0</v>
      </c>
      <c r="AA149" s="142">
        <f t="shared" si="4"/>
        <v>0</v>
      </c>
      <c r="AB149" s="141"/>
      <c r="AC149" s="67"/>
      <c r="AD149" s="67"/>
      <c r="AE149" s="24"/>
      <c r="AF149" s="24"/>
      <c r="AG149" s="24"/>
    </row>
    <row r="150" spans="1:33" ht="61.5">
      <c r="A150" s="153">
        <v>147</v>
      </c>
      <c r="B150" s="153"/>
      <c r="C150" s="140"/>
      <c r="D150" s="140"/>
      <c r="E150" s="59"/>
      <c r="F150" s="59"/>
      <c r="G150" s="90"/>
      <c r="H150" s="91"/>
      <c r="I150" s="93"/>
      <c r="J150" s="96"/>
      <c r="K150" s="96"/>
      <c r="L150" s="69"/>
      <c r="M150" s="69"/>
      <c r="N150" s="70">
        <v>0</v>
      </c>
      <c r="O150" s="21"/>
      <c r="P150" s="21"/>
      <c r="Q150" s="141"/>
      <c r="R150" s="21"/>
      <c r="S150" s="141"/>
      <c r="T150" s="29">
        <v>0</v>
      </c>
      <c r="U150" s="145">
        <v>0</v>
      </c>
      <c r="V150" s="145">
        <v>0</v>
      </c>
      <c r="W150" s="145">
        <v>0</v>
      </c>
      <c r="X150" s="145">
        <v>0</v>
      </c>
      <c r="Y150" s="145">
        <v>0</v>
      </c>
      <c r="Z150" s="145">
        <v>0</v>
      </c>
      <c r="AA150" s="142">
        <f t="shared" si="4"/>
        <v>0</v>
      </c>
      <c r="AB150" s="141"/>
      <c r="AC150" s="67"/>
      <c r="AD150" s="67"/>
      <c r="AE150" s="24"/>
      <c r="AF150" s="24"/>
      <c r="AG150" s="24"/>
    </row>
  </sheetData>
  <autoFilter ref="A3:AG150" xr:uid="{F8D42E05-E7E2-4849-8E99-D626BADB3A22}"/>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49" priority="1" operator="between">
      <formula>TODAY()</formula>
      <formula>TODAY()+7</formula>
    </cfRule>
    <cfRule type="cellIs" dxfId="48" priority="2" operator="greaterThanOrEqual">
      <formula>TODAY()+30</formula>
    </cfRule>
    <cfRule type="cellIs" dxfId="47"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E9A8E46E-DF18-4698-9C40-BF08A877779F}"/>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71290E8-C596-48EA-801E-BB1565D7FD86}">
          <x14:formula1>
            <xm:f>'Guide suivi GDP '!$E$3:$E$8</xm:f>
          </x14:formula1>
          <xm:sqref>Q4:Q150</xm:sqref>
        </x14:dataValidation>
        <x14:dataValidation type="list" allowBlank="1" showInputMessage="1" showErrorMessage="1" xr:uid="{E8F29DBF-D5D3-4496-879D-EB3E37FF4C70}">
          <x14:formula1>
            <xm:f>'Guide suivi GDP '!$E$20:$E$24</xm:f>
          </x14:formula1>
          <xm:sqref>R4:R150</xm:sqref>
        </x14:dataValidation>
        <x14:dataValidation type="list" showInputMessage="1" showErrorMessage="1" xr:uid="{1C3B5D68-3101-42B5-96DA-63EBFB460EF7}">
          <x14:formula1>
            <xm:f>'Guide suivi GDP '!$E$31:$E$33</xm:f>
          </x14:formula1>
          <xm:sqref>B4:B63</xm:sqref>
        </x14:dataValidation>
        <x14:dataValidation type="list" showInputMessage="1" showErrorMessage="1" xr:uid="{B8CFC821-7B57-4000-9C5B-CB85DB5ED301}">
          <x14:formula1>
            <xm:f>'Guide suivi GDP '!$E$34:$E$36</xm:f>
          </x14:formula1>
          <xm:sqref>C4:C150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C57AD-54B8-44A5-B6CE-B19B9296DEEB}">
  <dimension ref="A1:AG150"/>
  <sheetViews>
    <sheetView workbookViewId="0">
      <pane ySplit="3" topLeftCell="A41" activePane="bottomLeft" state="frozen"/>
      <selection pane="bottomLeft" activeCell="J42" sqref="J42"/>
    </sheetView>
  </sheetViews>
  <sheetFormatPr baseColWidth="10" defaultColWidth="9.140625" defaultRowHeight="12.75"/>
  <cols>
    <col min="7" max="7" width="14.28515625" customWidth="1"/>
    <col min="8" max="8" width="14.140625" customWidth="1"/>
    <col min="9" max="9" width="38.85546875" customWidth="1"/>
    <col min="10" max="10" width="38.42578125" customWidth="1"/>
    <col min="11" max="11" width="34.5703125" customWidth="1"/>
    <col min="13" max="13" width="39.28515625" customWidth="1"/>
  </cols>
  <sheetData>
    <row r="1" spans="1:33" ht="15.75">
      <c r="A1" s="78"/>
      <c r="B1" s="88" t="s">
        <v>717</v>
      </c>
      <c r="C1" s="99">
        <v>45924</v>
      </c>
      <c r="D1" s="88" t="s">
        <v>718</v>
      </c>
      <c r="E1" s="82"/>
      <c r="F1" s="82"/>
      <c r="G1" s="204" t="s">
        <v>719</v>
      </c>
      <c r="H1" s="204"/>
      <c r="I1" s="204"/>
      <c r="J1" s="204"/>
      <c r="K1" s="205"/>
      <c r="L1" s="202" t="s">
        <v>720</v>
      </c>
      <c r="M1" s="202"/>
      <c r="N1" s="202"/>
      <c r="O1" s="202"/>
      <c r="P1" s="202"/>
      <c r="Q1" s="202"/>
      <c r="R1" s="203"/>
      <c r="S1" s="79"/>
      <c r="T1" s="79" t="s">
        <v>721</v>
      </c>
      <c r="U1" s="80"/>
      <c r="V1" s="80"/>
      <c r="W1" s="80"/>
      <c r="X1" s="80"/>
      <c r="Y1" s="80"/>
      <c r="Z1" s="80"/>
      <c r="AA1" s="80"/>
      <c r="AB1" s="77" t="s">
        <v>721</v>
      </c>
      <c r="AC1" s="81"/>
      <c r="AD1" s="81"/>
      <c r="AE1" s="81"/>
      <c r="AF1" s="81"/>
      <c r="AG1" s="81"/>
    </row>
    <row r="2" spans="1:33" ht="18">
      <c r="A2" s="82"/>
      <c r="B2" s="82"/>
      <c r="C2" s="82"/>
      <c r="D2" s="87">
        <f>SUBTOTAL(3,D4:D150)</f>
        <v>43</v>
      </c>
      <c r="E2" s="100">
        <f>SUBTOTAL(1,E4:E31)</f>
        <v>3.1086956521739131</v>
      </c>
      <c r="F2" s="100">
        <f>SUBTOTAL(1,F4:F31)</f>
        <v>3.6086956521739131</v>
      </c>
      <c r="G2" s="204"/>
      <c r="H2" s="204"/>
      <c r="I2" s="204"/>
      <c r="J2" s="204"/>
      <c r="K2" s="205"/>
      <c r="L2" s="202"/>
      <c r="M2" s="202"/>
      <c r="N2" s="202"/>
      <c r="O2" s="202"/>
      <c r="P2" s="202"/>
      <c r="Q2" s="202"/>
      <c r="R2" s="203"/>
      <c r="S2" s="83"/>
      <c r="T2" s="156" t="s">
        <v>68</v>
      </c>
      <c r="U2" s="156" t="s">
        <v>69</v>
      </c>
      <c r="V2" s="209" t="s">
        <v>71</v>
      </c>
      <c r="W2" s="209"/>
      <c r="X2" s="209" t="s">
        <v>76</v>
      </c>
      <c r="Y2" s="209"/>
      <c r="Z2" s="209"/>
      <c r="AA2" s="84">
        <f>SUBTOTAL(1,AA4:AA31)</f>
        <v>0.18367346938775511</v>
      </c>
      <c r="AB2" s="81"/>
      <c r="AC2" s="81"/>
      <c r="AD2" s="81"/>
      <c r="AE2" s="81"/>
      <c r="AF2" s="81"/>
      <c r="AG2" s="81"/>
    </row>
    <row r="3" spans="1:33" ht="76.5">
      <c r="A3" s="72" t="s">
        <v>724</v>
      </c>
      <c r="B3" s="72" t="s">
        <v>725</v>
      </c>
      <c r="C3" s="72" t="s">
        <v>60</v>
      </c>
      <c r="D3" s="72" t="s">
        <v>85</v>
      </c>
      <c r="E3" s="73" t="s">
        <v>726</v>
      </c>
      <c r="F3" s="73" t="s">
        <v>727</v>
      </c>
      <c r="G3" s="72" t="s">
        <v>728</v>
      </c>
      <c r="H3" s="72" t="s">
        <v>601</v>
      </c>
      <c r="I3" s="97" t="s">
        <v>602</v>
      </c>
      <c r="J3" s="97" t="s">
        <v>603</v>
      </c>
      <c r="K3" s="97" t="s">
        <v>604</v>
      </c>
      <c r="L3" s="73" t="s">
        <v>729</v>
      </c>
      <c r="M3" s="73" t="s">
        <v>730</v>
      </c>
      <c r="N3" s="73" t="s">
        <v>229</v>
      </c>
      <c r="O3" s="73" t="s">
        <v>86</v>
      </c>
      <c r="P3" s="73" t="s">
        <v>731</v>
      </c>
      <c r="Q3" s="73" t="s">
        <v>732</v>
      </c>
      <c r="R3" s="73" t="s">
        <v>733</v>
      </c>
      <c r="S3" s="73" t="s">
        <v>734</v>
      </c>
      <c r="T3" s="73" t="s">
        <v>90</v>
      </c>
      <c r="U3" s="73" t="s">
        <v>91</v>
      </c>
      <c r="V3" s="73" t="s">
        <v>92</v>
      </c>
      <c r="W3" s="73" t="s">
        <v>93</v>
      </c>
      <c r="X3" s="73" t="s">
        <v>94</v>
      </c>
      <c r="Y3" s="73" t="s">
        <v>95</v>
      </c>
      <c r="Z3" s="73" t="s">
        <v>96</v>
      </c>
      <c r="AA3" s="73" t="s">
        <v>80</v>
      </c>
      <c r="AB3" s="72" t="s">
        <v>735</v>
      </c>
      <c r="AC3" s="72" t="s">
        <v>736</v>
      </c>
      <c r="AD3" s="72" t="s">
        <v>737</v>
      </c>
      <c r="AE3" s="72" t="s">
        <v>738</v>
      </c>
      <c r="AF3" s="72" t="s">
        <v>739</v>
      </c>
      <c r="AG3" s="72" t="s">
        <v>740</v>
      </c>
    </row>
    <row r="4" spans="1:33" ht="61.5">
      <c r="A4" s="153">
        <v>1</v>
      </c>
      <c r="B4" s="153" t="s">
        <v>57</v>
      </c>
      <c r="C4" s="153" t="s">
        <v>61</v>
      </c>
      <c r="D4" s="153" t="s">
        <v>653</v>
      </c>
      <c r="E4" s="59">
        <v>4</v>
      </c>
      <c r="F4" s="59">
        <v>4</v>
      </c>
      <c r="G4" s="90">
        <v>45922</v>
      </c>
      <c r="H4" s="90">
        <v>45923</v>
      </c>
      <c r="I4" s="93" t="s">
        <v>751</v>
      </c>
      <c r="J4" s="94"/>
      <c r="K4" s="94"/>
      <c r="L4" s="69"/>
      <c r="M4" s="69" t="s">
        <v>752</v>
      </c>
      <c r="N4" s="39">
        <v>2</v>
      </c>
      <c r="O4" s="141" t="s">
        <v>753</v>
      </c>
      <c r="P4" s="141" t="s">
        <v>754</v>
      </c>
      <c r="Q4" s="141" t="s">
        <v>26</v>
      </c>
      <c r="R4" s="141" t="s">
        <v>45</v>
      </c>
      <c r="S4" s="141"/>
      <c r="T4" s="29">
        <v>0</v>
      </c>
      <c r="U4" s="145">
        <v>0</v>
      </c>
      <c r="V4" s="145">
        <v>0</v>
      </c>
      <c r="W4" s="145">
        <v>0</v>
      </c>
      <c r="X4" s="145">
        <v>0</v>
      </c>
      <c r="Y4" s="145">
        <v>0</v>
      </c>
      <c r="Z4" s="145">
        <v>0</v>
      </c>
      <c r="AA4" s="142">
        <f t="shared" ref="AA4:AA35" si="0">AVERAGE(T4:Z4)</f>
        <v>0</v>
      </c>
      <c r="AB4" s="141"/>
      <c r="AC4" s="67"/>
      <c r="AD4" s="67"/>
      <c r="AE4" s="24"/>
      <c r="AF4" s="24"/>
      <c r="AG4" s="24"/>
    </row>
    <row r="5" spans="1:33" ht="61.5">
      <c r="A5" s="153">
        <v>2</v>
      </c>
      <c r="B5" s="153" t="s">
        <v>57</v>
      </c>
      <c r="C5" s="153" t="s">
        <v>61</v>
      </c>
      <c r="D5" s="28" t="s">
        <v>708</v>
      </c>
      <c r="E5" s="60">
        <v>2.5</v>
      </c>
      <c r="F5" s="60">
        <v>5</v>
      </c>
      <c r="G5" s="90"/>
      <c r="H5" s="90">
        <v>45953</v>
      </c>
      <c r="I5" s="93"/>
      <c r="J5" s="95" t="s">
        <v>710</v>
      </c>
      <c r="K5" s="95"/>
      <c r="L5" s="69"/>
      <c r="M5" s="69" t="s">
        <v>758</v>
      </c>
      <c r="N5" s="39">
        <v>2</v>
      </c>
      <c r="O5" s="141" t="s">
        <v>753</v>
      </c>
      <c r="P5" s="141" t="s">
        <v>759</v>
      </c>
      <c r="Q5" s="141" t="s">
        <v>26</v>
      </c>
      <c r="R5" s="21"/>
      <c r="S5" s="141"/>
      <c r="T5" s="29">
        <v>0</v>
      </c>
      <c r="U5" s="145">
        <v>0</v>
      </c>
      <c r="V5" s="145">
        <v>0</v>
      </c>
      <c r="W5" s="145">
        <v>0</v>
      </c>
      <c r="X5" s="145">
        <v>0</v>
      </c>
      <c r="Y5" s="145">
        <v>0</v>
      </c>
      <c r="Z5" s="145">
        <v>0</v>
      </c>
      <c r="AA5" s="142">
        <f t="shared" si="0"/>
        <v>0</v>
      </c>
      <c r="AB5" s="141"/>
      <c r="AC5" s="67"/>
      <c r="AD5" s="67"/>
      <c r="AE5" s="24"/>
      <c r="AF5" s="24"/>
      <c r="AG5" s="24"/>
    </row>
    <row r="6" spans="1:33" ht="75">
      <c r="A6" s="153">
        <v>3</v>
      </c>
      <c r="B6" s="153" t="s">
        <v>57</v>
      </c>
      <c r="C6" s="153" t="s">
        <v>61</v>
      </c>
      <c r="D6" s="28" t="s">
        <v>670</v>
      </c>
      <c r="E6" s="59">
        <v>1</v>
      </c>
      <c r="F6" s="59">
        <v>4</v>
      </c>
      <c r="G6" s="90" t="s">
        <v>762</v>
      </c>
      <c r="H6" s="90" t="s">
        <v>762</v>
      </c>
      <c r="I6" s="93" t="s">
        <v>923</v>
      </c>
      <c r="J6" s="96"/>
      <c r="K6" s="96"/>
      <c r="L6" s="69"/>
      <c r="M6" s="69" t="s">
        <v>763</v>
      </c>
      <c r="N6" s="39">
        <v>2</v>
      </c>
      <c r="O6" s="141" t="s">
        <v>764</v>
      </c>
      <c r="P6" s="141" t="s">
        <v>765</v>
      </c>
      <c r="Q6" s="141" t="s">
        <v>22</v>
      </c>
      <c r="R6" s="141"/>
      <c r="S6" s="141"/>
      <c r="T6" s="29">
        <v>0</v>
      </c>
      <c r="U6" s="145">
        <v>0</v>
      </c>
      <c r="V6" s="145">
        <v>0</v>
      </c>
      <c r="W6" s="145">
        <v>0</v>
      </c>
      <c r="X6" s="145">
        <v>0</v>
      </c>
      <c r="Y6" s="145">
        <v>0</v>
      </c>
      <c r="Z6" s="145">
        <v>0</v>
      </c>
      <c r="AA6" s="142">
        <f t="shared" si="0"/>
        <v>0</v>
      </c>
      <c r="AB6" s="141"/>
      <c r="AC6" s="67"/>
      <c r="AD6" s="67"/>
      <c r="AE6" s="24"/>
      <c r="AF6" s="24"/>
      <c r="AG6" s="24"/>
    </row>
    <row r="7" spans="1:33" ht="63.75">
      <c r="A7" s="153">
        <v>4</v>
      </c>
      <c r="B7" s="153" t="s">
        <v>57</v>
      </c>
      <c r="C7" s="153" t="s">
        <v>61</v>
      </c>
      <c r="D7" s="28" t="s">
        <v>677</v>
      </c>
      <c r="E7" s="59">
        <v>4</v>
      </c>
      <c r="F7" s="59">
        <v>4</v>
      </c>
      <c r="G7" s="90">
        <v>45922</v>
      </c>
      <c r="H7" s="90">
        <v>45936</v>
      </c>
      <c r="I7" s="93" t="s">
        <v>924</v>
      </c>
      <c r="J7" s="96" t="s">
        <v>768</v>
      </c>
      <c r="K7" s="96"/>
      <c r="L7" s="69"/>
      <c r="M7" s="69" t="s">
        <v>769</v>
      </c>
      <c r="N7" s="39">
        <v>2</v>
      </c>
      <c r="O7" s="141" t="s">
        <v>764</v>
      </c>
      <c r="P7" s="141" t="s">
        <v>770</v>
      </c>
      <c r="Q7" s="141" t="s">
        <v>26</v>
      </c>
      <c r="R7" s="141"/>
      <c r="S7" s="141"/>
      <c r="T7" s="29">
        <v>0</v>
      </c>
      <c r="U7" s="145">
        <v>0</v>
      </c>
      <c r="V7" s="145">
        <v>0</v>
      </c>
      <c r="W7" s="145">
        <v>0</v>
      </c>
      <c r="X7" s="145">
        <v>0</v>
      </c>
      <c r="Y7" s="145">
        <v>0</v>
      </c>
      <c r="Z7" s="145">
        <v>0</v>
      </c>
      <c r="AA7" s="142">
        <f t="shared" si="0"/>
        <v>0</v>
      </c>
      <c r="AB7" s="141"/>
      <c r="AC7" s="67"/>
      <c r="AD7" s="67"/>
      <c r="AE7" s="24"/>
      <c r="AF7" s="24"/>
      <c r="AG7" s="24"/>
    </row>
    <row r="8" spans="1:33" ht="61.5">
      <c r="A8" s="153">
        <v>5</v>
      </c>
      <c r="B8" s="153" t="s">
        <v>57</v>
      </c>
      <c r="C8" s="153" t="s">
        <v>61</v>
      </c>
      <c r="D8" s="28" t="s">
        <v>611</v>
      </c>
      <c r="E8" s="59">
        <v>3</v>
      </c>
      <c r="F8" s="59">
        <v>4</v>
      </c>
      <c r="G8" s="90">
        <v>45909</v>
      </c>
      <c r="H8" s="90">
        <v>45951</v>
      </c>
      <c r="I8" s="93" t="s">
        <v>612</v>
      </c>
      <c r="J8" s="96" t="s">
        <v>613</v>
      </c>
      <c r="K8" s="96"/>
      <c r="L8" s="69"/>
      <c r="M8" s="69" t="s">
        <v>772</v>
      </c>
      <c r="N8" s="39">
        <v>2</v>
      </c>
      <c r="O8" s="141" t="s">
        <v>753</v>
      </c>
      <c r="P8" s="141" t="s">
        <v>770</v>
      </c>
      <c r="Q8" s="141" t="s">
        <v>26</v>
      </c>
      <c r="R8" s="141"/>
      <c r="S8" s="141"/>
      <c r="T8" s="29">
        <v>0</v>
      </c>
      <c r="U8" s="145">
        <v>0</v>
      </c>
      <c r="V8" s="145">
        <v>0</v>
      </c>
      <c r="W8" s="145">
        <v>0</v>
      </c>
      <c r="X8" s="145">
        <v>0</v>
      </c>
      <c r="Y8" s="145">
        <v>0</v>
      </c>
      <c r="Z8" s="145">
        <v>0</v>
      </c>
      <c r="AA8" s="142">
        <f t="shared" si="0"/>
        <v>0</v>
      </c>
      <c r="AB8" s="141"/>
      <c r="AC8" s="67"/>
      <c r="AD8" s="67"/>
      <c r="AE8" s="24"/>
      <c r="AF8" s="24"/>
      <c r="AG8" s="24"/>
    </row>
    <row r="9" spans="1:33" ht="102">
      <c r="A9" s="153">
        <v>6</v>
      </c>
      <c r="B9" s="153" t="s">
        <v>57</v>
      </c>
      <c r="C9" s="153" t="s">
        <v>61</v>
      </c>
      <c r="D9" s="28" t="s">
        <v>693</v>
      </c>
      <c r="E9" s="59">
        <v>3</v>
      </c>
      <c r="F9" s="59">
        <v>4</v>
      </c>
      <c r="G9" s="90"/>
      <c r="H9" s="90">
        <v>45936</v>
      </c>
      <c r="I9" s="93" t="s">
        <v>925</v>
      </c>
      <c r="J9" s="96" t="s">
        <v>695</v>
      </c>
      <c r="K9" s="96"/>
      <c r="L9" s="69"/>
      <c r="M9" s="69" t="s">
        <v>775</v>
      </c>
      <c r="N9" s="39">
        <v>2</v>
      </c>
      <c r="O9" s="141" t="s">
        <v>764</v>
      </c>
      <c r="P9" s="141" t="s">
        <v>770</v>
      </c>
      <c r="Q9" s="141" t="s">
        <v>26</v>
      </c>
      <c r="R9" s="141"/>
      <c r="S9" s="141"/>
      <c r="T9" s="29">
        <v>0</v>
      </c>
      <c r="U9" s="145">
        <v>0</v>
      </c>
      <c r="V9" s="145">
        <v>0</v>
      </c>
      <c r="W9" s="145">
        <v>0</v>
      </c>
      <c r="X9" s="145">
        <v>0</v>
      </c>
      <c r="Y9" s="145">
        <v>0</v>
      </c>
      <c r="Z9" s="145">
        <v>0</v>
      </c>
      <c r="AA9" s="142">
        <f t="shared" si="0"/>
        <v>0</v>
      </c>
      <c r="AB9" s="141"/>
      <c r="AC9" s="67"/>
      <c r="AD9" s="67"/>
      <c r="AE9" s="24"/>
      <c r="AF9" s="24"/>
      <c r="AG9" s="24"/>
    </row>
    <row r="10" spans="1:33" ht="102">
      <c r="A10" s="153">
        <v>7</v>
      </c>
      <c r="B10" s="153" t="s">
        <v>57</v>
      </c>
      <c r="C10" s="153" t="s">
        <v>61</v>
      </c>
      <c r="D10" s="28" t="s">
        <v>617</v>
      </c>
      <c r="E10" s="59">
        <v>4</v>
      </c>
      <c r="F10" s="59">
        <v>4</v>
      </c>
      <c r="G10" s="90">
        <v>45923</v>
      </c>
      <c r="H10" s="90">
        <v>45926</v>
      </c>
      <c r="I10" s="93" t="s">
        <v>926</v>
      </c>
      <c r="J10" s="96" t="s">
        <v>777</v>
      </c>
      <c r="K10" s="96"/>
      <c r="L10" s="69"/>
      <c r="M10" s="69" t="s">
        <v>775</v>
      </c>
      <c r="N10" s="39">
        <v>2</v>
      </c>
      <c r="O10" s="141" t="s">
        <v>150</v>
      </c>
      <c r="P10" s="141" t="s">
        <v>764</v>
      </c>
      <c r="Q10" s="141" t="s">
        <v>26</v>
      </c>
      <c r="R10" s="141"/>
      <c r="S10" s="141"/>
      <c r="T10" s="29">
        <v>0</v>
      </c>
      <c r="U10" s="145">
        <v>0</v>
      </c>
      <c r="V10" s="145">
        <v>0</v>
      </c>
      <c r="W10" s="145">
        <v>0</v>
      </c>
      <c r="X10" s="145">
        <v>0</v>
      </c>
      <c r="Y10" s="145">
        <v>0</v>
      </c>
      <c r="Z10" s="145">
        <v>0</v>
      </c>
      <c r="AA10" s="142">
        <f t="shared" si="0"/>
        <v>0</v>
      </c>
      <c r="AB10" s="141"/>
      <c r="AC10" s="67"/>
      <c r="AD10" s="67"/>
      <c r="AE10" s="24"/>
      <c r="AF10" s="24"/>
      <c r="AG10" s="24"/>
    </row>
    <row r="11" spans="1:33" ht="89.25">
      <c r="A11" s="153">
        <v>8</v>
      </c>
      <c r="B11" s="153" t="s">
        <v>57</v>
      </c>
      <c r="C11" s="153" t="s">
        <v>61</v>
      </c>
      <c r="D11" s="28" t="s">
        <v>615</v>
      </c>
      <c r="E11" s="59">
        <v>5</v>
      </c>
      <c r="F11" s="59">
        <v>5</v>
      </c>
      <c r="G11" s="90">
        <v>45919</v>
      </c>
      <c r="H11" s="90">
        <v>45933</v>
      </c>
      <c r="I11" s="93" t="s">
        <v>927</v>
      </c>
      <c r="J11" s="96"/>
      <c r="K11" s="96"/>
      <c r="L11" s="69"/>
      <c r="M11" s="69" t="s">
        <v>780</v>
      </c>
      <c r="N11" s="39">
        <v>3</v>
      </c>
      <c r="O11" s="141" t="s">
        <v>764</v>
      </c>
      <c r="P11" s="141" t="s">
        <v>770</v>
      </c>
      <c r="Q11" s="141" t="s">
        <v>14</v>
      </c>
      <c r="R11" s="141"/>
      <c r="S11" s="141"/>
      <c r="T11" s="29">
        <v>0</v>
      </c>
      <c r="U11" s="145">
        <v>0</v>
      </c>
      <c r="V11" s="145">
        <v>0</v>
      </c>
      <c r="W11" s="145">
        <v>0</v>
      </c>
      <c r="X11" s="145">
        <v>0</v>
      </c>
      <c r="Y11" s="145">
        <v>0</v>
      </c>
      <c r="Z11" s="145">
        <v>0</v>
      </c>
      <c r="AA11" s="142">
        <f t="shared" si="0"/>
        <v>0</v>
      </c>
      <c r="AB11" s="141"/>
      <c r="AC11" s="67"/>
      <c r="AD11" s="67"/>
      <c r="AE11" s="24"/>
      <c r="AF11" s="24"/>
      <c r="AG11" s="24"/>
    </row>
    <row r="12" spans="1:33" ht="63.75">
      <c r="A12" s="153">
        <v>9</v>
      </c>
      <c r="B12" s="153" t="s">
        <v>57</v>
      </c>
      <c r="C12" s="153" t="s">
        <v>61</v>
      </c>
      <c r="D12" s="28" t="s">
        <v>246</v>
      </c>
      <c r="E12" s="59">
        <v>2</v>
      </c>
      <c r="F12" s="59">
        <v>2</v>
      </c>
      <c r="G12" s="90">
        <v>45905</v>
      </c>
      <c r="H12" s="90">
        <v>45933</v>
      </c>
      <c r="I12" s="93" t="s">
        <v>782</v>
      </c>
      <c r="J12" s="96" t="s">
        <v>783</v>
      </c>
      <c r="K12" s="96" t="s">
        <v>702</v>
      </c>
      <c r="L12" s="69"/>
      <c r="M12" s="69" t="s">
        <v>784</v>
      </c>
      <c r="N12" s="39">
        <v>2</v>
      </c>
      <c r="O12" s="141" t="s">
        <v>150</v>
      </c>
      <c r="P12" s="141" t="s">
        <v>753</v>
      </c>
      <c r="Q12" s="141" t="s">
        <v>14</v>
      </c>
      <c r="R12" s="141"/>
      <c r="S12" s="141"/>
      <c r="T12" s="29">
        <v>0</v>
      </c>
      <c r="U12" s="145">
        <v>0</v>
      </c>
      <c r="V12" s="145">
        <v>0</v>
      </c>
      <c r="W12" s="145">
        <v>0</v>
      </c>
      <c r="X12" s="145">
        <v>0</v>
      </c>
      <c r="Y12" s="145">
        <v>0</v>
      </c>
      <c r="Z12" s="145">
        <v>0</v>
      </c>
      <c r="AA12" s="142">
        <f t="shared" si="0"/>
        <v>0</v>
      </c>
      <c r="AB12" s="141"/>
      <c r="AC12" s="67"/>
      <c r="AD12" s="67"/>
      <c r="AE12" s="24"/>
      <c r="AF12" s="24"/>
      <c r="AG12" s="24"/>
    </row>
    <row r="13" spans="1:33" ht="76.5">
      <c r="A13" s="153">
        <v>10</v>
      </c>
      <c r="B13" s="153" t="s">
        <v>57</v>
      </c>
      <c r="C13" s="153" t="s">
        <v>61</v>
      </c>
      <c r="D13" s="28" t="s">
        <v>633</v>
      </c>
      <c r="E13" s="59">
        <v>4</v>
      </c>
      <c r="F13" s="59">
        <v>4</v>
      </c>
      <c r="G13" s="90">
        <v>45916</v>
      </c>
      <c r="H13" s="90">
        <v>45933</v>
      </c>
      <c r="I13" s="93" t="s">
        <v>928</v>
      </c>
      <c r="J13" s="96" t="s">
        <v>635</v>
      </c>
      <c r="K13" s="96"/>
      <c r="L13" s="69"/>
      <c r="M13" s="69" t="s">
        <v>787</v>
      </c>
      <c r="N13" s="39">
        <v>3</v>
      </c>
      <c r="O13" s="141" t="s">
        <v>764</v>
      </c>
      <c r="P13" s="141" t="s">
        <v>770</v>
      </c>
      <c r="Q13" s="141" t="s">
        <v>14</v>
      </c>
      <c r="R13" s="141"/>
      <c r="S13" s="141"/>
      <c r="T13" s="29">
        <v>0</v>
      </c>
      <c r="U13" s="145">
        <v>0</v>
      </c>
      <c r="V13" s="145">
        <v>0</v>
      </c>
      <c r="W13" s="145">
        <v>0</v>
      </c>
      <c r="X13" s="145">
        <v>0</v>
      </c>
      <c r="Y13" s="145">
        <v>0</v>
      </c>
      <c r="Z13" s="145">
        <v>0</v>
      </c>
      <c r="AA13" s="142">
        <f t="shared" si="0"/>
        <v>0</v>
      </c>
      <c r="AB13" s="141"/>
      <c r="AC13" s="67"/>
      <c r="AD13" s="67"/>
      <c r="AE13" s="24"/>
      <c r="AF13" s="24"/>
      <c r="AG13" s="24"/>
    </row>
    <row r="14" spans="1:33" ht="63.75">
      <c r="A14" s="153">
        <v>11</v>
      </c>
      <c r="B14" s="153" t="s">
        <v>57</v>
      </c>
      <c r="C14" s="153" t="s">
        <v>61</v>
      </c>
      <c r="D14" s="28" t="s">
        <v>643</v>
      </c>
      <c r="E14" s="59">
        <v>3</v>
      </c>
      <c r="F14" s="59">
        <v>3</v>
      </c>
      <c r="G14" s="90">
        <v>45919</v>
      </c>
      <c r="H14" s="90">
        <v>45960</v>
      </c>
      <c r="I14" s="93" t="s">
        <v>929</v>
      </c>
      <c r="J14" s="96" t="s">
        <v>645</v>
      </c>
      <c r="K14" s="96"/>
      <c r="L14" s="69"/>
      <c r="M14" s="69" t="s">
        <v>789</v>
      </c>
      <c r="N14" s="39">
        <v>2</v>
      </c>
      <c r="O14" s="141" t="s">
        <v>764</v>
      </c>
      <c r="P14" s="141" t="s">
        <v>770</v>
      </c>
      <c r="Q14" s="141" t="s">
        <v>6</v>
      </c>
      <c r="R14" s="141"/>
      <c r="S14" s="141"/>
      <c r="T14" s="29">
        <v>0</v>
      </c>
      <c r="U14" s="145">
        <v>0</v>
      </c>
      <c r="V14" s="145">
        <v>0</v>
      </c>
      <c r="W14" s="145">
        <v>0</v>
      </c>
      <c r="X14" s="145">
        <v>0</v>
      </c>
      <c r="Y14" s="145">
        <v>0</v>
      </c>
      <c r="Z14" s="145">
        <v>0</v>
      </c>
      <c r="AA14" s="142">
        <f t="shared" si="0"/>
        <v>0</v>
      </c>
      <c r="AB14" s="141"/>
      <c r="AC14" s="67"/>
      <c r="AD14" s="67"/>
      <c r="AE14" s="24"/>
      <c r="AF14" s="24"/>
      <c r="AG14" s="24"/>
    </row>
    <row r="15" spans="1:33" ht="61.5">
      <c r="A15" s="153">
        <v>12</v>
      </c>
      <c r="B15" s="153" t="s">
        <v>57</v>
      </c>
      <c r="C15" s="153" t="s">
        <v>61</v>
      </c>
      <c r="D15" s="28" t="s">
        <v>703</v>
      </c>
      <c r="E15" s="59">
        <v>2</v>
      </c>
      <c r="F15" s="59">
        <v>2</v>
      </c>
      <c r="G15" s="90">
        <v>45915</v>
      </c>
      <c r="H15" s="90">
        <v>45924</v>
      </c>
      <c r="I15" s="93"/>
      <c r="J15" s="96" t="s">
        <v>704</v>
      </c>
      <c r="K15" s="96"/>
      <c r="L15" s="69"/>
      <c r="M15" s="69" t="s">
        <v>791</v>
      </c>
      <c r="N15" s="39">
        <v>2</v>
      </c>
      <c r="O15" s="141" t="s">
        <v>764</v>
      </c>
      <c r="P15" s="141" t="s">
        <v>770</v>
      </c>
      <c r="Q15" s="141" t="s">
        <v>6</v>
      </c>
      <c r="R15" s="141"/>
      <c r="S15" s="141"/>
      <c r="T15" s="29">
        <v>0</v>
      </c>
      <c r="U15" s="145">
        <v>0</v>
      </c>
      <c r="V15" s="145">
        <v>0</v>
      </c>
      <c r="W15" s="145">
        <v>0</v>
      </c>
      <c r="X15" s="145">
        <v>0</v>
      </c>
      <c r="Y15" s="145">
        <v>0</v>
      </c>
      <c r="Z15" s="145">
        <v>0</v>
      </c>
      <c r="AA15" s="142">
        <f t="shared" si="0"/>
        <v>0</v>
      </c>
      <c r="AB15" s="141"/>
      <c r="AC15" s="67"/>
      <c r="AD15" s="67"/>
      <c r="AE15" s="24"/>
      <c r="AF15" s="24"/>
      <c r="AG15" s="24"/>
    </row>
    <row r="16" spans="1:33" ht="61.5">
      <c r="A16" s="153">
        <v>13</v>
      </c>
      <c r="B16" s="153" t="s">
        <v>57</v>
      </c>
      <c r="C16" s="153" t="s">
        <v>61</v>
      </c>
      <c r="D16" s="28" t="s">
        <v>630</v>
      </c>
      <c r="E16" s="59">
        <v>2</v>
      </c>
      <c r="F16" s="59">
        <v>4</v>
      </c>
      <c r="G16" s="90"/>
      <c r="H16" s="90">
        <v>45925</v>
      </c>
      <c r="I16" s="93"/>
      <c r="J16" s="96" t="s">
        <v>632</v>
      </c>
      <c r="K16" s="96"/>
      <c r="L16" s="69"/>
      <c r="M16" s="69" t="s">
        <v>793</v>
      </c>
      <c r="N16" s="39">
        <v>1</v>
      </c>
      <c r="O16" s="141" t="s">
        <v>794</v>
      </c>
      <c r="P16" s="141" t="s">
        <v>765</v>
      </c>
      <c r="Q16" s="141" t="s">
        <v>6</v>
      </c>
      <c r="R16" s="21"/>
      <c r="S16" s="141"/>
      <c r="T16" s="29">
        <v>0</v>
      </c>
      <c r="U16" s="145">
        <v>0</v>
      </c>
      <c r="V16" s="145">
        <v>0</v>
      </c>
      <c r="W16" s="145">
        <v>0</v>
      </c>
      <c r="X16" s="145">
        <v>0</v>
      </c>
      <c r="Y16" s="145">
        <v>0</v>
      </c>
      <c r="Z16" s="145">
        <v>0</v>
      </c>
      <c r="AA16" s="142">
        <f t="shared" si="0"/>
        <v>0</v>
      </c>
      <c r="AB16" s="141"/>
      <c r="AC16" s="67"/>
      <c r="AD16" s="67"/>
      <c r="AE16" s="24"/>
      <c r="AF16" s="24"/>
      <c r="AG16" s="24"/>
    </row>
    <row r="17" spans="1:33" ht="61.5">
      <c r="A17" s="153">
        <v>14</v>
      </c>
      <c r="B17" s="153" t="s">
        <v>57</v>
      </c>
      <c r="C17" s="153" t="s">
        <v>61</v>
      </c>
      <c r="D17" s="28" t="s">
        <v>639</v>
      </c>
      <c r="E17" s="59"/>
      <c r="F17" s="59"/>
      <c r="G17" s="90"/>
      <c r="H17" s="90"/>
      <c r="I17" s="93"/>
      <c r="J17" s="96"/>
      <c r="K17" s="96"/>
      <c r="L17" s="69"/>
      <c r="M17" s="69" t="s">
        <v>796</v>
      </c>
      <c r="N17" s="39">
        <v>3</v>
      </c>
      <c r="O17" s="141" t="s">
        <v>794</v>
      </c>
      <c r="P17" s="141" t="s">
        <v>797</v>
      </c>
      <c r="Q17" s="141" t="s">
        <v>6</v>
      </c>
      <c r="R17" s="21"/>
      <c r="S17" s="141"/>
      <c r="T17" s="29">
        <v>0</v>
      </c>
      <c r="U17" s="145">
        <v>0</v>
      </c>
      <c r="V17" s="145">
        <v>0</v>
      </c>
      <c r="W17" s="145">
        <v>0</v>
      </c>
      <c r="X17" s="145">
        <v>0</v>
      </c>
      <c r="Y17" s="145">
        <v>0</v>
      </c>
      <c r="Z17" s="145">
        <v>0</v>
      </c>
      <c r="AA17" s="142">
        <f t="shared" si="0"/>
        <v>0</v>
      </c>
      <c r="AB17" s="141"/>
      <c r="AC17" s="67"/>
      <c r="AD17" s="67"/>
      <c r="AE17" s="24"/>
      <c r="AF17" s="24"/>
      <c r="AG17" s="24"/>
    </row>
    <row r="18" spans="1:33" ht="61.5">
      <c r="A18" s="153">
        <v>15</v>
      </c>
      <c r="B18" s="153" t="s">
        <v>57</v>
      </c>
      <c r="C18" s="153" t="s">
        <v>61</v>
      </c>
      <c r="D18" s="28" t="s">
        <v>697</v>
      </c>
      <c r="E18" s="59">
        <v>1</v>
      </c>
      <c r="F18" s="59">
        <v>4</v>
      </c>
      <c r="G18" s="90">
        <v>45778</v>
      </c>
      <c r="H18" s="90">
        <v>46023</v>
      </c>
      <c r="I18" s="93" t="s">
        <v>799</v>
      </c>
      <c r="J18" s="96" t="s">
        <v>699</v>
      </c>
      <c r="K18" s="96"/>
      <c r="L18" s="69"/>
      <c r="M18" s="69" t="s">
        <v>800</v>
      </c>
      <c r="N18" s="39">
        <v>2</v>
      </c>
      <c r="O18" s="141" t="s">
        <v>764</v>
      </c>
      <c r="P18" s="141" t="s">
        <v>770</v>
      </c>
      <c r="Q18" s="141" t="s">
        <v>6</v>
      </c>
      <c r="R18" s="21"/>
      <c r="S18" s="141"/>
      <c r="T18" s="29">
        <v>0</v>
      </c>
      <c r="U18" s="145">
        <v>0</v>
      </c>
      <c r="V18" s="145">
        <v>0</v>
      </c>
      <c r="W18" s="145">
        <v>0</v>
      </c>
      <c r="X18" s="145">
        <v>0</v>
      </c>
      <c r="Y18" s="145">
        <v>0</v>
      </c>
      <c r="Z18" s="145">
        <v>0</v>
      </c>
      <c r="AA18" s="142">
        <f t="shared" si="0"/>
        <v>0</v>
      </c>
      <c r="AB18" s="141"/>
      <c r="AC18" s="67"/>
      <c r="AD18" s="67"/>
      <c r="AE18" s="24"/>
      <c r="AF18" s="24"/>
      <c r="AG18" s="24"/>
    </row>
    <row r="19" spans="1:33" ht="61.5">
      <c r="A19" s="153">
        <v>16</v>
      </c>
      <c r="B19" s="153" t="s">
        <v>57</v>
      </c>
      <c r="C19" s="153" t="s">
        <v>65</v>
      </c>
      <c r="D19" s="28" t="s">
        <v>658</v>
      </c>
      <c r="E19" s="59">
        <v>4</v>
      </c>
      <c r="F19" s="59">
        <v>0</v>
      </c>
      <c r="G19" s="90">
        <v>45931</v>
      </c>
      <c r="H19" s="90" t="s">
        <v>762</v>
      </c>
      <c r="I19" s="93" t="s">
        <v>930</v>
      </c>
      <c r="J19" s="96" t="s">
        <v>803</v>
      </c>
      <c r="K19" s="96" t="s">
        <v>661</v>
      </c>
      <c r="L19" s="69"/>
      <c r="M19" s="69" t="s">
        <v>804</v>
      </c>
      <c r="N19" s="39">
        <v>2</v>
      </c>
      <c r="O19" s="141" t="s">
        <v>150</v>
      </c>
      <c r="P19" s="141" t="s">
        <v>805</v>
      </c>
      <c r="Q19" s="141"/>
      <c r="R19" s="141"/>
      <c r="S19" s="141"/>
      <c r="T19" s="29">
        <v>0</v>
      </c>
      <c r="U19" s="145">
        <v>0</v>
      </c>
      <c r="V19" s="145">
        <v>0</v>
      </c>
      <c r="W19" s="145">
        <v>0</v>
      </c>
      <c r="X19" s="145">
        <v>0</v>
      </c>
      <c r="Y19" s="145">
        <v>0</v>
      </c>
      <c r="Z19" s="145">
        <v>0</v>
      </c>
      <c r="AA19" s="142">
        <f t="shared" si="0"/>
        <v>0</v>
      </c>
      <c r="AB19" s="141"/>
      <c r="AC19" s="67"/>
      <c r="AD19" s="67"/>
      <c r="AE19" s="24"/>
      <c r="AF19" s="24"/>
      <c r="AG19" s="24"/>
    </row>
    <row r="20" spans="1:33" ht="153">
      <c r="A20" s="153">
        <v>17</v>
      </c>
      <c r="B20" s="153" t="s">
        <v>57</v>
      </c>
      <c r="C20" s="153" t="s">
        <v>65</v>
      </c>
      <c r="D20" s="28" t="s">
        <v>624</v>
      </c>
      <c r="E20" s="59">
        <v>4</v>
      </c>
      <c r="F20" s="59">
        <v>4</v>
      </c>
      <c r="G20" s="90">
        <v>45930</v>
      </c>
      <c r="H20" s="90">
        <v>45937</v>
      </c>
      <c r="I20" s="93" t="s">
        <v>945</v>
      </c>
      <c r="J20" s="96" t="s">
        <v>946</v>
      </c>
      <c r="K20" s="96" t="s">
        <v>932</v>
      </c>
      <c r="L20" s="69"/>
      <c r="M20" s="69" t="s">
        <v>947</v>
      </c>
      <c r="N20" s="39">
        <v>2</v>
      </c>
      <c r="O20" s="141" t="s">
        <v>123</v>
      </c>
      <c r="P20" s="141" t="s">
        <v>811</v>
      </c>
      <c r="Q20" s="141"/>
      <c r="R20" s="141"/>
      <c r="S20" s="141"/>
      <c r="T20" s="29">
        <v>5</v>
      </c>
      <c r="U20" s="145">
        <v>4</v>
      </c>
      <c r="V20" s="145">
        <v>0</v>
      </c>
      <c r="W20" s="145">
        <v>2</v>
      </c>
      <c r="X20" s="145">
        <v>3</v>
      </c>
      <c r="Y20" s="145">
        <v>2</v>
      </c>
      <c r="Z20" s="145">
        <v>2</v>
      </c>
      <c r="AA20" s="142">
        <f t="shared" si="0"/>
        <v>2.5714285714285716</v>
      </c>
      <c r="AB20" s="141"/>
      <c r="AC20" s="67"/>
      <c r="AD20" s="67"/>
      <c r="AE20" s="24"/>
      <c r="AF20" s="24"/>
      <c r="AG20" s="24"/>
    </row>
    <row r="21" spans="1:33" ht="89.25">
      <c r="A21" s="153">
        <v>18</v>
      </c>
      <c r="B21" s="153" t="s">
        <v>57</v>
      </c>
      <c r="C21" s="153" t="s">
        <v>65</v>
      </c>
      <c r="D21" s="28" t="s">
        <v>620</v>
      </c>
      <c r="E21" s="59">
        <v>4</v>
      </c>
      <c r="F21" s="59">
        <v>4</v>
      </c>
      <c r="G21" s="90">
        <v>45930</v>
      </c>
      <c r="H21" s="90">
        <v>45937</v>
      </c>
      <c r="I21" s="93" t="s">
        <v>948</v>
      </c>
      <c r="J21" s="96"/>
      <c r="K21" s="96" t="s">
        <v>949</v>
      </c>
      <c r="L21" s="69"/>
      <c r="M21" s="69" t="s">
        <v>950</v>
      </c>
      <c r="N21" s="39">
        <v>1</v>
      </c>
      <c r="O21" s="141" t="s">
        <v>123</v>
      </c>
      <c r="P21" s="141" t="s">
        <v>811</v>
      </c>
      <c r="Q21" s="141"/>
      <c r="R21" s="141"/>
      <c r="S21" s="141"/>
      <c r="T21" s="29">
        <v>3</v>
      </c>
      <c r="U21" s="145">
        <v>2</v>
      </c>
      <c r="V21" s="145">
        <v>4</v>
      </c>
      <c r="W21" s="145">
        <v>3</v>
      </c>
      <c r="X21" s="145">
        <v>0</v>
      </c>
      <c r="Y21" s="145">
        <v>2</v>
      </c>
      <c r="Z21" s="145">
        <v>4</v>
      </c>
      <c r="AA21" s="142">
        <f t="shared" si="0"/>
        <v>2.5714285714285716</v>
      </c>
      <c r="AB21" s="141"/>
      <c r="AC21" s="67"/>
      <c r="AD21" s="67"/>
      <c r="AE21" s="24"/>
      <c r="AF21" s="24"/>
      <c r="AG21" s="24"/>
    </row>
    <row r="22" spans="1:33" ht="191.25">
      <c r="A22" s="153">
        <v>19</v>
      </c>
      <c r="B22" s="153" t="s">
        <v>57</v>
      </c>
      <c r="C22" s="153" t="s">
        <v>65</v>
      </c>
      <c r="D22" s="28" t="s">
        <v>665</v>
      </c>
      <c r="E22" s="59">
        <v>4</v>
      </c>
      <c r="F22" s="59">
        <v>4</v>
      </c>
      <c r="G22" s="90">
        <v>45931</v>
      </c>
      <c r="H22" s="90">
        <v>45937</v>
      </c>
      <c r="I22" s="93" t="s">
        <v>951</v>
      </c>
      <c r="J22" s="96"/>
      <c r="K22" s="96" t="s">
        <v>952</v>
      </c>
      <c r="L22" s="69"/>
      <c r="M22" s="69" t="s">
        <v>953</v>
      </c>
      <c r="N22" s="39">
        <v>1</v>
      </c>
      <c r="O22" s="141" t="s">
        <v>123</v>
      </c>
      <c r="P22" s="141" t="s">
        <v>797</v>
      </c>
      <c r="Q22" s="141"/>
      <c r="R22" s="141"/>
      <c r="S22" s="141"/>
      <c r="T22" s="29">
        <v>0</v>
      </c>
      <c r="U22" s="145">
        <v>0</v>
      </c>
      <c r="V22" s="145">
        <v>0</v>
      </c>
      <c r="W22" s="145">
        <v>0</v>
      </c>
      <c r="X22" s="145">
        <v>0</v>
      </c>
      <c r="Y22" s="145">
        <v>0</v>
      </c>
      <c r="Z22" s="145">
        <v>0</v>
      </c>
      <c r="AA22" s="142">
        <f t="shared" si="0"/>
        <v>0</v>
      </c>
      <c r="AB22" s="141"/>
      <c r="AC22" s="67"/>
      <c r="AD22" s="67"/>
      <c r="AE22" s="24"/>
      <c r="AF22" s="24"/>
      <c r="AG22" s="24"/>
    </row>
    <row r="23" spans="1:33" ht="140.25">
      <c r="A23" s="153">
        <v>20</v>
      </c>
      <c r="B23" s="153" t="s">
        <v>57</v>
      </c>
      <c r="C23" s="153" t="s">
        <v>65</v>
      </c>
      <c r="D23" s="28" t="s">
        <v>690</v>
      </c>
      <c r="E23" s="59">
        <v>4</v>
      </c>
      <c r="F23" s="59">
        <v>4</v>
      </c>
      <c r="G23" s="90">
        <v>45930</v>
      </c>
      <c r="H23" s="90">
        <v>45936</v>
      </c>
      <c r="I23" s="93" t="s">
        <v>954</v>
      </c>
      <c r="J23" s="96" t="s">
        <v>955</v>
      </c>
      <c r="K23" s="96" t="s">
        <v>956</v>
      </c>
      <c r="L23" s="69"/>
      <c r="M23" s="69" t="s">
        <v>957</v>
      </c>
      <c r="N23" s="39">
        <v>3</v>
      </c>
      <c r="O23" s="141" t="s">
        <v>123</v>
      </c>
      <c r="P23" s="141" t="s">
        <v>816</v>
      </c>
      <c r="Q23" s="141"/>
      <c r="R23" s="141"/>
      <c r="S23" s="141"/>
      <c r="T23" s="29">
        <v>0</v>
      </c>
      <c r="U23" s="145">
        <v>0</v>
      </c>
      <c r="V23" s="145">
        <v>0</v>
      </c>
      <c r="W23" s="145">
        <v>0</v>
      </c>
      <c r="X23" s="145">
        <v>0</v>
      </c>
      <c r="Y23" s="145">
        <v>0</v>
      </c>
      <c r="Z23" s="145">
        <v>0</v>
      </c>
      <c r="AA23" s="142">
        <f t="shared" si="0"/>
        <v>0</v>
      </c>
      <c r="AB23" s="141"/>
      <c r="AC23" s="67"/>
      <c r="AD23" s="67"/>
      <c r="AE23" s="24"/>
      <c r="AF23" s="24"/>
      <c r="AG23" s="24"/>
    </row>
    <row r="24" spans="1:33" ht="61.5">
      <c r="A24" s="153">
        <v>21</v>
      </c>
      <c r="B24" s="153" t="s">
        <v>57</v>
      </c>
      <c r="C24" s="153" t="s">
        <v>65</v>
      </c>
      <c r="D24" s="28" t="s">
        <v>646</v>
      </c>
      <c r="E24" s="59">
        <v>3</v>
      </c>
      <c r="F24" s="59">
        <v>4</v>
      </c>
      <c r="G24" s="90"/>
      <c r="H24" s="90"/>
      <c r="I24" s="93"/>
      <c r="J24" s="96" t="s">
        <v>958</v>
      </c>
      <c r="K24" s="96" t="s">
        <v>647</v>
      </c>
      <c r="L24" s="69"/>
      <c r="M24" s="69"/>
      <c r="N24" s="39">
        <v>3</v>
      </c>
      <c r="O24" s="141" t="s">
        <v>409</v>
      </c>
      <c r="P24" s="141" t="s">
        <v>805</v>
      </c>
      <c r="Q24" s="141"/>
      <c r="R24" s="141"/>
      <c r="S24" s="141"/>
      <c r="T24" s="29">
        <v>0</v>
      </c>
      <c r="U24" s="145">
        <v>0</v>
      </c>
      <c r="V24" s="145">
        <v>0</v>
      </c>
      <c r="W24" s="145">
        <v>0</v>
      </c>
      <c r="X24" s="145">
        <v>0</v>
      </c>
      <c r="Y24" s="145">
        <v>0</v>
      </c>
      <c r="Z24" s="145">
        <v>0</v>
      </c>
      <c r="AA24" s="142">
        <f t="shared" si="0"/>
        <v>0</v>
      </c>
      <c r="AB24" s="141"/>
      <c r="AC24" s="67"/>
      <c r="AD24" s="67"/>
      <c r="AE24" s="24"/>
      <c r="AF24" s="24"/>
      <c r="AG24" s="24"/>
    </row>
    <row r="25" spans="1:33" ht="76.5">
      <c r="A25" s="153">
        <v>22</v>
      </c>
      <c r="B25" s="153" t="s">
        <v>57</v>
      </c>
      <c r="C25" s="153" t="s">
        <v>65</v>
      </c>
      <c r="D25" s="28" t="s">
        <v>125</v>
      </c>
      <c r="E25" s="59">
        <v>0</v>
      </c>
      <c r="F25" s="59">
        <v>2</v>
      </c>
      <c r="G25" s="90"/>
      <c r="H25" s="90"/>
      <c r="I25" s="93" t="s">
        <v>959</v>
      </c>
      <c r="J25" s="96" t="s">
        <v>960</v>
      </c>
      <c r="K25" s="96" t="s">
        <v>961</v>
      </c>
      <c r="L25" s="69"/>
      <c r="M25" s="69" t="s">
        <v>962</v>
      </c>
      <c r="N25" s="39">
        <v>3</v>
      </c>
      <c r="O25" s="141" t="s">
        <v>123</v>
      </c>
      <c r="P25" s="141" t="s">
        <v>797</v>
      </c>
      <c r="Q25" s="141"/>
      <c r="R25" s="141"/>
      <c r="S25" s="141"/>
      <c r="T25" s="29">
        <v>0</v>
      </c>
      <c r="U25" s="145">
        <v>0</v>
      </c>
      <c r="V25" s="145">
        <v>0</v>
      </c>
      <c r="W25" s="145">
        <v>0</v>
      </c>
      <c r="X25" s="145">
        <v>0</v>
      </c>
      <c r="Y25" s="145">
        <v>0</v>
      </c>
      <c r="Z25" s="145">
        <v>0</v>
      </c>
      <c r="AA25" s="142">
        <f t="shared" si="0"/>
        <v>0</v>
      </c>
      <c r="AB25" s="141"/>
      <c r="AC25" s="67"/>
      <c r="AD25" s="67"/>
      <c r="AE25" s="24"/>
      <c r="AF25" s="24"/>
      <c r="AG25" s="24"/>
    </row>
    <row r="26" spans="1:33" ht="61.5">
      <c r="A26" s="153">
        <v>23</v>
      </c>
      <c r="B26" s="153" t="s">
        <v>57</v>
      </c>
      <c r="C26" s="153" t="s">
        <v>65</v>
      </c>
      <c r="D26" s="28" t="s">
        <v>143</v>
      </c>
      <c r="E26" s="59"/>
      <c r="F26" s="59"/>
      <c r="G26" s="90"/>
      <c r="H26" s="90"/>
      <c r="I26" s="93"/>
      <c r="J26" s="96"/>
      <c r="K26" s="96"/>
      <c r="L26" s="69"/>
      <c r="M26" s="69" t="s">
        <v>820</v>
      </c>
      <c r="N26" s="39">
        <v>1</v>
      </c>
      <c r="O26" s="141" t="s">
        <v>794</v>
      </c>
      <c r="P26" s="141" t="s">
        <v>765</v>
      </c>
      <c r="Q26" s="141"/>
      <c r="R26" s="21"/>
      <c r="S26" s="141"/>
      <c r="T26" s="29">
        <v>0</v>
      </c>
      <c r="U26" s="145">
        <v>0</v>
      </c>
      <c r="V26" s="145">
        <v>0</v>
      </c>
      <c r="W26" s="145">
        <v>0</v>
      </c>
      <c r="X26" s="145">
        <v>0</v>
      </c>
      <c r="Y26" s="145">
        <v>0</v>
      </c>
      <c r="Z26" s="145">
        <v>0</v>
      </c>
      <c r="AA26" s="142">
        <f t="shared" si="0"/>
        <v>0</v>
      </c>
      <c r="AB26" s="141"/>
      <c r="AC26" s="67"/>
      <c r="AD26" s="67"/>
      <c r="AE26" s="24"/>
      <c r="AF26" s="24"/>
      <c r="AG26" s="24"/>
    </row>
    <row r="27" spans="1:33" ht="102">
      <c r="A27" s="153">
        <v>24</v>
      </c>
      <c r="B27" s="153" t="s">
        <v>57</v>
      </c>
      <c r="C27" s="153" t="s">
        <v>65</v>
      </c>
      <c r="D27" s="28" t="s">
        <v>655</v>
      </c>
      <c r="E27" s="59">
        <v>4</v>
      </c>
      <c r="F27" s="59">
        <v>5</v>
      </c>
      <c r="G27" s="90">
        <v>45933</v>
      </c>
      <c r="H27" s="90" t="s">
        <v>762</v>
      </c>
      <c r="I27" s="93" t="s">
        <v>963</v>
      </c>
      <c r="J27" s="96" t="s">
        <v>964</v>
      </c>
      <c r="K27" s="96" t="s">
        <v>965</v>
      </c>
      <c r="L27" s="69"/>
      <c r="M27" s="69" t="s">
        <v>966</v>
      </c>
      <c r="N27" s="39">
        <v>2</v>
      </c>
      <c r="O27" s="141" t="s">
        <v>123</v>
      </c>
      <c r="P27" s="141" t="s">
        <v>811</v>
      </c>
      <c r="Q27" s="141"/>
      <c r="R27" s="141"/>
      <c r="S27" s="141"/>
      <c r="T27" s="29">
        <v>0</v>
      </c>
      <c r="U27" s="145">
        <v>0</v>
      </c>
      <c r="V27" s="145">
        <v>0</v>
      </c>
      <c r="W27" s="145">
        <v>0</v>
      </c>
      <c r="X27" s="145">
        <v>0</v>
      </c>
      <c r="Y27" s="145">
        <v>0</v>
      </c>
      <c r="Z27" s="145">
        <v>0</v>
      </c>
      <c r="AA27" s="142">
        <f t="shared" si="0"/>
        <v>0</v>
      </c>
      <c r="AB27" s="141"/>
      <c r="AC27" s="67"/>
      <c r="AD27" s="67"/>
      <c r="AE27" s="24"/>
      <c r="AF27" s="24"/>
      <c r="AG27" s="24"/>
    </row>
    <row r="28" spans="1:33" ht="75">
      <c r="A28" s="153">
        <v>25</v>
      </c>
      <c r="B28" s="153" t="s">
        <v>57</v>
      </c>
      <c r="C28" s="153" t="s">
        <v>65</v>
      </c>
      <c r="D28" s="28" t="s">
        <v>650</v>
      </c>
      <c r="E28" s="59">
        <v>4</v>
      </c>
      <c r="F28" s="59">
        <v>3</v>
      </c>
      <c r="G28" s="90"/>
      <c r="H28" s="90">
        <v>45930</v>
      </c>
      <c r="I28" s="93" t="s">
        <v>826</v>
      </c>
      <c r="J28" s="96"/>
      <c r="K28" s="96" t="s">
        <v>935</v>
      </c>
      <c r="L28" s="69"/>
      <c r="M28" s="69" t="s">
        <v>827</v>
      </c>
      <c r="N28" s="39">
        <v>3</v>
      </c>
      <c r="O28" s="141" t="s">
        <v>150</v>
      </c>
      <c r="P28" s="141" t="s">
        <v>797</v>
      </c>
      <c r="Q28" s="141"/>
      <c r="R28" s="21"/>
      <c r="S28" s="141"/>
      <c r="T28" s="29">
        <v>0</v>
      </c>
      <c r="U28" s="145">
        <v>0</v>
      </c>
      <c r="V28" s="145">
        <v>0</v>
      </c>
      <c r="W28" s="145">
        <v>0</v>
      </c>
      <c r="X28" s="145">
        <v>0</v>
      </c>
      <c r="Y28" s="145">
        <v>0</v>
      </c>
      <c r="Z28" s="145">
        <v>0</v>
      </c>
      <c r="AA28" s="142">
        <f t="shared" si="0"/>
        <v>0</v>
      </c>
      <c r="AB28" s="141"/>
      <c r="AC28" s="67"/>
      <c r="AD28" s="67"/>
      <c r="AE28" s="24"/>
      <c r="AF28" s="24"/>
      <c r="AG28" s="24"/>
    </row>
    <row r="29" spans="1:33" ht="61.5">
      <c r="A29" s="153">
        <v>26</v>
      </c>
      <c r="B29" s="153" t="s">
        <v>57</v>
      </c>
      <c r="C29" s="153" t="s">
        <v>65</v>
      </c>
      <c r="D29" s="28" t="s">
        <v>176</v>
      </c>
      <c r="E29" s="59"/>
      <c r="F29" s="59"/>
      <c r="G29" s="90"/>
      <c r="H29" s="90"/>
      <c r="I29" s="93"/>
      <c r="J29" s="96"/>
      <c r="K29" s="96"/>
      <c r="L29" s="69"/>
      <c r="M29" s="69" t="s">
        <v>829</v>
      </c>
      <c r="N29" s="39">
        <v>1</v>
      </c>
      <c r="O29" s="141" t="s">
        <v>794</v>
      </c>
      <c r="P29" s="141" t="s">
        <v>797</v>
      </c>
      <c r="Q29" s="141"/>
      <c r="R29" s="141"/>
      <c r="S29" s="141"/>
      <c r="T29" s="29">
        <v>0</v>
      </c>
      <c r="U29" s="145">
        <v>0</v>
      </c>
      <c r="V29" s="145">
        <v>0</v>
      </c>
      <c r="W29" s="145">
        <v>0</v>
      </c>
      <c r="X29" s="145">
        <v>0</v>
      </c>
      <c r="Y29" s="145">
        <v>0</v>
      </c>
      <c r="Z29" s="145">
        <v>0</v>
      </c>
      <c r="AA29" s="142">
        <f t="shared" si="0"/>
        <v>0</v>
      </c>
      <c r="AB29" s="141"/>
      <c r="AC29" s="67"/>
      <c r="AD29" s="67"/>
      <c r="AE29" s="24"/>
      <c r="AF29" s="24"/>
      <c r="AG29" s="24"/>
    </row>
    <row r="30" spans="1:33" ht="63.75">
      <c r="A30" s="153">
        <v>27</v>
      </c>
      <c r="B30" s="153" t="s">
        <v>57</v>
      </c>
      <c r="C30" s="153" t="s">
        <v>65</v>
      </c>
      <c r="D30" s="28" t="s">
        <v>688</v>
      </c>
      <c r="E30" s="59"/>
      <c r="F30" s="59"/>
      <c r="G30" s="90">
        <v>45870</v>
      </c>
      <c r="H30" s="90">
        <v>45936</v>
      </c>
      <c r="I30" s="93" t="s">
        <v>967</v>
      </c>
      <c r="J30" s="96"/>
      <c r="K30" s="96"/>
      <c r="L30" s="69"/>
      <c r="M30" s="69" t="s">
        <v>968</v>
      </c>
      <c r="N30" s="39">
        <v>1</v>
      </c>
      <c r="O30" s="141" t="s">
        <v>123</v>
      </c>
      <c r="P30" s="141" t="s">
        <v>805</v>
      </c>
      <c r="Q30" s="141"/>
      <c r="R30" s="141"/>
      <c r="S30" s="141"/>
      <c r="T30" s="29">
        <v>0</v>
      </c>
      <c r="U30" s="145">
        <v>0</v>
      </c>
      <c r="V30" s="145">
        <v>0</v>
      </c>
      <c r="W30" s="145">
        <v>0</v>
      </c>
      <c r="X30" s="145">
        <v>0</v>
      </c>
      <c r="Y30" s="145">
        <v>0</v>
      </c>
      <c r="Z30" s="145">
        <v>0</v>
      </c>
      <c r="AA30" s="142">
        <f t="shared" si="0"/>
        <v>0</v>
      </c>
      <c r="AB30" s="141"/>
      <c r="AC30" s="67"/>
      <c r="AD30" s="67"/>
      <c r="AE30" s="24"/>
      <c r="AF30" s="24"/>
      <c r="AG30" s="24"/>
    </row>
    <row r="31" spans="1:33" ht="61.5">
      <c r="A31" s="153">
        <v>28</v>
      </c>
      <c r="B31" s="153" t="s">
        <v>57</v>
      </c>
      <c r="C31" s="153" t="s">
        <v>65</v>
      </c>
      <c r="D31" s="28" t="s">
        <v>696</v>
      </c>
      <c r="E31" s="59"/>
      <c r="F31" s="59"/>
      <c r="G31" s="90"/>
      <c r="H31" s="90"/>
      <c r="I31" s="93"/>
      <c r="J31" s="96"/>
      <c r="K31" s="96"/>
      <c r="L31" s="69"/>
      <c r="M31" s="69" t="s">
        <v>834</v>
      </c>
      <c r="N31" s="39">
        <v>2</v>
      </c>
      <c r="O31" s="141" t="s">
        <v>835</v>
      </c>
      <c r="P31" s="141" t="s">
        <v>811</v>
      </c>
      <c r="Q31" s="141"/>
      <c r="R31" s="141"/>
      <c r="S31" s="141"/>
      <c r="T31" s="29">
        <v>0</v>
      </c>
      <c r="U31" s="145">
        <v>0</v>
      </c>
      <c r="V31" s="145">
        <v>0</v>
      </c>
      <c r="W31" s="145">
        <v>0</v>
      </c>
      <c r="X31" s="145">
        <v>0</v>
      </c>
      <c r="Y31" s="145">
        <v>0</v>
      </c>
      <c r="Z31" s="145">
        <v>0</v>
      </c>
      <c r="AA31" s="142">
        <f t="shared" si="0"/>
        <v>0</v>
      </c>
      <c r="AB31" s="141"/>
      <c r="AC31" s="67"/>
      <c r="AD31" s="67"/>
      <c r="AE31" s="24"/>
      <c r="AF31" s="24"/>
      <c r="AG31" s="24"/>
    </row>
    <row r="32" spans="1:33" ht="61.5">
      <c r="A32" s="153">
        <v>29</v>
      </c>
      <c r="B32" s="153" t="s">
        <v>57</v>
      </c>
      <c r="C32" s="153" t="s">
        <v>65</v>
      </c>
      <c r="D32" s="28" t="s">
        <v>671</v>
      </c>
      <c r="E32" s="59">
        <v>2.5</v>
      </c>
      <c r="F32" s="59">
        <v>2.5</v>
      </c>
      <c r="G32" s="90"/>
      <c r="H32" s="90"/>
      <c r="I32" s="93"/>
      <c r="J32" s="96" t="s">
        <v>673</v>
      </c>
      <c r="K32" s="96"/>
      <c r="L32" s="69"/>
      <c r="M32" s="69" t="s">
        <v>837</v>
      </c>
      <c r="N32" s="39">
        <v>2</v>
      </c>
      <c r="O32" s="141" t="s">
        <v>753</v>
      </c>
      <c r="P32" s="141" t="s">
        <v>805</v>
      </c>
      <c r="Q32" s="141"/>
      <c r="R32" s="141"/>
      <c r="S32" s="141"/>
      <c r="T32" s="29">
        <v>0</v>
      </c>
      <c r="U32" s="145">
        <v>0</v>
      </c>
      <c r="V32" s="145">
        <v>0</v>
      </c>
      <c r="W32" s="145">
        <v>0</v>
      </c>
      <c r="X32" s="145">
        <v>0</v>
      </c>
      <c r="Y32" s="145">
        <v>0</v>
      </c>
      <c r="Z32" s="145">
        <v>0</v>
      </c>
      <c r="AA32" s="142">
        <f t="shared" si="0"/>
        <v>0</v>
      </c>
      <c r="AB32" s="141"/>
      <c r="AC32" s="67"/>
      <c r="AD32" s="67"/>
      <c r="AE32" s="24"/>
      <c r="AF32" s="24"/>
      <c r="AG32" s="24"/>
    </row>
    <row r="33" spans="1:33" ht="63.75">
      <c r="A33" s="153">
        <v>30</v>
      </c>
      <c r="B33" s="153" t="s">
        <v>57</v>
      </c>
      <c r="C33" s="153" t="s">
        <v>65</v>
      </c>
      <c r="D33" s="28" t="s">
        <v>667</v>
      </c>
      <c r="E33" s="59">
        <v>4</v>
      </c>
      <c r="F33" s="59">
        <v>5</v>
      </c>
      <c r="G33" s="90">
        <v>45910</v>
      </c>
      <c r="H33" s="90">
        <v>45945</v>
      </c>
      <c r="I33" s="93" t="s">
        <v>969</v>
      </c>
      <c r="J33" s="93" t="s">
        <v>669</v>
      </c>
      <c r="K33" s="96"/>
      <c r="L33" s="69"/>
      <c r="M33" s="69" t="s">
        <v>970</v>
      </c>
      <c r="N33" s="39">
        <v>2</v>
      </c>
      <c r="O33" s="141" t="s">
        <v>123</v>
      </c>
      <c r="P33" s="141" t="s">
        <v>797</v>
      </c>
      <c r="Q33" s="141"/>
      <c r="R33" s="141"/>
      <c r="S33" s="141"/>
      <c r="T33" s="29">
        <v>0</v>
      </c>
      <c r="U33" s="145">
        <v>0</v>
      </c>
      <c r="V33" s="145">
        <v>0</v>
      </c>
      <c r="W33" s="145">
        <v>0</v>
      </c>
      <c r="X33" s="145">
        <v>0</v>
      </c>
      <c r="Y33" s="145">
        <v>0</v>
      </c>
      <c r="Z33" s="145">
        <v>0</v>
      </c>
      <c r="AA33" s="142">
        <f t="shared" si="0"/>
        <v>0</v>
      </c>
      <c r="AB33" s="141"/>
      <c r="AC33" s="67"/>
      <c r="AD33" s="67"/>
      <c r="AE33" s="24"/>
      <c r="AF33" s="24"/>
      <c r="AG33" s="24"/>
    </row>
    <row r="34" spans="1:33" ht="76.5">
      <c r="A34" s="153">
        <v>31</v>
      </c>
      <c r="B34" s="153" t="s">
        <v>57</v>
      </c>
      <c r="C34" s="153" t="s">
        <v>65</v>
      </c>
      <c r="D34" s="28" t="s">
        <v>605</v>
      </c>
      <c r="E34" s="59"/>
      <c r="F34" s="59"/>
      <c r="G34" s="90"/>
      <c r="H34" s="90">
        <v>45946</v>
      </c>
      <c r="I34" s="93" t="s">
        <v>971</v>
      </c>
      <c r="J34" s="96"/>
      <c r="K34" s="96"/>
      <c r="L34" s="69"/>
      <c r="M34" s="69" t="s">
        <v>842</v>
      </c>
      <c r="N34" s="39">
        <v>2</v>
      </c>
      <c r="O34" s="141" t="s">
        <v>123</v>
      </c>
      <c r="P34" s="141" t="s">
        <v>811</v>
      </c>
      <c r="Q34" s="141"/>
      <c r="R34" s="21"/>
      <c r="S34" s="141"/>
      <c r="T34" s="29">
        <v>0</v>
      </c>
      <c r="U34" s="145">
        <v>0</v>
      </c>
      <c r="V34" s="145">
        <v>0</v>
      </c>
      <c r="W34" s="145">
        <v>0</v>
      </c>
      <c r="X34" s="145">
        <v>0</v>
      </c>
      <c r="Y34" s="145">
        <v>0</v>
      </c>
      <c r="Z34" s="145">
        <v>0</v>
      </c>
      <c r="AA34" s="142">
        <f t="shared" si="0"/>
        <v>0</v>
      </c>
      <c r="AB34" s="141"/>
      <c r="AC34" s="67"/>
      <c r="AD34" s="67"/>
      <c r="AE34" s="24"/>
      <c r="AF34" s="24"/>
      <c r="AG34" s="24"/>
    </row>
    <row r="35" spans="1:33" ht="61.5">
      <c r="A35" s="153">
        <v>32</v>
      </c>
      <c r="B35" s="153" t="s">
        <v>57</v>
      </c>
      <c r="C35" s="153" t="s">
        <v>63</v>
      </c>
      <c r="D35" s="28" t="s">
        <v>152</v>
      </c>
      <c r="E35" s="59">
        <v>2</v>
      </c>
      <c r="F35" s="59">
        <v>4</v>
      </c>
      <c r="G35" s="90">
        <v>45922</v>
      </c>
      <c r="H35" s="90">
        <v>45925</v>
      </c>
      <c r="I35" s="93" t="s">
        <v>686</v>
      </c>
      <c r="J35" s="96" t="s">
        <v>687</v>
      </c>
      <c r="K35" s="96" t="s">
        <v>844</v>
      </c>
      <c r="L35" s="69"/>
      <c r="M35" s="69" t="s">
        <v>845</v>
      </c>
      <c r="N35" s="39">
        <v>3</v>
      </c>
      <c r="O35" s="141" t="s">
        <v>753</v>
      </c>
      <c r="P35" s="141" t="s">
        <v>210</v>
      </c>
      <c r="Q35" s="141"/>
      <c r="R35" s="141"/>
      <c r="S35" s="141"/>
      <c r="T35" s="29">
        <v>0</v>
      </c>
      <c r="U35" s="145">
        <v>0</v>
      </c>
      <c r="V35" s="145">
        <v>0</v>
      </c>
      <c r="W35" s="145">
        <v>0</v>
      </c>
      <c r="X35" s="145">
        <v>0</v>
      </c>
      <c r="Y35" s="145">
        <v>0</v>
      </c>
      <c r="Z35" s="145">
        <v>0</v>
      </c>
      <c r="AA35" s="142">
        <f t="shared" si="0"/>
        <v>0</v>
      </c>
      <c r="AB35" s="141"/>
      <c r="AC35" s="67"/>
      <c r="AD35" s="67"/>
      <c r="AE35" s="24"/>
      <c r="AF35" s="24"/>
      <c r="AG35" s="24"/>
    </row>
    <row r="36" spans="1:33" ht="89.25">
      <c r="A36" s="153">
        <v>33</v>
      </c>
      <c r="B36" s="153" t="s">
        <v>57</v>
      </c>
      <c r="C36" s="153" t="s">
        <v>63</v>
      </c>
      <c r="D36" s="28" t="s">
        <v>674</v>
      </c>
      <c r="E36" s="59">
        <v>4</v>
      </c>
      <c r="F36" s="59">
        <v>4</v>
      </c>
      <c r="G36" s="90" t="s">
        <v>936</v>
      </c>
      <c r="H36" s="90" t="s">
        <v>937</v>
      </c>
      <c r="I36" s="93" t="s">
        <v>938</v>
      </c>
      <c r="J36" s="93" t="s">
        <v>939</v>
      </c>
      <c r="K36" s="96"/>
      <c r="L36" s="69"/>
      <c r="M36" s="69"/>
      <c r="N36" s="39">
        <v>3</v>
      </c>
      <c r="O36" s="141" t="s">
        <v>150</v>
      </c>
      <c r="P36" s="141" t="s">
        <v>805</v>
      </c>
      <c r="Q36" s="141"/>
      <c r="R36" s="21"/>
      <c r="S36" s="141"/>
      <c r="T36" s="29">
        <v>0</v>
      </c>
      <c r="U36" s="145">
        <v>0</v>
      </c>
      <c r="V36" s="145">
        <v>0</v>
      </c>
      <c r="W36" s="145">
        <v>0</v>
      </c>
      <c r="X36" s="145">
        <v>0</v>
      </c>
      <c r="Y36" s="145">
        <v>0</v>
      </c>
      <c r="Z36" s="145">
        <v>0</v>
      </c>
      <c r="AA36" s="142">
        <f t="shared" ref="AA36:AA67" si="1">AVERAGE(T36:Z36)</f>
        <v>0</v>
      </c>
      <c r="AB36" s="141"/>
      <c r="AC36" s="67"/>
      <c r="AD36" s="67"/>
      <c r="AE36" s="24"/>
      <c r="AF36" s="24"/>
      <c r="AG36" s="24"/>
    </row>
    <row r="37" spans="1:33" ht="63.75">
      <c r="A37" s="153">
        <v>34</v>
      </c>
      <c r="B37" s="153" t="s">
        <v>57</v>
      </c>
      <c r="C37" s="153" t="s">
        <v>63</v>
      </c>
      <c r="D37" s="28" t="s">
        <v>154</v>
      </c>
      <c r="E37" s="59">
        <v>5</v>
      </c>
      <c r="F37" s="59">
        <v>5</v>
      </c>
      <c r="G37" s="90">
        <v>45917</v>
      </c>
      <c r="H37" s="90">
        <v>45929</v>
      </c>
      <c r="I37" s="93" t="s">
        <v>640</v>
      </c>
      <c r="J37" s="96" t="s">
        <v>850</v>
      </c>
      <c r="K37" s="96" t="s">
        <v>940</v>
      </c>
      <c r="L37" s="69"/>
      <c r="M37" s="69" t="s">
        <v>851</v>
      </c>
      <c r="N37" s="39">
        <v>1</v>
      </c>
      <c r="O37" s="141" t="s">
        <v>150</v>
      </c>
      <c r="P37" s="141" t="s">
        <v>765</v>
      </c>
      <c r="Q37" s="141"/>
      <c r="R37" s="141"/>
      <c r="S37" s="141"/>
      <c r="T37" s="29">
        <v>0</v>
      </c>
      <c r="U37" s="145">
        <v>0</v>
      </c>
      <c r="V37" s="145">
        <v>0</v>
      </c>
      <c r="W37" s="145">
        <v>0</v>
      </c>
      <c r="X37" s="145">
        <v>0</v>
      </c>
      <c r="Y37" s="145">
        <v>0</v>
      </c>
      <c r="Z37" s="145">
        <v>0</v>
      </c>
      <c r="AA37" s="142">
        <f t="shared" si="1"/>
        <v>0</v>
      </c>
      <c r="AB37" s="141"/>
      <c r="AC37" s="67"/>
      <c r="AD37" s="67"/>
      <c r="AE37" s="24"/>
      <c r="AF37" s="24"/>
      <c r="AG37" s="24"/>
    </row>
    <row r="38" spans="1:33" ht="61.5">
      <c r="A38" s="153">
        <v>35</v>
      </c>
      <c r="B38" s="153" t="s">
        <v>57</v>
      </c>
      <c r="C38" s="153" t="s">
        <v>63</v>
      </c>
      <c r="D38" s="28" t="s">
        <v>141</v>
      </c>
      <c r="E38" s="59">
        <v>0</v>
      </c>
      <c r="F38" s="59">
        <v>0</v>
      </c>
      <c r="G38" s="90">
        <v>45902</v>
      </c>
      <c r="H38" s="90">
        <v>45925</v>
      </c>
      <c r="I38" s="93"/>
      <c r="J38" s="96" t="s">
        <v>853</v>
      </c>
      <c r="K38" s="96"/>
      <c r="L38" s="69"/>
      <c r="M38" s="69"/>
      <c r="N38" s="39">
        <v>1</v>
      </c>
      <c r="O38" s="141" t="s">
        <v>150</v>
      </c>
      <c r="P38" s="141" t="s">
        <v>210</v>
      </c>
      <c r="Q38" s="141"/>
      <c r="R38" s="141"/>
      <c r="S38" s="141"/>
      <c r="T38" s="29">
        <v>0</v>
      </c>
      <c r="U38" s="145">
        <v>0</v>
      </c>
      <c r="V38" s="145">
        <v>0</v>
      </c>
      <c r="W38" s="145">
        <v>0</v>
      </c>
      <c r="X38" s="145">
        <v>0</v>
      </c>
      <c r="Y38" s="145">
        <v>0</v>
      </c>
      <c r="Z38" s="145">
        <v>0</v>
      </c>
      <c r="AA38" s="142">
        <f t="shared" si="1"/>
        <v>0</v>
      </c>
      <c r="AB38" s="141"/>
      <c r="AC38" s="67"/>
      <c r="AD38" s="67"/>
      <c r="AE38" s="24"/>
      <c r="AF38" s="24"/>
      <c r="AG38" s="24"/>
    </row>
    <row r="39" spans="1:33" ht="61.5">
      <c r="A39" s="153">
        <v>36</v>
      </c>
      <c r="B39" s="153" t="s">
        <v>57</v>
      </c>
      <c r="C39" s="153" t="s">
        <v>63</v>
      </c>
      <c r="D39" s="28" t="s">
        <v>608</v>
      </c>
      <c r="E39" s="59">
        <v>2</v>
      </c>
      <c r="F39" s="59">
        <v>5</v>
      </c>
      <c r="G39" s="90">
        <v>45924</v>
      </c>
      <c r="H39" s="90">
        <v>45937</v>
      </c>
      <c r="I39" s="93" t="s">
        <v>609</v>
      </c>
      <c r="J39" s="96" t="s">
        <v>856</v>
      </c>
      <c r="K39" s="96"/>
      <c r="L39" s="69"/>
      <c r="M39" s="69"/>
      <c r="N39" s="39">
        <v>1</v>
      </c>
      <c r="O39" s="141" t="s">
        <v>150</v>
      </c>
      <c r="P39" s="141" t="s">
        <v>765</v>
      </c>
      <c r="Q39" s="141"/>
      <c r="R39" s="141"/>
      <c r="S39" s="141"/>
      <c r="T39" s="29">
        <v>0</v>
      </c>
      <c r="U39" s="145">
        <v>0</v>
      </c>
      <c r="V39" s="145">
        <v>0</v>
      </c>
      <c r="W39" s="145">
        <v>0</v>
      </c>
      <c r="X39" s="145">
        <v>0</v>
      </c>
      <c r="Y39" s="145">
        <v>0</v>
      </c>
      <c r="Z39" s="145">
        <v>0</v>
      </c>
      <c r="AA39" s="142">
        <f t="shared" si="1"/>
        <v>0</v>
      </c>
      <c r="AB39" s="141"/>
      <c r="AC39" s="67"/>
      <c r="AD39" s="67"/>
      <c r="AE39" s="24"/>
      <c r="AF39" s="24"/>
      <c r="AG39" s="24"/>
    </row>
    <row r="40" spans="1:33" ht="61.5">
      <c r="A40" s="153">
        <v>37</v>
      </c>
      <c r="B40" s="153" t="s">
        <v>57</v>
      </c>
      <c r="C40" s="153" t="s">
        <v>63</v>
      </c>
      <c r="D40" s="28" t="s">
        <v>683</v>
      </c>
      <c r="E40" s="59">
        <v>5</v>
      </c>
      <c r="F40" s="59">
        <v>5</v>
      </c>
      <c r="G40" s="90">
        <v>45922</v>
      </c>
      <c r="H40" s="90">
        <v>45931</v>
      </c>
      <c r="I40" s="93"/>
      <c r="J40" s="96"/>
      <c r="K40" s="96" t="s">
        <v>685</v>
      </c>
      <c r="L40" s="69"/>
      <c r="M40" s="69"/>
      <c r="N40" s="39">
        <v>1</v>
      </c>
      <c r="O40" s="141" t="s">
        <v>150</v>
      </c>
      <c r="P40" s="141" t="s">
        <v>765</v>
      </c>
      <c r="Q40" s="141"/>
      <c r="R40" s="141"/>
      <c r="S40" s="141"/>
      <c r="T40" s="29">
        <v>0</v>
      </c>
      <c r="U40" s="145">
        <v>0</v>
      </c>
      <c r="V40" s="145">
        <v>0</v>
      </c>
      <c r="W40" s="145">
        <v>0</v>
      </c>
      <c r="X40" s="145">
        <v>0</v>
      </c>
      <c r="Y40" s="145">
        <v>0</v>
      </c>
      <c r="Z40" s="145">
        <v>0</v>
      </c>
      <c r="AA40" s="142">
        <f t="shared" si="1"/>
        <v>0</v>
      </c>
      <c r="AB40" s="141"/>
      <c r="AC40" s="67"/>
      <c r="AD40" s="67"/>
      <c r="AE40" s="24"/>
      <c r="AF40" s="24"/>
      <c r="AG40" s="24"/>
    </row>
    <row r="41" spans="1:33" ht="90">
      <c r="A41" s="153">
        <v>38</v>
      </c>
      <c r="B41" s="153" t="s">
        <v>57</v>
      </c>
      <c r="C41" s="153" t="s">
        <v>63</v>
      </c>
      <c r="D41" s="28" t="s">
        <v>680</v>
      </c>
      <c r="E41" s="59">
        <v>5</v>
      </c>
      <c r="F41" s="59">
        <v>5</v>
      </c>
      <c r="G41" s="90">
        <v>45922</v>
      </c>
      <c r="H41" s="90">
        <v>45931</v>
      </c>
      <c r="I41" s="93"/>
      <c r="J41" s="95" t="s">
        <v>859</v>
      </c>
      <c r="K41" s="95" t="s">
        <v>941</v>
      </c>
      <c r="L41" s="69"/>
      <c r="M41" s="69"/>
      <c r="N41" s="39">
        <v>1</v>
      </c>
      <c r="O41" s="141" t="s">
        <v>150</v>
      </c>
      <c r="P41" s="141" t="s">
        <v>765</v>
      </c>
      <c r="Q41" s="141"/>
      <c r="R41" s="141"/>
      <c r="S41" s="141"/>
      <c r="T41" s="29">
        <v>0</v>
      </c>
      <c r="U41" s="145">
        <v>0</v>
      </c>
      <c r="V41" s="145">
        <v>0</v>
      </c>
      <c r="W41" s="145">
        <v>0</v>
      </c>
      <c r="X41" s="145">
        <v>0</v>
      </c>
      <c r="Y41" s="145">
        <v>0</v>
      </c>
      <c r="Z41" s="145">
        <v>0</v>
      </c>
      <c r="AA41" s="142">
        <f t="shared" si="1"/>
        <v>0</v>
      </c>
      <c r="AB41" s="141"/>
      <c r="AC41" s="67"/>
      <c r="AD41" s="67"/>
      <c r="AE41" s="24"/>
      <c r="AF41" s="24"/>
      <c r="AG41" s="24"/>
    </row>
    <row r="42" spans="1:33" ht="102">
      <c r="A42" s="153">
        <v>39</v>
      </c>
      <c r="B42" s="153" t="s">
        <v>57</v>
      </c>
      <c r="C42" s="153" t="s">
        <v>63</v>
      </c>
      <c r="D42" s="28" t="s">
        <v>705</v>
      </c>
      <c r="E42" s="59"/>
      <c r="F42" s="59"/>
      <c r="G42" s="90"/>
      <c r="H42" s="90"/>
      <c r="I42" s="93" t="s">
        <v>972</v>
      </c>
      <c r="J42" s="96" t="s">
        <v>973</v>
      </c>
      <c r="K42" s="96"/>
      <c r="L42" s="69"/>
      <c r="M42" s="69"/>
      <c r="N42" s="39">
        <v>2</v>
      </c>
      <c r="O42" s="141" t="s">
        <v>409</v>
      </c>
      <c r="P42" s="141" t="s">
        <v>861</v>
      </c>
      <c r="Q42" s="141"/>
      <c r="R42" s="141"/>
      <c r="S42" s="141"/>
      <c r="T42" s="29">
        <v>0</v>
      </c>
      <c r="U42" s="145">
        <v>0</v>
      </c>
      <c r="V42" s="145">
        <v>0</v>
      </c>
      <c r="W42" s="145">
        <v>0</v>
      </c>
      <c r="X42" s="145">
        <v>0</v>
      </c>
      <c r="Y42" s="145">
        <v>0</v>
      </c>
      <c r="Z42" s="145">
        <v>0</v>
      </c>
      <c r="AA42" s="142">
        <f t="shared" si="1"/>
        <v>0</v>
      </c>
      <c r="AB42" s="141"/>
      <c r="AC42" s="67"/>
      <c r="AD42" s="67"/>
      <c r="AE42" s="24"/>
      <c r="AF42" s="24"/>
      <c r="AG42" s="24"/>
    </row>
    <row r="43" spans="1:33" ht="61.5">
      <c r="A43" s="153">
        <v>40</v>
      </c>
      <c r="B43" s="153" t="s">
        <v>57</v>
      </c>
      <c r="C43" s="153" t="s">
        <v>63</v>
      </c>
      <c r="D43" s="28" t="s">
        <v>713</v>
      </c>
      <c r="E43" s="59">
        <v>4</v>
      </c>
      <c r="F43" s="59">
        <v>4</v>
      </c>
      <c r="G43" s="90"/>
      <c r="H43" s="90">
        <v>45925</v>
      </c>
      <c r="I43" s="93" t="s">
        <v>714</v>
      </c>
      <c r="J43" s="96" t="s">
        <v>863</v>
      </c>
      <c r="K43" s="96"/>
      <c r="L43" s="69"/>
      <c r="M43" s="69"/>
      <c r="N43" s="39">
        <v>1</v>
      </c>
      <c r="O43" s="141" t="s">
        <v>150</v>
      </c>
      <c r="P43" s="141" t="s">
        <v>764</v>
      </c>
      <c r="Q43" s="141"/>
      <c r="R43" s="141"/>
      <c r="S43" s="141"/>
      <c r="T43" s="29">
        <v>0</v>
      </c>
      <c r="U43" s="145">
        <v>0</v>
      </c>
      <c r="V43" s="145">
        <v>0</v>
      </c>
      <c r="W43" s="145">
        <v>0</v>
      </c>
      <c r="X43" s="145">
        <v>0</v>
      </c>
      <c r="Y43" s="145">
        <v>0</v>
      </c>
      <c r="Z43" s="145">
        <v>0</v>
      </c>
      <c r="AA43" s="142">
        <f t="shared" si="1"/>
        <v>0</v>
      </c>
      <c r="AB43" s="141"/>
      <c r="AC43" s="67"/>
      <c r="AD43" s="67"/>
      <c r="AE43" s="24"/>
      <c r="AF43" s="24"/>
      <c r="AG43" s="24"/>
    </row>
    <row r="44" spans="1:33" ht="61.5">
      <c r="A44" s="153">
        <v>41</v>
      </c>
      <c r="B44" s="153" t="s">
        <v>57</v>
      </c>
      <c r="C44" s="153" t="s">
        <v>63</v>
      </c>
      <c r="D44" s="28" t="s">
        <v>648</v>
      </c>
      <c r="E44" s="59"/>
      <c r="F44" s="59"/>
      <c r="G44" s="90"/>
      <c r="H44" s="90">
        <v>45925</v>
      </c>
      <c r="I44" s="93"/>
      <c r="J44" s="96" t="s">
        <v>865</v>
      </c>
      <c r="K44" s="96"/>
      <c r="L44" s="69"/>
      <c r="M44" s="69"/>
      <c r="N44" s="39">
        <v>2</v>
      </c>
      <c r="O44" s="141" t="s">
        <v>150</v>
      </c>
      <c r="P44" s="141" t="s">
        <v>805</v>
      </c>
      <c r="Q44" s="141"/>
      <c r="R44" s="141"/>
      <c r="S44" s="141"/>
      <c r="T44" s="29">
        <v>0</v>
      </c>
      <c r="U44" s="145">
        <v>0</v>
      </c>
      <c r="V44" s="145">
        <v>0</v>
      </c>
      <c r="W44" s="145">
        <v>0</v>
      </c>
      <c r="X44" s="145">
        <v>0</v>
      </c>
      <c r="Y44" s="145">
        <v>0</v>
      </c>
      <c r="Z44" s="145">
        <v>0</v>
      </c>
      <c r="AA44" s="142">
        <f t="shared" si="1"/>
        <v>0</v>
      </c>
      <c r="AB44" s="141"/>
      <c r="AC44" s="67"/>
      <c r="AD44" s="67"/>
      <c r="AE44" s="24"/>
      <c r="AF44" s="24"/>
      <c r="AG44" s="24"/>
    </row>
    <row r="45" spans="1:33" ht="61.5">
      <c r="A45" s="153">
        <v>42</v>
      </c>
      <c r="B45" s="153" t="s">
        <v>57</v>
      </c>
      <c r="C45" s="153" t="s">
        <v>63</v>
      </c>
      <c r="D45" s="28" t="s">
        <v>628</v>
      </c>
      <c r="E45" s="59"/>
      <c r="F45" s="59"/>
      <c r="G45" s="90"/>
      <c r="H45" s="90" t="s">
        <v>867</v>
      </c>
      <c r="I45" s="93" t="s">
        <v>629</v>
      </c>
      <c r="J45" s="96"/>
      <c r="K45" s="96"/>
      <c r="L45" s="69"/>
      <c r="M45" s="69"/>
      <c r="N45" s="39">
        <v>2</v>
      </c>
      <c r="O45" s="141" t="s">
        <v>150</v>
      </c>
      <c r="P45" s="141" t="s">
        <v>797</v>
      </c>
      <c r="Q45" s="141"/>
      <c r="R45" s="141"/>
      <c r="S45" s="141"/>
      <c r="T45" s="29">
        <v>0</v>
      </c>
      <c r="U45" s="145">
        <v>0</v>
      </c>
      <c r="V45" s="145">
        <v>0</v>
      </c>
      <c r="W45" s="145">
        <v>0</v>
      </c>
      <c r="X45" s="145">
        <v>0</v>
      </c>
      <c r="Y45" s="145">
        <v>0</v>
      </c>
      <c r="Z45" s="145">
        <v>0</v>
      </c>
      <c r="AA45" s="142">
        <f t="shared" si="1"/>
        <v>0</v>
      </c>
      <c r="AB45" s="141"/>
      <c r="AC45" s="67"/>
      <c r="AD45" s="67"/>
      <c r="AE45" s="24"/>
      <c r="AF45" s="24"/>
      <c r="AG45" s="24"/>
    </row>
    <row r="46" spans="1:33" ht="61.5">
      <c r="A46" s="153">
        <v>43</v>
      </c>
      <c r="B46" s="153" t="s">
        <v>57</v>
      </c>
      <c r="C46" s="153" t="s">
        <v>63</v>
      </c>
      <c r="D46" s="28" t="s">
        <v>942</v>
      </c>
      <c r="E46" s="59"/>
      <c r="F46" s="59"/>
      <c r="G46" s="90">
        <v>45933</v>
      </c>
      <c r="H46" s="90" t="s">
        <v>762</v>
      </c>
      <c r="I46" s="93" t="s">
        <v>943</v>
      </c>
      <c r="J46" s="96" t="s">
        <v>944</v>
      </c>
      <c r="K46" s="96"/>
      <c r="L46" s="69"/>
      <c r="M46" s="69"/>
      <c r="N46" s="39">
        <v>0</v>
      </c>
      <c r="O46" s="141" t="s">
        <v>150</v>
      </c>
      <c r="P46" s="141" t="s">
        <v>805</v>
      </c>
      <c r="Q46" s="141"/>
      <c r="R46" s="21"/>
      <c r="S46" s="141"/>
      <c r="T46" s="29">
        <v>0</v>
      </c>
      <c r="U46" s="145">
        <v>0</v>
      </c>
      <c r="V46" s="145">
        <v>0</v>
      </c>
      <c r="W46" s="145">
        <v>0</v>
      </c>
      <c r="X46" s="145">
        <v>0</v>
      </c>
      <c r="Y46" s="145">
        <v>0</v>
      </c>
      <c r="Z46" s="145">
        <v>0</v>
      </c>
      <c r="AA46" s="142">
        <f t="shared" si="1"/>
        <v>0</v>
      </c>
      <c r="AB46" s="141"/>
      <c r="AC46" s="67"/>
      <c r="AD46" s="67"/>
      <c r="AE46" s="24"/>
      <c r="AF46" s="24"/>
      <c r="AG46" s="24"/>
    </row>
    <row r="47" spans="1:33" ht="61.5">
      <c r="A47" s="153">
        <v>44</v>
      </c>
      <c r="B47" s="153" t="s">
        <v>57</v>
      </c>
      <c r="C47" s="153"/>
      <c r="D47" s="28"/>
      <c r="E47" s="59"/>
      <c r="F47" s="59"/>
      <c r="G47" s="90"/>
      <c r="H47" s="90"/>
      <c r="I47" s="93"/>
      <c r="J47" s="96"/>
      <c r="K47" s="96"/>
      <c r="L47" s="69"/>
      <c r="M47" s="69"/>
      <c r="N47" s="39">
        <v>0</v>
      </c>
      <c r="O47" s="141"/>
      <c r="P47" s="141"/>
      <c r="Q47" s="141"/>
      <c r="R47" s="141"/>
      <c r="S47" s="141"/>
      <c r="T47" s="29">
        <v>0</v>
      </c>
      <c r="U47" s="145">
        <v>0</v>
      </c>
      <c r="V47" s="145">
        <v>0</v>
      </c>
      <c r="W47" s="145">
        <v>0</v>
      </c>
      <c r="X47" s="145">
        <v>0</v>
      </c>
      <c r="Y47" s="145">
        <v>0</v>
      </c>
      <c r="Z47" s="145">
        <v>0</v>
      </c>
      <c r="AA47" s="142">
        <f t="shared" si="1"/>
        <v>0</v>
      </c>
      <c r="AB47" s="141"/>
      <c r="AC47" s="67"/>
      <c r="AD47" s="67"/>
      <c r="AE47" s="24"/>
      <c r="AF47" s="24"/>
      <c r="AG47" s="24"/>
    </row>
    <row r="48" spans="1:33" ht="61.5">
      <c r="A48" s="153">
        <v>45</v>
      </c>
      <c r="B48" s="153" t="s">
        <v>57</v>
      </c>
      <c r="C48" s="153"/>
      <c r="D48" s="28"/>
      <c r="E48" s="59"/>
      <c r="F48" s="59"/>
      <c r="G48" s="90"/>
      <c r="H48" s="90"/>
      <c r="I48" s="93"/>
      <c r="J48" s="96"/>
      <c r="K48" s="96"/>
      <c r="L48" s="69"/>
      <c r="M48" s="69"/>
      <c r="N48" s="39">
        <v>0</v>
      </c>
      <c r="O48" s="141"/>
      <c r="P48" s="141"/>
      <c r="Q48" s="141"/>
      <c r="R48" s="141"/>
      <c r="S48" s="141"/>
      <c r="T48" s="29">
        <v>0</v>
      </c>
      <c r="U48" s="145">
        <v>0</v>
      </c>
      <c r="V48" s="145">
        <v>0</v>
      </c>
      <c r="W48" s="145">
        <v>0</v>
      </c>
      <c r="X48" s="145">
        <v>0</v>
      </c>
      <c r="Y48" s="145">
        <v>0</v>
      </c>
      <c r="Z48" s="145">
        <v>0</v>
      </c>
      <c r="AA48" s="142">
        <f t="shared" si="1"/>
        <v>0</v>
      </c>
      <c r="AB48" s="141"/>
      <c r="AC48" s="67"/>
      <c r="AD48" s="67"/>
      <c r="AE48" s="24"/>
      <c r="AF48" s="24"/>
      <c r="AG48" s="24"/>
    </row>
    <row r="49" spans="1:33" ht="61.5">
      <c r="A49" s="153">
        <v>46</v>
      </c>
      <c r="B49" s="153" t="s">
        <v>57</v>
      </c>
      <c r="C49" s="153"/>
      <c r="D49" s="28"/>
      <c r="E49" s="59"/>
      <c r="F49" s="59"/>
      <c r="G49" s="90"/>
      <c r="H49" s="90"/>
      <c r="I49" s="93"/>
      <c r="J49" s="96"/>
      <c r="K49" s="96"/>
      <c r="L49" s="69"/>
      <c r="M49" s="69"/>
      <c r="N49" s="39">
        <v>0</v>
      </c>
      <c r="O49" s="141"/>
      <c r="P49" s="141"/>
      <c r="Q49" s="141"/>
      <c r="R49" s="141"/>
      <c r="S49" s="141"/>
      <c r="T49" s="29">
        <v>0</v>
      </c>
      <c r="U49" s="145">
        <v>0</v>
      </c>
      <c r="V49" s="145">
        <v>0</v>
      </c>
      <c r="W49" s="145">
        <v>0</v>
      </c>
      <c r="X49" s="145">
        <v>0</v>
      </c>
      <c r="Y49" s="145">
        <v>0</v>
      </c>
      <c r="Z49" s="145">
        <v>0</v>
      </c>
      <c r="AA49" s="142">
        <f t="shared" si="1"/>
        <v>0</v>
      </c>
      <c r="AB49" s="141"/>
      <c r="AC49" s="67"/>
      <c r="AD49" s="67"/>
      <c r="AE49" s="24"/>
      <c r="AF49" s="24"/>
      <c r="AG49" s="24"/>
    </row>
    <row r="50" spans="1:33" ht="61.5">
      <c r="A50" s="153">
        <v>47</v>
      </c>
      <c r="B50" s="153" t="s">
        <v>57</v>
      </c>
      <c r="C50" s="153"/>
      <c r="D50" s="28"/>
      <c r="E50" s="59"/>
      <c r="F50" s="59"/>
      <c r="G50" s="90"/>
      <c r="H50" s="90"/>
      <c r="I50" s="93"/>
      <c r="J50" s="96"/>
      <c r="K50" s="96"/>
      <c r="L50" s="69"/>
      <c r="M50" s="69"/>
      <c r="N50" s="39">
        <v>0</v>
      </c>
      <c r="O50" s="141"/>
      <c r="P50" s="141"/>
      <c r="Q50" s="141"/>
      <c r="R50" s="141"/>
      <c r="S50" s="141"/>
      <c r="T50" s="29">
        <v>0</v>
      </c>
      <c r="U50" s="145">
        <v>0</v>
      </c>
      <c r="V50" s="145">
        <v>0</v>
      </c>
      <c r="W50" s="145">
        <v>0</v>
      </c>
      <c r="X50" s="145">
        <v>0</v>
      </c>
      <c r="Y50" s="145">
        <v>0</v>
      </c>
      <c r="Z50" s="145">
        <v>0</v>
      </c>
      <c r="AA50" s="142">
        <f t="shared" si="1"/>
        <v>0</v>
      </c>
      <c r="AB50" s="141"/>
      <c r="AC50" s="67"/>
      <c r="AD50" s="67"/>
      <c r="AE50" s="24"/>
      <c r="AF50" s="24"/>
      <c r="AG50" s="24"/>
    </row>
    <row r="51" spans="1:33" ht="61.5">
      <c r="A51" s="153">
        <v>48</v>
      </c>
      <c r="B51" s="153" t="s">
        <v>57</v>
      </c>
      <c r="C51" s="153"/>
      <c r="D51" s="28"/>
      <c r="E51" s="59"/>
      <c r="F51" s="59"/>
      <c r="G51" s="90"/>
      <c r="H51" s="90"/>
      <c r="I51" s="93"/>
      <c r="J51" s="96"/>
      <c r="K51" s="96"/>
      <c r="L51" s="69"/>
      <c r="M51" s="69"/>
      <c r="N51" s="39">
        <v>0</v>
      </c>
      <c r="O51" s="141"/>
      <c r="P51" s="141"/>
      <c r="Q51" s="141"/>
      <c r="R51" s="141"/>
      <c r="S51" s="141"/>
      <c r="T51" s="29">
        <v>0</v>
      </c>
      <c r="U51" s="145">
        <v>0</v>
      </c>
      <c r="V51" s="145">
        <v>0</v>
      </c>
      <c r="W51" s="145">
        <v>0</v>
      </c>
      <c r="X51" s="145">
        <v>0</v>
      </c>
      <c r="Y51" s="145">
        <v>0</v>
      </c>
      <c r="Z51" s="145">
        <v>0</v>
      </c>
      <c r="AA51" s="142">
        <f t="shared" si="1"/>
        <v>0</v>
      </c>
      <c r="AB51" s="141"/>
      <c r="AC51" s="67"/>
      <c r="AD51" s="67"/>
      <c r="AE51" s="24"/>
      <c r="AF51" s="24"/>
      <c r="AG51" s="24"/>
    </row>
    <row r="52" spans="1:33" ht="61.5">
      <c r="A52" s="153">
        <v>49</v>
      </c>
      <c r="B52" s="153" t="s">
        <v>57</v>
      </c>
      <c r="C52" s="153"/>
      <c r="D52" s="28"/>
      <c r="E52" s="59"/>
      <c r="F52" s="59"/>
      <c r="G52" s="90"/>
      <c r="H52" s="90"/>
      <c r="I52" s="93"/>
      <c r="J52" s="96"/>
      <c r="K52" s="96"/>
      <c r="L52" s="69"/>
      <c r="M52" s="69"/>
      <c r="N52" s="39">
        <v>0</v>
      </c>
      <c r="O52" s="141"/>
      <c r="P52" s="141"/>
      <c r="Q52" s="141"/>
      <c r="R52" s="141"/>
      <c r="S52" s="141"/>
      <c r="T52" s="29">
        <v>0</v>
      </c>
      <c r="U52" s="145">
        <v>0</v>
      </c>
      <c r="V52" s="145">
        <v>0</v>
      </c>
      <c r="W52" s="145">
        <v>0</v>
      </c>
      <c r="X52" s="145">
        <v>0</v>
      </c>
      <c r="Y52" s="145">
        <v>0</v>
      </c>
      <c r="Z52" s="145">
        <v>0</v>
      </c>
      <c r="AA52" s="142">
        <f t="shared" si="1"/>
        <v>0</v>
      </c>
      <c r="AB52" s="141"/>
      <c r="AC52" s="67"/>
      <c r="AD52" s="67"/>
      <c r="AE52" s="24"/>
      <c r="AF52" s="24"/>
      <c r="AG52" s="24"/>
    </row>
    <row r="53" spans="1:33" ht="61.5">
      <c r="A53" s="153">
        <v>50</v>
      </c>
      <c r="B53" s="153" t="s">
        <v>57</v>
      </c>
      <c r="C53" s="153"/>
      <c r="D53" s="28"/>
      <c r="E53" s="59"/>
      <c r="F53" s="59"/>
      <c r="G53" s="90"/>
      <c r="H53" s="90"/>
      <c r="I53" s="93"/>
      <c r="J53" s="94"/>
      <c r="K53" s="94"/>
      <c r="L53" s="69"/>
      <c r="M53" s="69"/>
      <c r="N53" s="39">
        <v>0</v>
      </c>
      <c r="O53" s="141"/>
      <c r="P53" s="141"/>
      <c r="Q53" s="141"/>
      <c r="R53" s="141"/>
      <c r="S53" s="141"/>
      <c r="T53" s="29">
        <v>0</v>
      </c>
      <c r="U53" s="145">
        <v>0</v>
      </c>
      <c r="V53" s="145">
        <v>0</v>
      </c>
      <c r="W53" s="145">
        <v>0</v>
      </c>
      <c r="X53" s="145">
        <v>0</v>
      </c>
      <c r="Y53" s="145">
        <v>0</v>
      </c>
      <c r="Z53" s="145">
        <v>0</v>
      </c>
      <c r="AA53" s="142">
        <f t="shared" si="1"/>
        <v>0</v>
      </c>
      <c r="AB53" s="141"/>
      <c r="AC53" s="67"/>
      <c r="AD53" s="67"/>
      <c r="AE53" s="24"/>
      <c r="AF53" s="24"/>
      <c r="AG53" s="24"/>
    </row>
    <row r="54" spans="1:33" ht="61.5">
      <c r="A54" s="153">
        <v>51</v>
      </c>
      <c r="B54" s="153" t="s">
        <v>57</v>
      </c>
      <c r="C54" s="153"/>
      <c r="D54" s="28"/>
      <c r="E54" s="59"/>
      <c r="F54" s="59"/>
      <c r="G54" s="90"/>
      <c r="H54" s="90"/>
      <c r="I54" s="93"/>
      <c r="J54" s="96"/>
      <c r="K54" s="96"/>
      <c r="L54" s="69"/>
      <c r="M54" s="69"/>
      <c r="N54" s="39">
        <v>0</v>
      </c>
      <c r="O54" s="141"/>
      <c r="P54" s="141"/>
      <c r="Q54" s="141"/>
      <c r="R54" s="141"/>
      <c r="S54" s="141"/>
      <c r="T54" s="29">
        <v>0</v>
      </c>
      <c r="U54" s="145">
        <v>0</v>
      </c>
      <c r="V54" s="145">
        <v>0</v>
      </c>
      <c r="W54" s="145">
        <v>0</v>
      </c>
      <c r="X54" s="145">
        <v>0</v>
      </c>
      <c r="Y54" s="145">
        <v>0</v>
      </c>
      <c r="Z54" s="145">
        <v>0</v>
      </c>
      <c r="AA54" s="142">
        <f t="shared" si="1"/>
        <v>0</v>
      </c>
      <c r="AB54" s="141"/>
      <c r="AC54" s="67"/>
      <c r="AD54" s="67"/>
      <c r="AE54" s="24"/>
      <c r="AF54" s="24"/>
      <c r="AG54" s="24"/>
    </row>
    <row r="55" spans="1:33" ht="61.5">
      <c r="A55" s="153">
        <v>52</v>
      </c>
      <c r="B55" s="153" t="s">
        <v>57</v>
      </c>
      <c r="C55" s="28"/>
      <c r="D55" s="28"/>
      <c r="E55" s="59"/>
      <c r="F55" s="59"/>
      <c r="G55" s="90"/>
      <c r="H55" s="90"/>
      <c r="I55" s="93"/>
      <c r="J55" s="96"/>
      <c r="K55" s="96"/>
      <c r="L55" s="69"/>
      <c r="M55" s="69"/>
      <c r="N55" s="39">
        <v>0</v>
      </c>
      <c r="O55" s="141"/>
      <c r="P55" s="141"/>
      <c r="Q55" s="141"/>
      <c r="R55" s="141"/>
      <c r="S55" s="141"/>
      <c r="T55" s="29">
        <v>0</v>
      </c>
      <c r="U55" s="145">
        <v>0</v>
      </c>
      <c r="V55" s="145">
        <v>0</v>
      </c>
      <c r="W55" s="145">
        <v>0</v>
      </c>
      <c r="X55" s="145">
        <v>0</v>
      </c>
      <c r="Y55" s="145">
        <v>0</v>
      </c>
      <c r="Z55" s="145">
        <v>0</v>
      </c>
      <c r="AA55" s="142">
        <f t="shared" si="1"/>
        <v>0</v>
      </c>
      <c r="AB55" s="141"/>
      <c r="AC55" s="67"/>
      <c r="AD55" s="67"/>
      <c r="AE55" s="24"/>
      <c r="AF55" s="24"/>
      <c r="AG55" s="24"/>
    </row>
    <row r="56" spans="1:33" ht="61.5">
      <c r="A56" s="153">
        <v>53</v>
      </c>
      <c r="B56" s="153" t="s">
        <v>57</v>
      </c>
      <c r="C56" s="140"/>
      <c r="D56" s="28"/>
      <c r="E56" s="59"/>
      <c r="F56" s="59"/>
      <c r="G56" s="90"/>
      <c r="H56" s="90"/>
      <c r="I56" s="93"/>
      <c r="J56" s="96"/>
      <c r="K56" s="96"/>
      <c r="L56" s="69"/>
      <c r="M56" s="69"/>
      <c r="N56" s="39">
        <v>0</v>
      </c>
      <c r="O56" s="141"/>
      <c r="P56" s="141"/>
      <c r="Q56" s="141"/>
      <c r="R56" s="141"/>
      <c r="S56" s="141"/>
      <c r="T56" s="29">
        <v>0</v>
      </c>
      <c r="U56" s="145">
        <v>0</v>
      </c>
      <c r="V56" s="145">
        <v>0</v>
      </c>
      <c r="W56" s="145">
        <v>0</v>
      </c>
      <c r="X56" s="145">
        <v>0</v>
      </c>
      <c r="Y56" s="145">
        <v>0</v>
      </c>
      <c r="Z56" s="145">
        <v>0</v>
      </c>
      <c r="AA56" s="142">
        <f t="shared" si="1"/>
        <v>0</v>
      </c>
      <c r="AB56" s="141"/>
      <c r="AC56" s="67"/>
      <c r="AD56" s="67"/>
      <c r="AE56" s="24"/>
      <c r="AF56" s="24"/>
      <c r="AG56" s="24"/>
    </row>
    <row r="57" spans="1:33" ht="61.5">
      <c r="A57" s="153">
        <v>54</v>
      </c>
      <c r="B57" s="153" t="s">
        <v>57</v>
      </c>
      <c r="C57" s="140"/>
      <c r="D57" s="28"/>
      <c r="E57" s="59"/>
      <c r="F57" s="59"/>
      <c r="G57" s="90"/>
      <c r="H57" s="90"/>
      <c r="I57" s="93"/>
      <c r="J57" s="96"/>
      <c r="K57" s="96"/>
      <c r="L57" s="69"/>
      <c r="M57" s="69"/>
      <c r="N57" s="39">
        <v>0</v>
      </c>
      <c r="O57" s="141"/>
      <c r="P57" s="141"/>
      <c r="Q57" s="141"/>
      <c r="R57" s="21"/>
      <c r="S57" s="141"/>
      <c r="T57" s="29">
        <v>0</v>
      </c>
      <c r="U57" s="145">
        <v>0</v>
      </c>
      <c r="V57" s="145">
        <v>0</v>
      </c>
      <c r="W57" s="145">
        <v>0</v>
      </c>
      <c r="X57" s="145">
        <v>0</v>
      </c>
      <c r="Y57" s="145">
        <v>0</v>
      </c>
      <c r="Z57" s="145">
        <v>0</v>
      </c>
      <c r="AA57" s="142">
        <f t="shared" si="1"/>
        <v>0</v>
      </c>
      <c r="AB57" s="141"/>
      <c r="AC57" s="67"/>
      <c r="AD57" s="67"/>
      <c r="AE57" s="24"/>
      <c r="AF57" s="24"/>
      <c r="AG57" s="24"/>
    </row>
    <row r="58" spans="1:33" ht="61.5">
      <c r="A58" s="153">
        <v>55</v>
      </c>
      <c r="B58" s="153" t="s">
        <v>57</v>
      </c>
      <c r="C58" s="140"/>
      <c r="D58" s="28"/>
      <c r="E58" s="59"/>
      <c r="F58" s="59"/>
      <c r="G58" s="90"/>
      <c r="H58" s="90"/>
      <c r="I58" s="93"/>
      <c r="J58" s="96"/>
      <c r="K58" s="96"/>
      <c r="L58" s="69"/>
      <c r="M58" s="69"/>
      <c r="N58" s="39">
        <v>0</v>
      </c>
      <c r="O58" s="141"/>
      <c r="P58" s="141"/>
      <c r="Q58" s="141"/>
      <c r="R58" s="141"/>
      <c r="S58" s="141"/>
      <c r="T58" s="29">
        <v>0</v>
      </c>
      <c r="U58" s="145">
        <v>0</v>
      </c>
      <c r="V58" s="145">
        <v>0</v>
      </c>
      <c r="W58" s="145">
        <v>0</v>
      </c>
      <c r="X58" s="145">
        <v>0</v>
      </c>
      <c r="Y58" s="145">
        <v>0</v>
      </c>
      <c r="Z58" s="145">
        <v>0</v>
      </c>
      <c r="AA58" s="142">
        <f t="shared" si="1"/>
        <v>0</v>
      </c>
      <c r="AB58" s="141"/>
      <c r="AC58" s="67"/>
      <c r="AD58" s="67"/>
      <c r="AE58" s="24"/>
      <c r="AF58" s="24"/>
      <c r="AG58" s="24"/>
    </row>
    <row r="59" spans="1:33" ht="61.5">
      <c r="A59" s="153">
        <v>56</v>
      </c>
      <c r="B59" s="153" t="s">
        <v>57</v>
      </c>
      <c r="C59" s="140"/>
      <c r="D59" s="28"/>
      <c r="E59" s="59"/>
      <c r="F59" s="59"/>
      <c r="G59" s="90"/>
      <c r="H59" s="90"/>
      <c r="I59" s="93"/>
      <c r="J59" s="96"/>
      <c r="K59" s="96"/>
      <c r="L59" s="69"/>
      <c r="M59" s="69"/>
      <c r="N59" s="39">
        <v>0</v>
      </c>
      <c r="O59" s="141"/>
      <c r="P59" s="141"/>
      <c r="Q59" s="141"/>
      <c r="R59" s="141"/>
      <c r="S59" s="141"/>
      <c r="T59" s="29">
        <v>0</v>
      </c>
      <c r="U59" s="145">
        <v>0</v>
      </c>
      <c r="V59" s="145">
        <v>0</v>
      </c>
      <c r="W59" s="145">
        <v>0</v>
      </c>
      <c r="X59" s="145">
        <v>0</v>
      </c>
      <c r="Y59" s="145">
        <v>0</v>
      </c>
      <c r="Z59" s="145">
        <v>0</v>
      </c>
      <c r="AA59" s="142">
        <f t="shared" si="1"/>
        <v>0</v>
      </c>
      <c r="AB59" s="141"/>
      <c r="AC59" s="67"/>
      <c r="AD59" s="67"/>
      <c r="AE59" s="24"/>
      <c r="AF59" s="24"/>
      <c r="AG59" s="24"/>
    </row>
    <row r="60" spans="1:33" ht="61.5">
      <c r="A60" s="153">
        <v>57</v>
      </c>
      <c r="B60" s="153" t="s">
        <v>57</v>
      </c>
      <c r="C60" s="58"/>
      <c r="D60" s="28"/>
      <c r="E60" s="59"/>
      <c r="F60" s="59"/>
      <c r="G60" s="90"/>
      <c r="H60" s="90"/>
      <c r="I60" s="93"/>
      <c r="J60" s="96"/>
      <c r="K60" s="96"/>
      <c r="L60" s="69"/>
      <c r="M60" s="69"/>
      <c r="N60" s="39">
        <v>0</v>
      </c>
      <c r="O60" s="141"/>
      <c r="P60" s="141"/>
      <c r="Q60" s="141"/>
      <c r="R60" s="141"/>
      <c r="S60" s="141"/>
      <c r="T60" s="29">
        <v>0</v>
      </c>
      <c r="U60" s="145">
        <v>0</v>
      </c>
      <c r="V60" s="145">
        <v>0</v>
      </c>
      <c r="W60" s="145">
        <v>0</v>
      </c>
      <c r="X60" s="145">
        <v>0</v>
      </c>
      <c r="Y60" s="145">
        <v>0</v>
      </c>
      <c r="Z60" s="145">
        <v>0</v>
      </c>
      <c r="AA60" s="142">
        <f t="shared" si="1"/>
        <v>0</v>
      </c>
      <c r="AB60" s="141"/>
      <c r="AC60" s="67"/>
      <c r="AD60" s="67"/>
      <c r="AE60" s="24"/>
      <c r="AF60" s="24"/>
      <c r="AG60" s="24"/>
    </row>
    <row r="61" spans="1:33" ht="61.5">
      <c r="A61" s="153">
        <v>58</v>
      </c>
      <c r="B61" s="153" t="s">
        <v>57</v>
      </c>
      <c r="C61" s="140"/>
      <c r="D61" s="28"/>
      <c r="E61" s="59"/>
      <c r="F61" s="59"/>
      <c r="G61" s="90"/>
      <c r="H61" s="90"/>
      <c r="I61" s="93"/>
      <c r="J61" s="96"/>
      <c r="K61" s="96"/>
      <c r="L61" s="69"/>
      <c r="M61" s="69"/>
      <c r="N61" s="39">
        <v>0</v>
      </c>
      <c r="O61" s="21"/>
      <c r="P61" s="21"/>
      <c r="Q61" s="141"/>
      <c r="R61" s="21"/>
      <c r="S61" s="141"/>
      <c r="T61" s="29">
        <v>0</v>
      </c>
      <c r="U61" s="145">
        <v>0</v>
      </c>
      <c r="V61" s="145">
        <v>0</v>
      </c>
      <c r="W61" s="145">
        <v>0</v>
      </c>
      <c r="X61" s="145">
        <v>0</v>
      </c>
      <c r="Y61" s="145">
        <v>0</v>
      </c>
      <c r="Z61" s="145">
        <v>0</v>
      </c>
      <c r="AA61" s="142">
        <f t="shared" si="1"/>
        <v>0</v>
      </c>
      <c r="AB61" s="141"/>
      <c r="AC61" s="67"/>
      <c r="AD61" s="67"/>
      <c r="AE61" s="24"/>
      <c r="AF61" s="24"/>
      <c r="AG61" s="24"/>
    </row>
    <row r="62" spans="1:33" ht="61.5">
      <c r="A62" s="153">
        <v>59</v>
      </c>
      <c r="B62" s="153" t="s">
        <v>57</v>
      </c>
      <c r="C62" s="140"/>
      <c r="D62" s="28"/>
      <c r="E62" s="59"/>
      <c r="F62" s="59"/>
      <c r="G62" s="90"/>
      <c r="H62" s="90"/>
      <c r="I62" s="93"/>
      <c r="J62" s="96"/>
      <c r="K62" s="96"/>
      <c r="L62" s="69"/>
      <c r="M62" s="69"/>
      <c r="N62" s="39">
        <v>0</v>
      </c>
      <c r="O62" s="141"/>
      <c r="P62" s="141"/>
      <c r="Q62" s="141"/>
      <c r="R62" s="141"/>
      <c r="S62" s="141"/>
      <c r="T62" s="29">
        <v>0</v>
      </c>
      <c r="U62" s="145">
        <v>0</v>
      </c>
      <c r="V62" s="145">
        <v>0</v>
      </c>
      <c r="W62" s="145">
        <v>0</v>
      </c>
      <c r="X62" s="145">
        <v>0</v>
      </c>
      <c r="Y62" s="145">
        <v>0</v>
      </c>
      <c r="Z62" s="145">
        <v>0</v>
      </c>
      <c r="AA62" s="142">
        <f t="shared" si="1"/>
        <v>0</v>
      </c>
      <c r="AB62" s="141"/>
      <c r="AC62" s="67"/>
      <c r="AD62" s="67"/>
      <c r="AE62" s="24"/>
      <c r="AF62" s="24"/>
      <c r="AG62" s="24"/>
    </row>
    <row r="63" spans="1:33" ht="61.5">
      <c r="A63" s="153">
        <v>60</v>
      </c>
      <c r="B63" s="153" t="s">
        <v>57</v>
      </c>
      <c r="C63" s="140"/>
      <c r="D63" s="28"/>
      <c r="E63" s="59"/>
      <c r="F63" s="59"/>
      <c r="G63" s="90"/>
      <c r="H63" s="90"/>
      <c r="I63" s="93"/>
      <c r="J63" s="96"/>
      <c r="K63" s="96"/>
      <c r="L63" s="69"/>
      <c r="M63" s="69"/>
      <c r="N63" s="39">
        <v>0</v>
      </c>
      <c r="O63" s="141"/>
      <c r="P63" s="141"/>
      <c r="Q63" s="141"/>
      <c r="R63" s="141"/>
      <c r="S63" s="141"/>
      <c r="T63" s="29">
        <v>0</v>
      </c>
      <c r="U63" s="145">
        <v>0</v>
      </c>
      <c r="V63" s="145">
        <v>0</v>
      </c>
      <c r="W63" s="145">
        <v>0</v>
      </c>
      <c r="X63" s="145">
        <v>0</v>
      </c>
      <c r="Y63" s="145">
        <v>0</v>
      </c>
      <c r="Z63" s="145">
        <v>0</v>
      </c>
      <c r="AA63" s="142">
        <f t="shared" si="1"/>
        <v>0</v>
      </c>
      <c r="AB63" s="141"/>
      <c r="AC63" s="67"/>
      <c r="AD63" s="67"/>
      <c r="AE63" s="24"/>
      <c r="AF63" s="24"/>
      <c r="AG63" s="24"/>
    </row>
    <row r="64" spans="1:33" ht="61.5">
      <c r="A64" s="153">
        <v>61</v>
      </c>
      <c r="B64" s="140" t="s">
        <v>217</v>
      </c>
      <c r="C64" s="140"/>
      <c r="D64" s="28"/>
      <c r="E64" s="59"/>
      <c r="F64" s="59"/>
      <c r="G64" s="90"/>
      <c r="H64" s="90"/>
      <c r="I64" s="93"/>
      <c r="J64" s="96"/>
      <c r="K64" s="96"/>
      <c r="L64" s="69"/>
      <c r="M64" s="69"/>
      <c r="N64" s="39">
        <v>0</v>
      </c>
      <c r="O64" s="141"/>
      <c r="P64" s="141"/>
      <c r="Q64" s="141"/>
      <c r="R64" s="141"/>
      <c r="S64" s="141"/>
      <c r="T64" s="29">
        <v>0</v>
      </c>
      <c r="U64" s="145">
        <v>0</v>
      </c>
      <c r="V64" s="145">
        <v>0</v>
      </c>
      <c r="W64" s="145">
        <v>0</v>
      </c>
      <c r="X64" s="145">
        <v>0</v>
      </c>
      <c r="Y64" s="145">
        <v>0</v>
      </c>
      <c r="Z64" s="145">
        <v>0</v>
      </c>
      <c r="AA64" s="142">
        <f t="shared" si="1"/>
        <v>0</v>
      </c>
      <c r="AB64" s="141"/>
      <c r="AC64" s="67"/>
      <c r="AD64" s="67"/>
      <c r="AE64" s="24"/>
      <c r="AF64" s="24"/>
      <c r="AG64" s="24"/>
    </row>
    <row r="65" spans="1:33" ht="61.5">
      <c r="A65" s="153">
        <v>62</v>
      </c>
      <c r="B65" s="140" t="s">
        <v>521</v>
      </c>
      <c r="C65" s="140"/>
      <c r="D65" s="28"/>
      <c r="E65" s="59"/>
      <c r="F65" s="59"/>
      <c r="G65" s="90"/>
      <c r="H65" s="90"/>
      <c r="I65" s="93"/>
      <c r="J65" s="96"/>
      <c r="K65" s="96"/>
      <c r="L65" s="69"/>
      <c r="M65" s="69"/>
      <c r="N65" s="39">
        <v>0</v>
      </c>
      <c r="O65" s="141"/>
      <c r="P65" s="141"/>
      <c r="Q65" s="141"/>
      <c r="R65" s="141"/>
      <c r="S65" s="141"/>
      <c r="T65" s="29">
        <v>0</v>
      </c>
      <c r="U65" s="145">
        <v>0</v>
      </c>
      <c r="V65" s="145">
        <v>0</v>
      </c>
      <c r="W65" s="145">
        <v>0</v>
      </c>
      <c r="X65" s="145">
        <v>0</v>
      </c>
      <c r="Y65" s="145">
        <v>0</v>
      </c>
      <c r="Z65" s="145">
        <v>0</v>
      </c>
      <c r="AA65" s="142">
        <f t="shared" si="1"/>
        <v>0</v>
      </c>
      <c r="AB65" s="141"/>
      <c r="AC65" s="67"/>
      <c r="AD65" s="67"/>
      <c r="AE65" s="24"/>
      <c r="AF65" s="24"/>
      <c r="AG65" s="24"/>
    </row>
    <row r="66" spans="1:33" ht="61.5">
      <c r="A66" s="153">
        <v>63</v>
      </c>
      <c r="B66" s="140"/>
      <c r="C66" s="140"/>
      <c r="D66" s="28"/>
      <c r="E66" s="59"/>
      <c r="F66" s="59"/>
      <c r="G66" s="90"/>
      <c r="H66" s="90"/>
      <c r="I66" s="93"/>
      <c r="J66" s="96"/>
      <c r="K66" s="96"/>
      <c r="L66" s="69"/>
      <c r="M66" s="69"/>
      <c r="N66" s="39">
        <v>0</v>
      </c>
      <c r="O66" s="141"/>
      <c r="P66" s="141"/>
      <c r="Q66" s="141"/>
      <c r="R66" s="141"/>
      <c r="S66" s="141"/>
      <c r="T66" s="29">
        <v>0</v>
      </c>
      <c r="U66" s="145">
        <v>0</v>
      </c>
      <c r="V66" s="145">
        <v>0</v>
      </c>
      <c r="W66" s="145">
        <v>0</v>
      </c>
      <c r="X66" s="145">
        <v>0</v>
      </c>
      <c r="Y66" s="145">
        <v>0</v>
      </c>
      <c r="Z66" s="145">
        <v>0</v>
      </c>
      <c r="AA66" s="142">
        <f t="shared" si="1"/>
        <v>0</v>
      </c>
      <c r="AB66" s="141"/>
      <c r="AC66" s="67"/>
      <c r="AD66" s="67"/>
      <c r="AE66" s="24"/>
      <c r="AF66" s="24"/>
      <c r="AG66" s="24"/>
    </row>
    <row r="67" spans="1:33" ht="61.5">
      <c r="A67" s="153">
        <v>64</v>
      </c>
      <c r="B67" s="140"/>
      <c r="C67" s="140"/>
      <c r="D67" s="28"/>
      <c r="E67" s="59"/>
      <c r="F67" s="59"/>
      <c r="G67" s="90"/>
      <c r="H67" s="90"/>
      <c r="I67" s="93"/>
      <c r="J67" s="96"/>
      <c r="K67" s="96"/>
      <c r="L67" s="69"/>
      <c r="M67" s="69"/>
      <c r="N67" s="39">
        <v>0</v>
      </c>
      <c r="O67" s="141"/>
      <c r="P67" s="141"/>
      <c r="Q67" s="141"/>
      <c r="R67" s="141"/>
      <c r="S67" s="141"/>
      <c r="T67" s="29">
        <v>0</v>
      </c>
      <c r="U67" s="145">
        <v>0</v>
      </c>
      <c r="V67" s="145">
        <v>0</v>
      </c>
      <c r="W67" s="145">
        <v>0</v>
      </c>
      <c r="X67" s="145">
        <v>0</v>
      </c>
      <c r="Y67" s="145">
        <v>0</v>
      </c>
      <c r="Z67" s="145">
        <v>0</v>
      </c>
      <c r="AA67" s="142">
        <f t="shared" si="1"/>
        <v>0</v>
      </c>
      <c r="AB67" s="141"/>
      <c r="AC67" s="67"/>
      <c r="AD67" s="67"/>
      <c r="AE67" s="24"/>
      <c r="AF67" s="24"/>
      <c r="AG67" s="24"/>
    </row>
    <row r="68" spans="1:33" ht="61.5">
      <c r="A68" s="153">
        <v>65</v>
      </c>
      <c r="B68" s="140"/>
      <c r="C68" s="140"/>
      <c r="D68" s="28"/>
      <c r="E68" s="59"/>
      <c r="F68" s="59"/>
      <c r="G68" s="90"/>
      <c r="H68" s="90"/>
      <c r="I68" s="93"/>
      <c r="J68" s="95"/>
      <c r="K68" s="95"/>
      <c r="L68" s="69"/>
      <c r="M68" s="69"/>
      <c r="N68" s="39">
        <v>0</v>
      </c>
      <c r="O68" s="141"/>
      <c r="P68" s="35"/>
      <c r="Q68" s="35"/>
      <c r="R68" s="65"/>
      <c r="S68" s="141"/>
      <c r="T68" s="29">
        <v>0</v>
      </c>
      <c r="U68" s="145">
        <v>0</v>
      </c>
      <c r="V68" s="145">
        <v>0</v>
      </c>
      <c r="W68" s="145">
        <v>0</v>
      </c>
      <c r="X68" s="145">
        <v>0</v>
      </c>
      <c r="Y68" s="145">
        <v>0</v>
      </c>
      <c r="Z68" s="145">
        <v>0</v>
      </c>
      <c r="AA68" s="142">
        <f t="shared" ref="AA68:AA99" si="2">AVERAGE(T68:Z68)</f>
        <v>0</v>
      </c>
      <c r="AB68" s="141"/>
      <c r="AC68" s="67"/>
      <c r="AD68" s="67"/>
      <c r="AE68" s="24"/>
      <c r="AF68" s="24"/>
      <c r="AG68" s="24"/>
    </row>
    <row r="69" spans="1:33" ht="61.5">
      <c r="A69" s="153">
        <v>66</v>
      </c>
      <c r="B69" s="140"/>
      <c r="C69" s="140"/>
      <c r="D69" s="28"/>
      <c r="E69" s="59"/>
      <c r="F69" s="59"/>
      <c r="G69" s="90"/>
      <c r="H69" s="90"/>
      <c r="I69" s="93"/>
      <c r="J69" s="93"/>
      <c r="K69" s="93"/>
      <c r="L69" s="69"/>
      <c r="M69" s="69"/>
      <c r="N69" s="39">
        <v>0</v>
      </c>
      <c r="O69" s="141"/>
      <c r="P69" s="141"/>
      <c r="Q69" s="141"/>
      <c r="R69" s="141"/>
      <c r="S69" s="141"/>
      <c r="T69" s="29">
        <v>0</v>
      </c>
      <c r="U69" s="145">
        <v>0</v>
      </c>
      <c r="V69" s="145">
        <v>0</v>
      </c>
      <c r="W69" s="145">
        <v>0</v>
      </c>
      <c r="X69" s="145">
        <v>0</v>
      </c>
      <c r="Y69" s="145">
        <v>0</v>
      </c>
      <c r="Z69" s="145">
        <v>0</v>
      </c>
      <c r="AA69" s="142">
        <f t="shared" si="2"/>
        <v>0</v>
      </c>
      <c r="AB69" s="141"/>
      <c r="AC69" s="67"/>
      <c r="AD69" s="67"/>
      <c r="AE69" s="24"/>
      <c r="AF69" s="24"/>
      <c r="AG69" s="24"/>
    </row>
    <row r="70" spans="1:33" ht="61.5">
      <c r="A70" s="153">
        <v>67</v>
      </c>
      <c r="B70" s="140"/>
      <c r="C70" s="140"/>
      <c r="D70" s="28"/>
      <c r="E70" s="59"/>
      <c r="F70" s="59"/>
      <c r="G70" s="90"/>
      <c r="H70" s="90"/>
      <c r="I70" s="93"/>
      <c r="J70" s="93"/>
      <c r="K70" s="93"/>
      <c r="L70" s="69"/>
      <c r="M70" s="69"/>
      <c r="N70" s="39">
        <v>0</v>
      </c>
      <c r="O70" s="141"/>
      <c r="P70" s="141"/>
      <c r="Q70" s="141"/>
      <c r="R70" s="141"/>
      <c r="S70" s="141"/>
      <c r="T70" s="29">
        <v>0</v>
      </c>
      <c r="U70" s="145">
        <v>0</v>
      </c>
      <c r="V70" s="145">
        <v>0</v>
      </c>
      <c r="W70" s="145">
        <v>0</v>
      </c>
      <c r="X70" s="145">
        <v>0</v>
      </c>
      <c r="Y70" s="145">
        <v>0</v>
      </c>
      <c r="Z70" s="145">
        <v>0</v>
      </c>
      <c r="AA70" s="142">
        <f t="shared" si="2"/>
        <v>0</v>
      </c>
      <c r="AB70" s="141"/>
      <c r="AC70" s="67"/>
      <c r="AD70" s="67"/>
      <c r="AE70" s="24"/>
      <c r="AF70" s="24"/>
      <c r="AG70" s="24"/>
    </row>
    <row r="71" spans="1:33" ht="61.5">
      <c r="A71" s="153">
        <v>68</v>
      </c>
      <c r="B71" s="140"/>
      <c r="C71" s="140"/>
      <c r="D71" s="28"/>
      <c r="E71" s="59"/>
      <c r="F71" s="59"/>
      <c r="G71" s="90"/>
      <c r="H71" s="90"/>
      <c r="I71" s="93"/>
      <c r="J71" s="93"/>
      <c r="K71" s="93"/>
      <c r="L71" s="69"/>
      <c r="M71" s="69"/>
      <c r="N71" s="39">
        <v>0</v>
      </c>
      <c r="O71" s="141"/>
      <c r="P71" s="141"/>
      <c r="Q71" s="141"/>
      <c r="R71" s="141"/>
      <c r="S71" s="141"/>
      <c r="T71" s="29">
        <v>0</v>
      </c>
      <c r="U71" s="145">
        <v>0</v>
      </c>
      <c r="V71" s="145">
        <v>0</v>
      </c>
      <c r="W71" s="145">
        <v>0</v>
      </c>
      <c r="X71" s="145">
        <v>0</v>
      </c>
      <c r="Y71" s="145">
        <v>0</v>
      </c>
      <c r="Z71" s="145">
        <v>0</v>
      </c>
      <c r="AA71" s="142">
        <f t="shared" si="2"/>
        <v>0</v>
      </c>
      <c r="AB71" s="141"/>
      <c r="AC71" s="67"/>
      <c r="AD71" s="67"/>
      <c r="AE71" s="24"/>
      <c r="AF71" s="24"/>
      <c r="AG71" s="24"/>
    </row>
    <row r="72" spans="1:33" ht="61.5">
      <c r="A72" s="153">
        <v>69</v>
      </c>
      <c r="B72" s="140"/>
      <c r="C72" s="140"/>
      <c r="D72" s="28"/>
      <c r="E72" s="59"/>
      <c r="F72" s="59"/>
      <c r="G72" s="90"/>
      <c r="H72" s="90"/>
      <c r="I72" s="93"/>
      <c r="J72" s="93"/>
      <c r="K72" s="93"/>
      <c r="L72" s="69"/>
      <c r="M72" s="69"/>
      <c r="N72" s="39">
        <v>0</v>
      </c>
      <c r="O72" s="141"/>
      <c r="P72" s="141"/>
      <c r="Q72" s="141"/>
      <c r="R72" s="141"/>
      <c r="S72" s="141"/>
      <c r="T72" s="29">
        <v>0</v>
      </c>
      <c r="U72" s="145">
        <v>0</v>
      </c>
      <c r="V72" s="145">
        <v>0</v>
      </c>
      <c r="W72" s="145">
        <v>0</v>
      </c>
      <c r="X72" s="145">
        <v>0</v>
      </c>
      <c r="Y72" s="145">
        <v>0</v>
      </c>
      <c r="Z72" s="145">
        <v>0</v>
      </c>
      <c r="AA72" s="142">
        <f t="shared" si="2"/>
        <v>0</v>
      </c>
      <c r="AB72" s="141"/>
      <c r="AC72" s="67"/>
      <c r="AD72" s="67"/>
      <c r="AE72" s="24"/>
      <c r="AF72" s="24"/>
      <c r="AG72" s="24"/>
    </row>
    <row r="73" spans="1:33" ht="61.5">
      <c r="A73" s="153">
        <v>70</v>
      </c>
      <c r="B73" s="140"/>
      <c r="C73" s="140"/>
      <c r="D73" s="28"/>
      <c r="E73" s="59"/>
      <c r="F73" s="59"/>
      <c r="G73" s="90"/>
      <c r="H73" s="90"/>
      <c r="I73" s="93"/>
      <c r="J73" s="93"/>
      <c r="K73" s="93"/>
      <c r="L73" s="69"/>
      <c r="M73" s="69"/>
      <c r="N73" s="39">
        <v>0</v>
      </c>
      <c r="O73" s="141"/>
      <c r="P73" s="141"/>
      <c r="Q73" s="141"/>
      <c r="R73" s="141"/>
      <c r="S73" s="141"/>
      <c r="T73" s="29">
        <v>0</v>
      </c>
      <c r="U73" s="145">
        <v>0</v>
      </c>
      <c r="V73" s="145">
        <v>0</v>
      </c>
      <c r="W73" s="145">
        <v>0</v>
      </c>
      <c r="X73" s="145">
        <v>0</v>
      </c>
      <c r="Y73" s="145">
        <v>0</v>
      </c>
      <c r="Z73" s="145">
        <v>0</v>
      </c>
      <c r="AA73" s="142">
        <f t="shared" si="2"/>
        <v>0</v>
      </c>
      <c r="AB73" s="141"/>
      <c r="AC73" s="67"/>
      <c r="AD73" s="67"/>
      <c r="AE73" s="24"/>
      <c r="AF73" s="24"/>
      <c r="AG73" s="24"/>
    </row>
    <row r="74" spans="1:33" ht="61.5">
      <c r="A74" s="153">
        <v>71</v>
      </c>
      <c r="B74" s="140"/>
      <c r="C74" s="140"/>
      <c r="D74" s="28"/>
      <c r="E74" s="59"/>
      <c r="F74" s="59"/>
      <c r="G74" s="90"/>
      <c r="H74" s="90"/>
      <c r="I74" s="93"/>
      <c r="J74" s="93"/>
      <c r="K74" s="93"/>
      <c r="L74" s="69"/>
      <c r="M74" s="69"/>
      <c r="N74" s="39">
        <v>0</v>
      </c>
      <c r="O74" s="21"/>
      <c r="P74" s="21"/>
      <c r="Q74" s="141"/>
      <c r="R74" s="21"/>
      <c r="S74" s="141"/>
      <c r="T74" s="29">
        <v>0</v>
      </c>
      <c r="U74" s="145">
        <v>0</v>
      </c>
      <c r="V74" s="145">
        <v>0</v>
      </c>
      <c r="W74" s="145">
        <v>0</v>
      </c>
      <c r="X74" s="145">
        <v>0</v>
      </c>
      <c r="Y74" s="145">
        <v>0</v>
      </c>
      <c r="Z74" s="145">
        <v>0</v>
      </c>
      <c r="AA74" s="142">
        <f t="shared" si="2"/>
        <v>0</v>
      </c>
      <c r="AB74" s="141"/>
      <c r="AC74" s="67"/>
      <c r="AD74" s="67"/>
      <c r="AE74" s="24"/>
      <c r="AF74" s="24"/>
      <c r="AG74" s="24"/>
    </row>
    <row r="75" spans="1:33" ht="61.5">
      <c r="A75" s="153">
        <v>72</v>
      </c>
      <c r="B75" s="140"/>
      <c r="C75" s="140"/>
      <c r="D75" s="28"/>
      <c r="E75" s="59"/>
      <c r="F75" s="59"/>
      <c r="G75" s="90"/>
      <c r="H75" s="90"/>
      <c r="I75" s="93"/>
      <c r="J75" s="93"/>
      <c r="K75" s="93"/>
      <c r="L75" s="69"/>
      <c r="M75" s="69"/>
      <c r="N75" s="39">
        <v>0</v>
      </c>
      <c r="O75" s="53"/>
      <c r="P75" s="53"/>
      <c r="Q75" s="141"/>
      <c r="R75" s="141"/>
      <c r="S75" s="141"/>
      <c r="T75" s="29">
        <v>0</v>
      </c>
      <c r="U75" s="145">
        <v>0</v>
      </c>
      <c r="V75" s="145">
        <v>0</v>
      </c>
      <c r="W75" s="145">
        <v>0</v>
      </c>
      <c r="X75" s="145">
        <v>0</v>
      </c>
      <c r="Y75" s="145">
        <v>0</v>
      </c>
      <c r="Z75" s="145">
        <v>0</v>
      </c>
      <c r="AA75" s="142">
        <f t="shared" si="2"/>
        <v>0</v>
      </c>
      <c r="AB75" s="141"/>
      <c r="AC75" s="67"/>
      <c r="AD75" s="67"/>
      <c r="AE75" s="24"/>
      <c r="AF75" s="24"/>
      <c r="AG75" s="24"/>
    </row>
    <row r="76" spans="1:33" ht="61.5">
      <c r="A76" s="153">
        <v>73</v>
      </c>
      <c r="B76" s="140"/>
      <c r="C76" s="140"/>
      <c r="D76" s="28"/>
      <c r="E76" s="59"/>
      <c r="F76" s="59"/>
      <c r="G76" s="90"/>
      <c r="H76" s="90"/>
      <c r="I76" s="93"/>
      <c r="J76" s="93"/>
      <c r="K76" s="93"/>
      <c r="L76" s="69"/>
      <c r="M76" s="69"/>
      <c r="N76" s="39">
        <v>0</v>
      </c>
      <c r="O76" s="141"/>
      <c r="P76" s="141"/>
      <c r="Q76" s="141"/>
      <c r="R76" s="141"/>
      <c r="S76" s="141"/>
      <c r="T76" s="29">
        <v>0</v>
      </c>
      <c r="U76" s="145">
        <v>0</v>
      </c>
      <c r="V76" s="145">
        <v>0</v>
      </c>
      <c r="W76" s="145">
        <v>0</v>
      </c>
      <c r="X76" s="145">
        <v>0</v>
      </c>
      <c r="Y76" s="145">
        <v>0</v>
      </c>
      <c r="Z76" s="145">
        <v>0</v>
      </c>
      <c r="AA76" s="142">
        <f t="shared" si="2"/>
        <v>0</v>
      </c>
      <c r="AB76" s="141"/>
      <c r="AC76" s="67"/>
      <c r="AD76" s="67"/>
      <c r="AE76" s="24"/>
      <c r="AF76" s="24"/>
      <c r="AG76" s="24"/>
    </row>
    <row r="77" spans="1:33" ht="61.5">
      <c r="A77" s="153">
        <v>74</v>
      </c>
      <c r="B77" s="140"/>
      <c r="C77" s="140"/>
      <c r="D77" s="28"/>
      <c r="E77" s="59"/>
      <c r="F77" s="59"/>
      <c r="G77" s="90"/>
      <c r="H77" s="90"/>
      <c r="I77" s="93"/>
      <c r="J77" s="93"/>
      <c r="K77" s="93"/>
      <c r="L77" s="69"/>
      <c r="M77" s="69"/>
      <c r="N77" s="39">
        <v>0</v>
      </c>
      <c r="O77" s="141"/>
      <c r="P77" s="141"/>
      <c r="Q77" s="141"/>
      <c r="R77" s="141"/>
      <c r="S77" s="141"/>
      <c r="T77" s="29">
        <v>0</v>
      </c>
      <c r="U77" s="145">
        <v>0</v>
      </c>
      <c r="V77" s="145">
        <v>0</v>
      </c>
      <c r="W77" s="145">
        <v>0</v>
      </c>
      <c r="X77" s="145">
        <v>0</v>
      </c>
      <c r="Y77" s="145">
        <v>0</v>
      </c>
      <c r="Z77" s="145">
        <v>0</v>
      </c>
      <c r="AA77" s="142">
        <f t="shared" si="2"/>
        <v>0</v>
      </c>
      <c r="AB77" s="141"/>
      <c r="AC77" s="67"/>
      <c r="AD77" s="67"/>
      <c r="AE77" s="24"/>
      <c r="AF77" s="24"/>
      <c r="AG77" s="24"/>
    </row>
    <row r="78" spans="1:33" ht="61.5">
      <c r="A78" s="153">
        <v>75</v>
      </c>
      <c r="B78" s="140"/>
      <c r="C78" s="140"/>
      <c r="D78" s="28"/>
      <c r="E78" s="59"/>
      <c r="F78" s="59"/>
      <c r="G78" s="90"/>
      <c r="H78" s="90"/>
      <c r="I78" s="93"/>
      <c r="J78" s="96"/>
      <c r="K78" s="96"/>
      <c r="L78" s="69"/>
      <c r="M78" s="69"/>
      <c r="N78" s="39">
        <v>0</v>
      </c>
      <c r="O78" s="141"/>
      <c r="P78" s="141"/>
      <c r="Q78" s="141"/>
      <c r="R78" s="141"/>
      <c r="S78" s="141"/>
      <c r="T78" s="29">
        <v>0</v>
      </c>
      <c r="U78" s="145">
        <v>0</v>
      </c>
      <c r="V78" s="145">
        <v>0</v>
      </c>
      <c r="W78" s="145">
        <v>0</v>
      </c>
      <c r="X78" s="145">
        <v>0</v>
      </c>
      <c r="Y78" s="145">
        <v>0</v>
      </c>
      <c r="Z78" s="145">
        <v>0</v>
      </c>
      <c r="AA78" s="142">
        <f t="shared" si="2"/>
        <v>0</v>
      </c>
      <c r="AB78" s="141"/>
      <c r="AC78" s="67"/>
      <c r="AD78" s="67"/>
      <c r="AE78" s="24"/>
      <c r="AF78" s="24"/>
      <c r="AG78" s="24"/>
    </row>
    <row r="79" spans="1:33" ht="61.5">
      <c r="A79" s="153">
        <v>76</v>
      </c>
      <c r="B79" s="140"/>
      <c r="C79" s="140"/>
      <c r="D79" s="28"/>
      <c r="E79" s="59"/>
      <c r="F79" s="59"/>
      <c r="G79" s="90"/>
      <c r="H79" s="90"/>
      <c r="I79" s="93"/>
      <c r="J79" s="93"/>
      <c r="K79" s="93"/>
      <c r="L79" s="69"/>
      <c r="M79" s="69"/>
      <c r="N79" s="39">
        <v>0</v>
      </c>
      <c r="O79" s="141"/>
      <c r="P79" s="141"/>
      <c r="Q79" s="141"/>
      <c r="R79" s="21"/>
      <c r="S79" s="141"/>
      <c r="T79" s="29">
        <v>0</v>
      </c>
      <c r="U79" s="145">
        <v>0</v>
      </c>
      <c r="V79" s="145">
        <v>0</v>
      </c>
      <c r="W79" s="145">
        <v>0</v>
      </c>
      <c r="X79" s="145">
        <v>0</v>
      </c>
      <c r="Y79" s="145">
        <v>0</v>
      </c>
      <c r="Z79" s="145">
        <v>0</v>
      </c>
      <c r="AA79" s="142">
        <f t="shared" si="2"/>
        <v>0</v>
      </c>
      <c r="AB79" s="141"/>
      <c r="AC79" s="67"/>
      <c r="AD79" s="67"/>
      <c r="AE79" s="24"/>
      <c r="AF79" s="24"/>
      <c r="AG79" s="24"/>
    </row>
    <row r="80" spans="1:33" ht="61.5">
      <c r="A80" s="153">
        <v>77</v>
      </c>
      <c r="B80" s="140"/>
      <c r="C80" s="140"/>
      <c r="D80" s="28"/>
      <c r="E80" s="59"/>
      <c r="F80" s="59"/>
      <c r="G80" s="90"/>
      <c r="H80" s="90"/>
      <c r="I80" s="93"/>
      <c r="J80" s="93"/>
      <c r="K80" s="93"/>
      <c r="L80" s="69"/>
      <c r="M80" s="69"/>
      <c r="N80" s="39">
        <v>0</v>
      </c>
      <c r="O80" s="21"/>
      <c r="P80" s="21"/>
      <c r="Q80" s="141"/>
      <c r="R80" s="21"/>
      <c r="S80" s="141"/>
      <c r="T80" s="29">
        <v>0</v>
      </c>
      <c r="U80" s="145">
        <v>0</v>
      </c>
      <c r="V80" s="145">
        <v>0</v>
      </c>
      <c r="W80" s="145">
        <v>0</v>
      </c>
      <c r="X80" s="145">
        <v>0</v>
      </c>
      <c r="Y80" s="145">
        <v>0</v>
      </c>
      <c r="Z80" s="145">
        <v>0</v>
      </c>
      <c r="AA80" s="142">
        <f t="shared" si="2"/>
        <v>0</v>
      </c>
      <c r="AB80" s="141"/>
      <c r="AC80" s="67"/>
      <c r="AD80" s="67"/>
      <c r="AE80" s="24"/>
      <c r="AF80" s="24"/>
      <c r="AG80" s="24"/>
    </row>
    <row r="81" spans="1:33" ht="61.5">
      <c r="A81" s="153">
        <v>78</v>
      </c>
      <c r="B81" s="140"/>
      <c r="C81" s="140"/>
      <c r="D81" s="140"/>
      <c r="E81" s="59"/>
      <c r="F81" s="59"/>
      <c r="G81" s="90"/>
      <c r="H81" s="90"/>
      <c r="I81" s="93"/>
      <c r="J81" s="93"/>
      <c r="K81" s="93"/>
      <c r="L81" s="69"/>
      <c r="M81" s="69"/>
      <c r="N81" s="39">
        <v>0</v>
      </c>
      <c r="O81" s="21"/>
      <c r="P81" s="21"/>
      <c r="Q81" s="141"/>
      <c r="R81" s="21"/>
      <c r="S81" s="141"/>
      <c r="T81" s="29">
        <v>0</v>
      </c>
      <c r="U81" s="145">
        <v>0</v>
      </c>
      <c r="V81" s="145">
        <v>0</v>
      </c>
      <c r="W81" s="145">
        <v>0</v>
      </c>
      <c r="X81" s="145">
        <v>0</v>
      </c>
      <c r="Y81" s="145">
        <v>0</v>
      </c>
      <c r="Z81" s="145">
        <v>0</v>
      </c>
      <c r="AA81" s="142">
        <f t="shared" si="2"/>
        <v>0</v>
      </c>
      <c r="AB81" s="141"/>
      <c r="AC81" s="67"/>
      <c r="AD81" s="67"/>
      <c r="AE81" s="24"/>
      <c r="AF81" s="24"/>
      <c r="AG81" s="24"/>
    </row>
    <row r="82" spans="1:33" ht="61.5">
      <c r="A82" s="153">
        <v>79</v>
      </c>
      <c r="B82" s="140"/>
      <c r="C82" s="140"/>
      <c r="D82" s="28"/>
      <c r="E82" s="59"/>
      <c r="F82" s="59"/>
      <c r="G82" s="90"/>
      <c r="H82" s="90"/>
      <c r="I82" s="93"/>
      <c r="J82" s="93"/>
      <c r="K82" s="93"/>
      <c r="L82" s="69"/>
      <c r="M82" s="69"/>
      <c r="N82" s="39">
        <v>0</v>
      </c>
      <c r="O82" s="21"/>
      <c r="P82" s="21"/>
      <c r="Q82" s="141"/>
      <c r="R82" s="21"/>
      <c r="S82" s="141"/>
      <c r="T82" s="29">
        <v>0</v>
      </c>
      <c r="U82" s="145">
        <v>0</v>
      </c>
      <c r="V82" s="145">
        <v>0</v>
      </c>
      <c r="W82" s="145">
        <v>0</v>
      </c>
      <c r="X82" s="145">
        <v>0</v>
      </c>
      <c r="Y82" s="145">
        <v>0</v>
      </c>
      <c r="Z82" s="145">
        <v>0</v>
      </c>
      <c r="AA82" s="142">
        <f t="shared" si="2"/>
        <v>0</v>
      </c>
      <c r="AB82" s="141"/>
      <c r="AC82" s="67"/>
      <c r="AD82" s="67"/>
      <c r="AE82" s="24"/>
      <c r="AF82" s="24"/>
      <c r="AG82" s="24"/>
    </row>
    <row r="83" spans="1:33" ht="61.5">
      <c r="A83" s="153">
        <v>80</v>
      </c>
      <c r="B83" s="140"/>
      <c r="C83" s="140"/>
      <c r="D83" s="28"/>
      <c r="E83" s="59"/>
      <c r="F83" s="59"/>
      <c r="G83" s="90"/>
      <c r="H83" s="90"/>
      <c r="I83" s="93"/>
      <c r="J83" s="93"/>
      <c r="K83" s="93"/>
      <c r="L83" s="69"/>
      <c r="M83" s="69"/>
      <c r="N83" s="39">
        <v>0</v>
      </c>
      <c r="O83" s="21"/>
      <c r="P83" s="21"/>
      <c r="Q83" s="141"/>
      <c r="R83" s="21"/>
      <c r="S83" s="141"/>
      <c r="T83" s="29">
        <v>0</v>
      </c>
      <c r="U83" s="145">
        <v>0</v>
      </c>
      <c r="V83" s="145">
        <v>0</v>
      </c>
      <c r="W83" s="145">
        <v>0</v>
      </c>
      <c r="X83" s="145">
        <v>0</v>
      </c>
      <c r="Y83" s="145">
        <v>0</v>
      </c>
      <c r="Z83" s="145">
        <v>0</v>
      </c>
      <c r="AA83" s="142">
        <f t="shared" si="2"/>
        <v>0</v>
      </c>
      <c r="AB83" s="141"/>
      <c r="AC83" s="67"/>
      <c r="AD83" s="67"/>
      <c r="AE83" s="24"/>
      <c r="AF83" s="24"/>
      <c r="AG83" s="24"/>
    </row>
    <row r="84" spans="1:33" ht="61.5">
      <c r="A84" s="153">
        <v>81</v>
      </c>
      <c r="B84" s="140"/>
      <c r="C84" s="140"/>
      <c r="D84" s="28"/>
      <c r="E84" s="59"/>
      <c r="F84" s="59"/>
      <c r="G84" s="90"/>
      <c r="H84" s="90"/>
      <c r="I84" s="93"/>
      <c r="J84" s="93"/>
      <c r="K84" s="93"/>
      <c r="L84" s="69"/>
      <c r="M84" s="69"/>
      <c r="N84" s="39">
        <v>0</v>
      </c>
      <c r="O84" s="21"/>
      <c r="P84" s="21"/>
      <c r="Q84" s="141"/>
      <c r="R84" s="21"/>
      <c r="S84" s="141"/>
      <c r="T84" s="29">
        <v>0</v>
      </c>
      <c r="U84" s="145">
        <v>0</v>
      </c>
      <c r="V84" s="145">
        <v>0</v>
      </c>
      <c r="W84" s="145">
        <v>0</v>
      </c>
      <c r="X84" s="145">
        <v>0</v>
      </c>
      <c r="Y84" s="145">
        <v>0</v>
      </c>
      <c r="Z84" s="145">
        <v>0</v>
      </c>
      <c r="AA84" s="142">
        <f t="shared" si="2"/>
        <v>0</v>
      </c>
      <c r="AB84" s="141"/>
      <c r="AC84" s="67"/>
      <c r="AD84" s="67"/>
      <c r="AE84" s="24"/>
      <c r="AF84" s="24"/>
      <c r="AG84" s="24"/>
    </row>
    <row r="85" spans="1:33" ht="61.5">
      <c r="A85" s="153">
        <v>82</v>
      </c>
      <c r="B85" s="140"/>
      <c r="C85" s="140"/>
      <c r="D85" s="28"/>
      <c r="E85" s="59"/>
      <c r="F85" s="59"/>
      <c r="G85" s="90"/>
      <c r="H85" s="90"/>
      <c r="I85" s="93"/>
      <c r="J85" s="93"/>
      <c r="K85" s="93"/>
      <c r="L85" s="69"/>
      <c r="M85" s="69"/>
      <c r="N85" s="39">
        <v>0</v>
      </c>
      <c r="O85" s="21"/>
      <c r="P85" s="21"/>
      <c r="Q85" s="141"/>
      <c r="R85" s="21"/>
      <c r="S85" s="141"/>
      <c r="T85" s="29">
        <v>0</v>
      </c>
      <c r="U85" s="145">
        <v>0</v>
      </c>
      <c r="V85" s="145">
        <v>0</v>
      </c>
      <c r="W85" s="145">
        <v>0</v>
      </c>
      <c r="X85" s="145">
        <v>0</v>
      </c>
      <c r="Y85" s="145">
        <v>0</v>
      </c>
      <c r="Z85" s="145">
        <v>0</v>
      </c>
      <c r="AA85" s="142">
        <f t="shared" si="2"/>
        <v>0</v>
      </c>
      <c r="AB85" s="141"/>
      <c r="AC85" s="67"/>
      <c r="AD85" s="67"/>
      <c r="AE85" s="24"/>
      <c r="AF85" s="24"/>
      <c r="AG85" s="24"/>
    </row>
    <row r="86" spans="1:33" ht="61.5">
      <c r="A86" s="153">
        <v>83</v>
      </c>
      <c r="B86" s="140"/>
      <c r="C86" s="140"/>
      <c r="D86" s="28"/>
      <c r="E86" s="59"/>
      <c r="F86" s="59"/>
      <c r="G86" s="90"/>
      <c r="H86" s="90"/>
      <c r="I86" s="93"/>
      <c r="J86" s="93"/>
      <c r="K86" s="93"/>
      <c r="L86" s="69"/>
      <c r="M86" s="69"/>
      <c r="N86" s="39">
        <v>0</v>
      </c>
      <c r="O86" s="21"/>
      <c r="P86" s="21"/>
      <c r="Q86" s="141"/>
      <c r="R86" s="21"/>
      <c r="S86" s="141"/>
      <c r="T86" s="29">
        <v>0</v>
      </c>
      <c r="U86" s="145">
        <v>0</v>
      </c>
      <c r="V86" s="145">
        <v>0</v>
      </c>
      <c r="W86" s="145">
        <v>0</v>
      </c>
      <c r="X86" s="145">
        <v>0</v>
      </c>
      <c r="Y86" s="145">
        <v>0</v>
      </c>
      <c r="Z86" s="145">
        <v>0</v>
      </c>
      <c r="AA86" s="142">
        <f t="shared" si="2"/>
        <v>0</v>
      </c>
      <c r="AB86" s="141"/>
      <c r="AC86" s="67"/>
      <c r="AD86" s="67"/>
      <c r="AE86" s="24"/>
      <c r="AF86" s="24"/>
      <c r="AG86" s="24"/>
    </row>
    <row r="87" spans="1:33" ht="61.5">
      <c r="A87" s="153">
        <v>84</v>
      </c>
      <c r="B87" s="140"/>
      <c r="C87" s="140"/>
      <c r="D87" s="28"/>
      <c r="E87" s="59"/>
      <c r="F87" s="59"/>
      <c r="G87" s="90"/>
      <c r="H87" s="90"/>
      <c r="I87" s="93"/>
      <c r="J87" s="93"/>
      <c r="K87" s="93"/>
      <c r="L87" s="69"/>
      <c r="M87" s="69"/>
      <c r="N87" s="39">
        <v>0</v>
      </c>
      <c r="O87" s="21"/>
      <c r="P87" s="21"/>
      <c r="Q87" s="141"/>
      <c r="R87" s="21"/>
      <c r="S87" s="141"/>
      <c r="T87" s="29">
        <v>0</v>
      </c>
      <c r="U87" s="145">
        <v>0</v>
      </c>
      <c r="V87" s="145">
        <v>0</v>
      </c>
      <c r="W87" s="145">
        <v>0</v>
      </c>
      <c r="X87" s="145">
        <v>0</v>
      </c>
      <c r="Y87" s="145">
        <v>0</v>
      </c>
      <c r="Z87" s="145">
        <v>0</v>
      </c>
      <c r="AA87" s="142">
        <f t="shared" si="2"/>
        <v>0</v>
      </c>
      <c r="AB87" s="141"/>
      <c r="AC87" s="67"/>
      <c r="AD87" s="67"/>
      <c r="AE87" s="24"/>
      <c r="AF87" s="24"/>
      <c r="AG87" s="24"/>
    </row>
    <row r="88" spans="1:33" ht="61.5">
      <c r="A88" s="153">
        <v>85</v>
      </c>
      <c r="B88" s="140"/>
      <c r="C88" s="140"/>
      <c r="D88" s="28"/>
      <c r="E88" s="59"/>
      <c r="F88" s="59"/>
      <c r="G88" s="90"/>
      <c r="H88" s="90"/>
      <c r="I88" s="93"/>
      <c r="J88" s="93"/>
      <c r="K88" s="93"/>
      <c r="L88" s="69"/>
      <c r="M88" s="69"/>
      <c r="N88" s="39">
        <v>0</v>
      </c>
      <c r="O88" s="21"/>
      <c r="P88" s="21"/>
      <c r="Q88" s="141"/>
      <c r="R88" s="21"/>
      <c r="S88" s="141"/>
      <c r="T88" s="29">
        <v>0</v>
      </c>
      <c r="U88" s="145">
        <v>0</v>
      </c>
      <c r="V88" s="145">
        <v>0</v>
      </c>
      <c r="W88" s="145">
        <v>0</v>
      </c>
      <c r="X88" s="145">
        <v>0</v>
      </c>
      <c r="Y88" s="145">
        <v>0</v>
      </c>
      <c r="Z88" s="145">
        <v>0</v>
      </c>
      <c r="AA88" s="142">
        <f t="shared" si="2"/>
        <v>0</v>
      </c>
      <c r="AB88" s="141"/>
      <c r="AC88" s="67"/>
      <c r="AD88" s="67"/>
      <c r="AE88" s="24"/>
      <c r="AF88" s="24"/>
      <c r="AG88" s="24"/>
    </row>
    <row r="89" spans="1:33" ht="61.5">
      <c r="A89" s="153">
        <v>86</v>
      </c>
      <c r="B89" s="140"/>
      <c r="C89" s="140"/>
      <c r="D89" s="28"/>
      <c r="E89" s="59"/>
      <c r="F89" s="59"/>
      <c r="G89" s="90"/>
      <c r="H89" s="90"/>
      <c r="I89" s="93"/>
      <c r="J89" s="93"/>
      <c r="K89" s="93"/>
      <c r="L89" s="69"/>
      <c r="M89" s="69"/>
      <c r="N89" s="39">
        <v>0</v>
      </c>
      <c r="O89" s="21"/>
      <c r="P89" s="21"/>
      <c r="Q89" s="141"/>
      <c r="R89" s="21"/>
      <c r="S89" s="141"/>
      <c r="T89" s="29">
        <v>0</v>
      </c>
      <c r="U89" s="145">
        <v>0</v>
      </c>
      <c r="V89" s="145">
        <v>0</v>
      </c>
      <c r="W89" s="145">
        <v>0</v>
      </c>
      <c r="X89" s="145">
        <v>0</v>
      </c>
      <c r="Y89" s="145">
        <v>0</v>
      </c>
      <c r="Z89" s="145">
        <v>0</v>
      </c>
      <c r="AA89" s="142">
        <f t="shared" si="2"/>
        <v>0</v>
      </c>
      <c r="AB89" s="141"/>
      <c r="AC89" s="67"/>
      <c r="AD89" s="67"/>
      <c r="AE89" s="24"/>
      <c r="AF89" s="24"/>
      <c r="AG89" s="24"/>
    </row>
    <row r="90" spans="1:33" ht="61.5">
      <c r="A90" s="153">
        <v>87</v>
      </c>
      <c r="B90" s="140"/>
      <c r="C90" s="140"/>
      <c r="D90" s="28"/>
      <c r="E90" s="59"/>
      <c r="F90" s="59"/>
      <c r="G90" s="90"/>
      <c r="H90" s="90"/>
      <c r="I90" s="93"/>
      <c r="J90" s="93"/>
      <c r="K90" s="93"/>
      <c r="L90" s="69"/>
      <c r="M90" s="69"/>
      <c r="N90" s="39">
        <v>0</v>
      </c>
      <c r="O90" s="21"/>
      <c r="P90" s="21"/>
      <c r="Q90" s="141"/>
      <c r="R90" s="21"/>
      <c r="S90" s="141"/>
      <c r="T90" s="29">
        <v>0</v>
      </c>
      <c r="U90" s="145">
        <v>0</v>
      </c>
      <c r="V90" s="145">
        <v>0</v>
      </c>
      <c r="W90" s="145">
        <v>0</v>
      </c>
      <c r="X90" s="145">
        <v>0</v>
      </c>
      <c r="Y90" s="145">
        <v>0</v>
      </c>
      <c r="Z90" s="145">
        <v>0</v>
      </c>
      <c r="AA90" s="142">
        <f t="shared" si="2"/>
        <v>0</v>
      </c>
      <c r="AB90" s="141"/>
      <c r="AC90" s="67"/>
      <c r="AD90" s="67"/>
      <c r="AE90" s="24"/>
      <c r="AF90" s="24"/>
      <c r="AG90" s="24"/>
    </row>
    <row r="91" spans="1:33" ht="61.5">
      <c r="A91" s="153">
        <v>88</v>
      </c>
      <c r="B91" s="140"/>
      <c r="C91" s="140"/>
      <c r="D91" s="28"/>
      <c r="E91" s="59"/>
      <c r="F91" s="59"/>
      <c r="G91" s="90"/>
      <c r="H91" s="90"/>
      <c r="I91" s="93"/>
      <c r="J91" s="93"/>
      <c r="K91" s="93"/>
      <c r="L91" s="69"/>
      <c r="M91" s="69"/>
      <c r="N91" s="39">
        <v>0</v>
      </c>
      <c r="O91" s="21"/>
      <c r="P91" s="21"/>
      <c r="Q91" s="141"/>
      <c r="R91" s="21"/>
      <c r="S91" s="141"/>
      <c r="T91" s="29">
        <v>0</v>
      </c>
      <c r="U91" s="145">
        <v>0</v>
      </c>
      <c r="V91" s="145">
        <v>0</v>
      </c>
      <c r="W91" s="145">
        <v>0</v>
      </c>
      <c r="X91" s="145">
        <v>0</v>
      </c>
      <c r="Y91" s="145">
        <v>0</v>
      </c>
      <c r="Z91" s="145">
        <v>0</v>
      </c>
      <c r="AA91" s="142">
        <f t="shared" si="2"/>
        <v>0</v>
      </c>
      <c r="AB91" s="141"/>
      <c r="AC91" s="67"/>
      <c r="AD91" s="67"/>
      <c r="AE91" s="24"/>
      <c r="AF91" s="24"/>
      <c r="AG91" s="24"/>
    </row>
    <row r="92" spans="1:33" ht="61.5">
      <c r="A92" s="153">
        <v>89</v>
      </c>
      <c r="B92" s="140"/>
      <c r="C92" s="140"/>
      <c r="D92" s="28"/>
      <c r="E92" s="59"/>
      <c r="F92" s="59"/>
      <c r="G92" s="90"/>
      <c r="H92" s="90"/>
      <c r="I92" s="93"/>
      <c r="J92" s="93"/>
      <c r="K92" s="93"/>
      <c r="L92" s="69"/>
      <c r="M92" s="69"/>
      <c r="N92" s="39">
        <v>0</v>
      </c>
      <c r="O92" s="21"/>
      <c r="P92" s="21"/>
      <c r="Q92" s="141"/>
      <c r="R92" s="21"/>
      <c r="S92" s="141"/>
      <c r="T92" s="29">
        <v>0</v>
      </c>
      <c r="U92" s="145">
        <v>0</v>
      </c>
      <c r="V92" s="145">
        <v>0</v>
      </c>
      <c r="W92" s="145">
        <v>0</v>
      </c>
      <c r="X92" s="145">
        <v>0</v>
      </c>
      <c r="Y92" s="145">
        <v>0</v>
      </c>
      <c r="Z92" s="145">
        <v>0</v>
      </c>
      <c r="AA92" s="142">
        <f t="shared" si="2"/>
        <v>0</v>
      </c>
      <c r="AB92" s="141"/>
      <c r="AC92" s="67"/>
      <c r="AD92" s="67"/>
      <c r="AE92" s="24"/>
      <c r="AF92" s="24"/>
      <c r="AG92" s="24"/>
    </row>
    <row r="93" spans="1:33" ht="61.5">
      <c r="A93" s="153">
        <v>90</v>
      </c>
      <c r="B93" s="140"/>
      <c r="C93" s="140"/>
      <c r="D93" s="28"/>
      <c r="E93" s="59"/>
      <c r="F93" s="59"/>
      <c r="G93" s="90"/>
      <c r="H93" s="90"/>
      <c r="I93" s="93"/>
      <c r="J93" s="93"/>
      <c r="K93" s="93"/>
      <c r="L93" s="69"/>
      <c r="M93" s="69"/>
      <c r="N93" s="39">
        <v>0</v>
      </c>
      <c r="O93" s="21"/>
      <c r="P93" s="21"/>
      <c r="Q93" s="141"/>
      <c r="R93" s="21"/>
      <c r="S93" s="141"/>
      <c r="T93" s="29">
        <v>0</v>
      </c>
      <c r="U93" s="145">
        <v>0</v>
      </c>
      <c r="V93" s="145">
        <v>0</v>
      </c>
      <c r="W93" s="145">
        <v>0</v>
      </c>
      <c r="X93" s="145">
        <v>0</v>
      </c>
      <c r="Y93" s="145">
        <v>0</v>
      </c>
      <c r="Z93" s="145">
        <v>0</v>
      </c>
      <c r="AA93" s="142">
        <f t="shared" si="2"/>
        <v>0</v>
      </c>
      <c r="AB93" s="141"/>
      <c r="AC93" s="67"/>
      <c r="AD93" s="67"/>
      <c r="AE93" s="24"/>
      <c r="AF93" s="24"/>
      <c r="AG93" s="24"/>
    </row>
    <row r="94" spans="1:33" ht="61.5">
      <c r="A94" s="153">
        <v>91</v>
      </c>
      <c r="B94" s="140"/>
      <c r="C94" s="140"/>
      <c r="D94" s="28"/>
      <c r="E94" s="59"/>
      <c r="F94" s="59"/>
      <c r="G94" s="90"/>
      <c r="H94" s="90"/>
      <c r="I94" s="93"/>
      <c r="J94" s="93"/>
      <c r="K94" s="93"/>
      <c r="L94" s="69"/>
      <c r="M94" s="69"/>
      <c r="N94" s="39">
        <v>0</v>
      </c>
      <c r="O94" s="21"/>
      <c r="P94" s="21"/>
      <c r="Q94" s="141"/>
      <c r="R94" s="21"/>
      <c r="S94" s="141"/>
      <c r="T94" s="29">
        <v>0</v>
      </c>
      <c r="U94" s="145">
        <v>0</v>
      </c>
      <c r="V94" s="145">
        <v>0</v>
      </c>
      <c r="W94" s="145">
        <v>0</v>
      </c>
      <c r="X94" s="145">
        <v>0</v>
      </c>
      <c r="Y94" s="145">
        <v>0</v>
      </c>
      <c r="Z94" s="145">
        <v>0</v>
      </c>
      <c r="AA94" s="142">
        <f t="shared" si="2"/>
        <v>0</v>
      </c>
      <c r="AB94" s="141"/>
      <c r="AC94" s="67"/>
      <c r="AD94" s="67"/>
      <c r="AE94" s="24"/>
      <c r="AF94" s="24"/>
      <c r="AG94" s="24"/>
    </row>
    <row r="95" spans="1:33" ht="61.5">
      <c r="A95" s="153">
        <v>92</v>
      </c>
      <c r="B95" s="140"/>
      <c r="C95" s="140"/>
      <c r="D95" s="28"/>
      <c r="E95" s="59"/>
      <c r="F95" s="59"/>
      <c r="G95" s="90"/>
      <c r="H95" s="90"/>
      <c r="I95" s="93"/>
      <c r="J95" s="93"/>
      <c r="K95" s="93"/>
      <c r="L95" s="69"/>
      <c r="M95" s="69"/>
      <c r="N95" s="39">
        <v>0</v>
      </c>
      <c r="O95" s="21"/>
      <c r="P95" s="21"/>
      <c r="Q95" s="141"/>
      <c r="R95" s="21"/>
      <c r="S95" s="141"/>
      <c r="T95" s="29">
        <v>0</v>
      </c>
      <c r="U95" s="145">
        <v>0</v>
      </c>
      <c r="V95" s="145">
        <v>0</v>
      </c>
      <c r="W95" s="145">
        <v>0</v>
      </c>
      <c r="X95" s="145">
        <v>0</v>
      </c>
      <c r="Y95" s="145">
        <v>0</v>
      </c>
      <c r="Z95" s="145">
        <v>0</v>
      </c>
      <c r="AA95" s="142">
        <f t="shared" si="2"/>
        <v>0</v>
      </c>
      <c r="AB95" s="141"/>
      <c r="AC95" s="67"/>
      <c r="AD95" s="67"/>
      <c r="AE95" s="24"/>
      <c r="AF95" s="24"/>
      <c r="AG95" s="24"/>
    </row>
    <row r="96" spans="1:33" ht="61.5">
      <c r="A96" s="153">
        <v>93</v>
      </c>
      <c r="B96" s="140"/>
      <c r="C96" s="140"/>
      <c r="D96" s="28"/>
      <c r="E96" s="59"/>
      <c r="F96" s="59"/>
      <c r="G96" s="90"/>
      <c r="H96" s="90"/>
      <c r="I96" s="93"/>
      <c r="J96" s="93"/>
      <c r="K96" s="93"/>
      <c r="L96" s="69"/>
      <c r="M96" s="69"/>
      <c r="N96" s="39">
        <v>0</v>
      </c>
      <c r="O96" s="21"/>
      <c r="P96" s="21"/>
      <c r="Q96" s="141"/>
      <c r="R96" s="21"/>
      <c r="S96" s="141"/>
      <c r="T96" s="29">
        <v>0</v>
      </c>
      <c r="U96" s="145">
        <v>0</v>
      </c>
      <c r="V96" s="145">
        <v>0</v>
      </c>
      <c r="W96" s="145">
        <v>0</v>
      </c>
      <c r="X96" s="145">
        <v>0</v>
      </c>
      <c r="Y96" s="145">
        <v>0</v>
      </c>
      <c r="Z96" s="145">
        <v>0</v>
      </c>
      <c r="AA96" s="142">
        <f t="shared" si="2"/>
        <v>0</v>
      </c>
      <c r="AB96" s="141"/>
      <c r="AC96" s="67"/>
      <c r="AD96" s="67"/>
      <c r="AE96" s="24"/>
      <c r="AF96" s="24"/>
      <c r="AG96" s="24"/>
    </row>
    <row r="97" spans="1:33" ht="61.5">
      <c r="A97" s="153">
        <v>94</v>
      </c>
      <c r="B97" s="140"/>
      <c r="C97" s="140"/>
      <c r="D97" s="28"/>
      <c r="E97" s="59"/>
      <c r="F97" s="59"/>
      <c r="G97" s="90"/>
      <c r="H97" s="90"/>
      <c r="I97" s="93"/>
      <c r="J97" s="93"/>
      <c r="K97" s="93"/>
      <c r="L97" s="69"/>
      <c r="M97" s="69"/>
      <c r="N97" s="39">
        <v>0</v>
      </c>
      <c r="O97" s="21"/>
      <c r="P97" s="21"/>
      <c r="Q97" s="141"/>
      <c r="R97" s="21"/>
      <c r="S97" s="141"/>
      <c r="T97" s="29">
        <v>0</v>
      </c>
      <c r="U97" s="145">
        <v>0</v>
      </c>
      <c r="V97" s="145">
        <v>0</v>
      </c>
      <c r="W97" s="145">
        <v>0</v>
      </c>
      <c r="X97" s="145">
        <v>0</v>
      </c>
      <c r="Y97" s="145">
        <v>0</v>
      </c>
      <c r="Z97" s="145">
        <v>0</v>
      </c>
      <c r="AA97" s="142">
        <f t="shared" si="2"/>
        <v>0</v>
      </c>
      <c r="AB97" s="141"/>
      <c r="AC97" s="67"/>
      <c r="AD97" s="67"/>
      <c r="AE97" s="24"/>
      <c r="AF97" s="24"/>
      <c r="AG97" s="24"/>
    </row>
    <row r="98" spans="1:33" ht="61.5">
      <c r="A98" s="153">
        <v>95</v>
      </c>
      <c r="B98" s="140"/>
      <c r="C98" s="140"/>
      <c r="D98" s="28"/>
      <c r="E98" s="59"/>
      <c r="F98" s="59"/>
      <c r="G98" s="90"/>
      <c r="H98" s="90"/>
      <c r="I98" s="93"/>
      <c r="J98" s="93"/>
      <c r="K98" s="93"/>
      <c r="L98" s="69"/>
      <c r="M98" s="69"/>
      <c r="N98" s="39">
        <v>0</v>
      </c>
      <c r="O98" s="21"/>
      <c r="P98" s="21"/>
      <c r="Q98" s="141"/>
      <c r="R98" s="21"/>
      <c r="S98" s="141"/>
      <c r="T98" s="29">
        <v>0</v>
      </c>
      <c r="U98" s="145">
        <v>0</v>
      </c>
      <c r="V98" s="145">
        <v>0</v>
      </c>
      <c r="W98" s="145">
        <v>0</v>
      </c>
      <c r="X98" s="145">
        <v>0</v>
      </c>
      <c r="Y98" s="145">
        <v>0</v>
      </c>
      <c r="Z98" s="145">
        <v>0</v>
      </c>
      <c r="AA98" s="142">
        <f t="shared" si="2"/>
        <v>0</v>
      </c>
      <c r="AB98" s="141"/>
      <c r="AC98" s="67"/>
      <c r="AD98" s="67"/>
      <c r="AE98" s="24"/>
      <c r="AF98" s="24"/>
      <c r="AG98" s="24"/>
    </row>
    <row r="99" spans="1:33" ht="61.5">
      <c r="A99" s="153">
        <v>96</v>
      </c>
      <c r="B99" s="140"/>
      <c r="C99" s="140"/>
      <c r="D99" s="28"/>
      <c r="E99" s="59"/>
      <c r="F99" s="59"/>
      <c r="G99" s="90"/>
      <c r="H99" s="90"/>
      <c r="I99" s="93"/>
      <c r="J99" s="93"/>
      <c r="K99" s="93"/>
      <c r="L99" s="69"/>
      <c r="M99" s="69"/>
      <c r="N99" s="39">
        <v>0</v>
      </c>
      <c r="O99" s="21"/>
      <c r="P99" s="21"/>
      <c r="Q99" s="141"/>
      <c r="R99" s="21"/>
      <c r="S99" s="141"/>
      <c r="T99" s="29">
        <v>0</v>
      </c>
      <c r="U99" s="145">
        <v>0</v>
      </c>
      <c r="V99" s="145">
        <v>0</v>
      </c>
      <c r="W99" s="145">
        <v>0</v>
      </c>
      <c r="X99" s="145">
        <v>0</v>
      </c>
      <c r="Y99" s="145">
        <v>0</v>
      </c>
      <c r="Z99" s="145">
        <v>0</v>
      </c>
      <c r="AA99" s="142">
        <f t="shared" si="2"/>
        <v>0</v>
      </c>
      <c r="AB99" s="141"/>
      <c r="AC99" s="67"/>
      <c r="AD99" s="67"/>
      <c r="AE99" s="24"/>
      <c r="AF99" s="24"/>
      <c r="AG99" s="24"/>
    </row>
    <row r="100" spans="1:33" ht="61.5">
      <c r="A100" s="153">
        <v>97</v>
      </c>
      <c r="B100" s="140"/>
      <c r="C100" s="140"/>
      <c r="D100" s="28"/>
      <c r="E100" s="59"/>
      <c r="F100" s="59"/>
      <c r="G100" s="90"/>
      <c r="H100" s="90"/>
      <c r="I100" s="93"/>
      <c r="J100" s="93"/>
      <c r="K100" s="93"/>
      <c r="L100" s="69"/>
      <c r="M100" s="69"/>
      <c r="N100" s="39">
        <v>0</v>
      </c>
      <c r="O100" s="21"/>
      <c r="P100" s="21"/>
      <c r="Q100" s="141"/>
      <c r="R100" s="21"/>
      <c r="S100" s="141"/>
      <c r="T100" s="29">
        <v>0</v>
      </c>
      <c r="U100" s="145">
        <v>0</v>
      </c>
      <c r="V100" s="145">
        <v>0</v>
      </c>
      <c r="W100" s="145">
        <v>0</v>
      </c>
      <c r="X100" s="145">
        <v>0</v>
      </c>
      <c r="Y100" s="145">
        <v>0</v>
      </c>
      <c r="Z100" s="145">
        <v>0</v>
      </c>
      <c r="AA100" s="142">
        <f t="shared" ref="AA100:AA131" si="3">AVERAGE(T100:Z100)</f>
        <v>0</v>
      </c>
      <c r="AB100" s="141"/>
      <c r="AC100" s="67"/>
      <c r="AD100" s="67"/>
      <c r="AE100" s="24"/>
      <c r="AF100" s="24"/>
      <c r="AG100" s="24"/>
    </row>
    <row r="101" spans="1:33" ht="61.5">
      <c r="A101" s="153">
        <v>98</v>
      </c>
      <c r="B101" s="140"/>
      <c r="C101" s="140"/>
      <c r="D101" s="28"/>
      <c r="E101" s="59"/>
      <c r="F101" s="59"/>
      <c r="G101" s="90"/>
      <c r="H101" s="90"/>
      <c r="I101" s="93"/>
      <c r="J101" s="93"/>
      <c r="K101" s="93"/>
      <c r="L101" s="69"/>
      <c r="M101" s="69"/>
      <c r="N101" s="39">
        <v>0</v>
      </c>
      <c r="O101" s="21"/>
      <c r="P101" s="21"/>
      <c r="Q101" s="141"/>
      <c r="R101" s="21"/>
      <c r="S101" s="141"/>
      <c r="T101" s="29">
        <v>0</v>
      </c>
      <c r="U101" s="145">
        <v>0</v>
      </c>
      <c r="V101" s="145">
        <v>0</v>
      </c>
      <c r="W101" s="145">
        <v>0</v>
      </c>
      <c r="X101" s="145">
        <v>0</v>
      </c>
      <c r="Y101" s="145">
        <v>0</v>
      </c>
      <c r="Z101" s="145">
        <v>0</v>
      </c>
      <c r="AA101" s="142">
        <f t="shared" si="3"/>
        <v>0</v>
      </c>
      <c r="AB101" s="141"/>
      <c r="AC101" s="67"/>
      <c r="AD101" s="67"/>
      <c r="AE101" s="24"/>
      <c r="AF101" s="24"/>
      <c r="AG101" s="24"/>
    </row>
    <row r="102" spans="1:33" ht="61.5">
      <c r="A102" s="153">
        <v>99</v>
      </c>
      <c r="B102" s="140"/>
      <c r="C102" s="140"/>
      <c r="D102" s="28"/>
      <c r="E102" s="59"/>
      <c r="F102" s="59"/>
      <c r="G102" s="90"/>
      <c r="H102" s="90"/>
      <c r="I102" s="93"/>
      <c r="J102" s="93"/>
      <c r="K102" s="93"/>
      <c r="L102" s="69"/>
      <c r="M102" s="69"/>
      <c r="N102" s="39">
        <v>0</v>
      </c>
      <c r="O102" s="21"/>
      <c r="P102" s="21"/>
      <c r="Q102" s="141"/>
      <c r="R102" s="21"/>
      <c r="S102" s="141"/>
      <c r="T102" s="29">
        <v>0</v>
      </c>
      <c r="U102" s="145">
        <v>0</v>
      </c>
      <c r="V102" s="145">
        <v>0</v>
      </c>
      <c r="W102" s="145">
        <v>0</v>
      </c>
      <c r="X102" s="145">
        <v>0</v>
      </c>
      <c r="Y102" s="145">
        <v>0</v>
      </c>
      <c r="Z102" s="145">
        <v>0</v>
      </c>
      <c r="AA102" s="142">
        <f t="shared" si="3"/>
        <v>0</v>
      </c>
      <c r="AB102" s="141"/>
      <c r="AC102" s="67"/>
      <c r="AD102" s="67"/>
      <c r="AE102" s="24"/>
      <c r="AF102" s="24"/>
      <c r="AG102" s="24"/>
    </row>
    <row r="103" spans="1:33" ht="61.5">
      <c r="A103" s="153">
        <v>100</v>
      </c>
      <c r="B103" s="140"/>
      <c r="C103" s="140"/>
      <c r="D103" s="28"/>
      <c r="E103" s="59"/>
      <c r="F103" s="59"/>
      <c r="G103" s="90"/>
      <c r="H103" s="90"/>
      <c r="I103" s="93"/>
      <c r="J103" s="93"/>
      <c r="K103" s="93"/>
      <c r="L103" s="69"/>
      <c r="M103" s="69"/>
      <c r="N103" s="39">
        <v>0</v>
      </c>
      <c r="O103" s="21"/>
      <c r="P103" s="21"/>
      <c r="Q103" s="141"/>
      <c r="R103" s="21"/>
      <c r="S103" s="141"/>
      <c r="T103" s="29">
        <v>0</v>
      </c>
      <c r="U103" s="145">
        <v>0</v>
      </c>
      <c r="V103" s="145">
        <v>0</v>
      </c>
      <c r="W103" s="145">
        <v>0</v>
      </c>
      <c r="X103" s="145">
        <v>0</v>
      </c>
      <c r="Y103" s="145">
        <v>0</v>
      </c>
      <c r="Z103" s="145">
        <v>0</v>
      </c>
      <c r="AA103" s="142">
        <f t="shared" si="3"/>
        <v>0</v>
      </c>
      <c r="AB103" s="141"/>
      <c r="AC103" s="67"/>
      <c r="AD103" s="67"/>
      <c r="AE103" s="24"/>
      <c r="AF103" s="24"/>
      <c r="AG103" s="24"/>
    </row>
    <row r="104" spans="1:33" ht="61.5">
      <c r="A104" s="153">
        <v>101</v>
      </c>
      <c r="B104" s="140"/>
      <c r="C104" s="140"/>
      <c r="D104" s="28"/>
      <c r="E104" s="59"/>
      <c r="F104" s="59"/>
      <c r="G104" s="90"/>
      <c r="H104" s="90"/>
      <c r="I104" s="93"/>
      <c r="J104" s="93"/>
      <c r="K104" s="93"/>
      <c r="L104" s="69"/>
      <c r="M104" s="69"/>
      <c r="N104" s="39">
        <v>0</v>
      </c>
      <c r="O104" s="21"/>
      <c r="P104" s="21"/>
      <c r="Q104" s="141"/>
      <c r="R104" s="21"/>
      <c r="S104" s="141"/>
      <c r="T104" s="29">
        <v>0</v>
      </c>
      <c r="U104" s="145">
        <v>0</v>
      </c>
      <c r="V104" s="145">
        <v>0</v>
      </c>
      <c r="W104" s="145">
        <v>0</v>
      </c>
      <c r="X104" s="145">
        <v>0</v>
      </c>
      <c r="Y104" s="145">
        <v>0</v>
      </c>
      <c r="Z104" s="145">
        <v>0</v>
      </c>
      <c r="AA104" s="142">
        <f t="shared" si="3"/>
        <v>0</v>
      </c>
      <c r="AB104" s="141"/>
      <c r="AC104" s="67"/>
      <c r="AD104" s="67"/>
      <c r="AE104" s="24"/>
      <c r="AF104" s="24"/>
      <c r="AG104" s="24"/>
    </row>
    <row r="105" spans="1:33" ht="61.5">
      <c r="A105" s="153">
        <v>102</v>
      </c>
      <c r="B105" s="140"/>
      <c r="C105" s="140"/>
      <c r="D105" s="28"/>
      <c r="E105" s="59"/>
      <c r="F105" s="59"/>
      <c r="G105" s="90"/>
      <c r="H105" s="90"/>
      <c r="I105" s="93"/>
      <c r="J105" s="93"/>
      <c r="K105" s="93"/>
      <c r="L105" s="69"/>
      <c r="M105" s="69"/>
      <c r="N105" s="39">
        <v>0</v>
      </c>
      <c r="O105" s="21"/>
      <c r="P105" s="21"/>
      <c r="Q105" s="141"/>
      <c r="R105" s="21"/>
      <c r="S105" s="141"/>
      <c r="T105" s="29">
        <v>0</v>
      </c>
      <c r="U105" s="145">
        <v>0</v>
      </c>
      <c r="V105" s="145">
        <v>0</v>
      </c>
      <c r="W105" s="145">
        <v>0</v>
      </c>
      <c r="X105" s="145">
        <v>0</v>
      </c>
      <c r="Y105" s="145">
        <v>0</v>
      </c>
      <c r="Z105" s="145">
        <v>0</v>
      </c>
      <c r="AA105" s="142">
        <f t="shared" si="3"/>
        <v>0</v>
      </c>
      <c r="AB105" s="141"/>
      <c r="AC105" s="67"/>
      <c r="AD105" s="67"/>
      <c r="AE105" s="24"/>
      <c r="AF105" s="24"/>
      <c r="AG105" s="24"/>
    </row>
    <row r="106" spans="1:33" ht="61.5">
      <c r="A106" s="153">
        <v>103</v>
      </c>
      <c r="B106" s="140"/>
      <c r="C106" s="140"/>
      <c r="D106" s="28"/>
      <c r="E106" s="59"/>
      <c r="F106" s="59"/>
      <c r="G106" s="90"/>
      <c r="H106" s="90"/>
      <c r="I106" s="93"/>
      <c r="J106" s="93"/>
      <c r="K106" s="93"/>
      <c r="L106" s="69"/>
      <c r="M106" s="69"/>
      <c r="N106" s="39">
        <v>0</v>
      </c>
      <c r="O106" s="21"/>
      <c r="P106" s="21"/>
      <c r="Q106" s="141"/>
      <c r="R106" s="21"/>
      <c r="S106" s="141"/>
      <c r="T106" s="29">
        <v>0</v>
      </c>
      <c r="U106" s="145">
        <v>0</v>
      </c>
      <c r="V106" s="145">
        <v>0</v>
      </c>
      <c r="W106" s="145">
        <v>0</v>
      </c>
      <c r="X106" s="145">
        <v>0</v>
      </c>
      <c r="Y106" s="145">
        <v>0</v>
      </c>
      <c r="Z106" s="145">
        <v>0</v>
      </c>
      <c r="AA106" s="142">
        <f t="shared" si="3"/>
        <v>0</v>
      </c>
      <c r="AB106" s="141"/>
      <c r="AC106" s="67"/>
      <c r="AD106" s="67"/>
      <c r="AE106" s="24"/>
      <c r="AF106" s="24"/>
      <c r="AG106" s="24"/>
    </row>
    <row r="107" spans="1:33" ht="61.5">
      <c r="A107" s="153">
        <v>104</v>
      </c>
      <c r="B107" s="140"/>
      <c r="C107" s="140"/>
      <c r="D107" s="28"/>
      <c r="E107" s="59"/>
      <c r="F107" s="59"/>
      <c r="G107" s="90"/>
      <c r="H107" s="90"/>
      <c r="I107" s="93"/>
      <c r="J107" s="93"/>
      <c r="K107" s="93"/>
      <c r="L107" s="69"/>
      <c r="M107" s="69"/>
      <c r="N107" s="39">
        <v>0</v>
      </c>
      <c r="O107" s="21"/>
      <c r="P107" s="21"/>
      <c r="Q107" s="141"/>
      <c r="R107" s="21"/>
      <c r="S107" s="141"/>
      <c r="T107" s="29">
        <v>0</v>
      </c>
      <c r="U107" s="145">
        <v>0</v>
      </c>
      <c r="V107" s="145">
        <v>0</v>
      </c>
      <c r="W107" s="145">
        <v>0</v>
      </c>
      <c r="X107" s="145">
        <v>0</v>
      </c>
      <c r="Y107" s="145">
        <v>0</v>
      </c>
      <c r="Z107" s="145">
        <v>0</v>
      </c>
      <c r="AA107" s="142">
        <f t="shared" si="3"/>
        <v>0</v>
      </c>
      <c r="AB107" s="141"/>
      <c r="AC107" s="67"/>
      <c r="AD107" s="67"/>
      <c r="AE107" s="24"/>
      <c r="AF107" s="24"/>
      <c r="AG107" s="24"/>
    </row>
    <row r="108" spans="1:33" ht="61.5">
      <c r="A108" s="153">
        <v>105</v>
      </c>
      <c r="B108" s="140"/>
      <c r="C108" s="140"/>
      <c r="D108" s="28"/>
      <c r="E108" s="59"/>
      <c r="F108" s="59"/>
      <c r="G108" s="90"/>
      <c r="H108" s="90"/>
      <c r="I108" s="93"/>
      <c r="J108" s="93"/>
      <c r="K108" s="93"/>
      <c r="L108" s="69"/>
      <c r="M108" s="69"/>
      <c r="N108" s="39">
        <v>3</v>
      </c>
      <c r="O108" s="21"/>
      <c r="P108" s="21"/>
      <c r="Q108" s="141"/>
      <c r="R108" s="21"/>
      <c r="S108" s="141"/>
      <c r="T108" s="29">
        <v>0</v>
      </c>
      <c r="U108" s="145">
        <v>0</v>
      </c>
      <c r="V108" s="145">
        <v>0</v>
      </c>
      <c r="W108" s="145">
        <v>0</v>
      </c>
      <c r="X108" s="145">
        <v>0</v>
      </c>
      <c r="Y108" s="145">
        <v>0</v>
      </c>
      <c r="Z108" s="145">
        <v>0</v>
      </c>
      <c r="AA108" s="142">
        <f t="shared" si="3"/>
        <v>0</v>
      </c>
      <c r="AB108" s="141"/>
      <c r="AC108" s="67"/>
      <c r="AD108" s="67"/>
      <c r="AE108" s="24"/>
      <c r="AF108" s="24"/>
      <c r="AG108" s="24"/>
    </row>
    <row r="109" spans="1:33" ht="61.5">
      <c r="A109" s="153">
        <v>106</v>
      </c>
      <c r="B109" s="140"/>
      <c r="C109" s="140"/>
      <c r="D109" s="28"/>
      <c r="E109" s="59"/>
      <c r="F109" s="59"/>
      <c r="G109" s="90"/>
      <c r="H109" s="90"/>
      <c r="I109" s="93"/>
      <c r="J109" s="93"/>
      <c r="K109" s="93"/>
      <c r="L109" s="69"/>
      <c r="M109" s="69"/>
      <c r="N109" s="39">
        <v>0</v>
      </c>
      <c r="O109" s="21"/>
      <c r="P109" s="21"/>
      <c r="Q109" s="141"/>
      <c r="R109" s="21"/>
      <c r="S109" s="141"/>
      <c r="T109" s="29">
        <v>0</v>
      </c>
      <c r="U109" s="145">
        <v>0</v>
      </c>
      <c r="V109" s="145">
        <v>0</v>
      </c>
      <c r="W109" s="145">
        <v>0</v>
      </c>
      <c r="X109" s="145">
        <v>0</v>
      </c>
      <c r="Y109" s="145">
        <v>0</v>
      </c>
      <c r="Z109" s="145">
        <v>0</v>
      </c>
      <c r="AA109" s="142">
        <f t="shared" si="3"/>
        <v>0</v>
      </c>
      <c r="AB109" s="141"/>
      <c r="AC109" s="67"/>
      <c r="AD109" s="67"/>
      <c r="AE109" s="24"/>
      <c r="AF109" s="24"/>
      <c r="AG109" s="24"/>
    </row>
    <row r="110" spans="1:33" ht="61.5">
      <c r="A110" s="153">
        <v>107</v>
      </c>
      <c r="B110" s="140"/>
      <c r="C110" s="140"/>
      <c r="D110" s="28"/>
      <c r="E110" s="59"/>
      <c r="F110" s="59"/>
      <c r="G110" s="90"/>
      <c r="H110" s="90"/>
      <c r="I110" s="93"/>
      <c r="J110" s="93"/>
      <c r="K110" s="93"/>
      <c r="L110" s="69"/>
      <c r="M110" s="69"/>
      <c r="N110" s="39">
        <v>0</v>
      </c>
      <c r="O110" s="21"/>
      <c r="P110" s="21"/>
      <c r="Q110" s="141"/>
      <c r="R110" s="21"/>
      <c r="S110" s="141"/>
      <c r="T110" s="29">
        <v>0</v>
      </c>
      <c r="U110" s="145">
        <v>0</v>
      </c>
      <c r="V110" s="145">
        <v>0</v>
      </c>
      <c r="W110" s="145">
        <v>0</v>
      </c>
      <c r="X110" s="145">
        <v>0</v>
      </c>
      <c r="Y110" s="145">
        <v>0</v>
      </c>
      <c r="Z110" s="145">
        <v>0</v>
      </c>
      <c r="AA110" s="142">
        <f t="shared" si="3"/>
        <v>0</v>
      </c>
      <c r="AB110" s="141"/>
      <c r="AC110" s="67"/>
      <c r="AD110" s="67"/>
      <c r="AE110" s="24"/>
      <c r="AF110" s="24"/>
      <c r="AG110" s="24"/>
    </row>
    <row r="111" spans="1:33" ht="61.5">
      <c r="A111" s="153">
        <v>108</v>
      </c>
      <c r="B111" s="140"/>
      <c r="C111" s="140"/>
      <c r="D111" s="28"/>
      <c r="E111" s="59"/>
      <c r="F111" s="59"/>
      <c r="G111" s="90"/>
      <c r="H111" s="90"/>
      <c r="I111" s="93"/>
      <c r="J111" s="93"/>
      <c r="K111" s="93"/>
      <c r="L111" s="69"/>
      <c r="M111" s="69"/>
      <c r="N111" s="39">
        <v>0</v>
      </c>
      <c r="O111" s="21"/>
      <c r="P111" s="21"/>
      <c r="Q111" s="141"/>
      <c r="R111" s="21"/>
      <c r="S111" s="141"/>
      <c r="T111" s="29">
        <v>0</v>
      </c>
      <c r="U111" s="145">
        <v>0</v>
      </c>
      <c r="V111" s="145">
        <v>0</v>
      </c>
      <c r="W111" s="145">
        <v>0</v>
      </c>
      <c r="X111" s="145">
        <v>0</v>
      </c>
      <c r="Y111" s="145">
        <v>0</v>
      </c>
      <c r="Z111" s="145">
        <v>0</v>
      </c>
      <c r="AA111" s="142">
        <f t="shared" si="3"/>
        <v>0</v>
      </c>
      <c r="AB111" s="141"/>
      <c r="AC111" s="67"/>
      <c r="AD111" s="67"/>
      <c r="AE111" s="24"/>
      <c r="AF111" s="24"/>
      <c r="AG111" s="24"/>
    </row>
    <row r="112" spans="1:33" ht="61.5">
      <c r="A112" s="153">
        <v>109</v>
      </c>
      <c r="B112" s="140"/>
      <c r="C112" s="140"/>
      <c r="D112" s="28"/>
      <c r="E112" s="59"/>
      <c r="F112" s="59"/>
      <c r="G112" s="90"/>
      <c r="H112" s="90"/>
      <c r="I112" s="93"/>
      <c r="J112" s="93"/>
      <c r="K112" s="93"/>
      <c r="L112" s="69"/>
      <c r="M112" s="69"/>
      <c r="N112" s="39">
        <v>0</v>
      </c>
      <c r="O112" s="21"/>
      <c r="P112" s="21"/>
      <c r="Q112" s="141"/>
      <c r="R112" s="21"/>
      <c r="S112" s="141"/>
      <c r="T112" s="29">
        <v>0</v>
      </c>
      <c r="U112" s="145">
        <v>0</v>
      </c>
      <c r="V112" s="145">
        <v>0</v>
      </c>
      <c r="W112" s="145">
        <v>0</v>
      </c>
      <c r="X112" s="145">
        <v>0</v>
      </c>
      <c r="Y112" s="145">
        <v>0</v>
      </c>
      <c r="Z112" s="145">
        <v>0</v>
      </c>
      <c r="AA112" s="142">
        <f t="shared" si="3"/>
        <v>0</v>
      </c>
      <c r="AB112" s="141"/>
      <c r="AC112" s="67"/>
      <c r="AD112" s="67"/>
      <c r="AE112" s="24"/>
      <c r="AF112" s="24"/>
      <c r="AG112" s="24"/>
    </row>
    <row r="113" spans="1:33" ht="61.5">
      <c r="A113" s="153">
        <v>110</v>
      </c>
      <c r="B113" s="140"/>
      <c r="C113" s="140"/>
      <c r="D113" s="28"/>
      <c r="E113" s="59"/>
      <c r="F113" s="59"/>
      <c r="G113" s="90"/>
      <c r="H113" s="90"/>
      <c r="I113" s="93"/>
      <c r="J113" s="93"/>
      <c r="K113" s="93"/>
      <c r="L113" s="69"/>
      <c r="M113" s="69"/>
      <c r="N113" s="39">
        <v>0</v>
      </c>
      <c r="O113" s="21"/>
      <c r="P113" s="21"/>
      <c r="Q113" s="141"/>
      <c r="R113" s="21"/>
      <c r="S113" s="141"/>
      <c r="T113" s="29">
        <v>0</v>
      </c>
      <c r="U113" s="145">
        <v>0</v>
      </c>
      <c r="V113" s="145">
        <v>0</v>
      </c>
      <c r="W113" s="145">
        <v>0</v>
      </c>
      <c r="X113" s="145">
        <v>0</v>
      </c>
      <c r="Y113" s="145">
        <v>0</v>
      </c>
      <c r="Z113" s="145">
        <v>0</v>
      </c>
      <c r="AA113" s="142">
        <f t="shared" si="3"/>
        <v>0</v>
      </c>
      <c r="AB113" s="141"/>
      <c r="AC113" s="67"/>
      <c r="AD113" s="67"/>
      <c r="AE113" s="24"/>
      <c r="AF113" s="24"/>
      <c r="AG113" s="24"/>
    </row>
    <row r="114" spans="1:33" ht="61.5">
      <c r="A114" s="153">
        <v>111</v>
      </c>
      <c r="B114" s="140"/>
      <c r="C114" s="140"/>
      <c r="D114" s="28"/>
      <c r="E114" s="59"/>
      <c r="F114" s="59"/>
      <c r="G114" s="90"/>
      <c r="H114" s="90"/>
      <c r="I114" s="93"/>
      <c r="J114" s="93"/>
      <c r="K114" s="93"/>
      <c r="L114" s="69"/>
      <c r="M114" s="69"/>
      <c r="N114" s="39">
        <v>0</v>
      </c>
      <c r="O114" s="21"/>
      <c r="P114" s="21"/>
      <c r="Q114" s="141"/>
      <c r="R114" s="21"/>
      <c r="S114" s="141"/>
      <c r="T114" s="29">
        <v>0</v>
      </c>
      <c r="U114" s="145">
        <v>0</v>
      </c>
      <c r="V114" s="145">
        <v>0</v>
      </c>
      <c r="W114" s="145">
        <v>0</v>
      </c>
      <c r="X114" s="145">
        <v>0</v>
      </c>
      <c r="Y114" s="145">
        <v>0</v>
      </c>
      <c r="Z114" s="145">
        <v>0</v>
      </c>
      <c r="AA114" s="142">
        <f t="shared" si="3"/>
        <v>0</v>
      </c>
      <c r="AB114" s="141"/>
      <c r="AC114" s="67"/>
      <c r="AD114" s="67"/>
      <c r="AE114" s="24"/>
      <c r="AF114" s="24"/>
      <c r="AG114" s="24"/>
    </row>
    <row r="115" spans="1:33" ht="61.5">
      <c r="A115" s="153">
        <v>112</v>
      </c>
      <c r="B115" s="140"/>
      <c r="C115" s="140"/>
      <c r="D115" s="28"/>
      <c r="E115" s="59"/>
      <c r="F115" s="59"/>
      <c r="G115" s="90"/>
      <c r="H115" s="90"/>
      <c r="I115" s="93"/>
      <c r="J115" s="93"/>
      <c r="K115" s="93"/>
      <c r="L115" s="69"/>
      <c r="M115" s="69"/>
      <c r="N115" s="39">
        <v>0</v>
      </c>
      <c r="O115" s="21"/>
      <c r="P115" s="21"/>
      <c r="Q115" s="141"/>
      <c r="R115" s="21"/>
      <c r="S115" s="141"/>
      <c r="T115" s="29">
        <v>0</v>
      </c>
      <c r="U115" s="145">
        <v>0</v>
      </c>
      <c r="V115" s="145">
        <v>0</v>
      </c>
      <c r="W115" s="145">
        <v>0</v>
      </c>
      <c r="X115" s="145">
        <v>0</v>
      </c>
      <c r="Y115" s="145">
        <v>0</v>
      </c>
      <c r="Z115" s="145">
        <v>0</v>
      </c>
      <c r="AA115" s="142">
        <f t="shared" si="3"/>
        <v>0</v>
      </c>
      <c r="AB115" s="141"/>
      <c r="AC115" s="67"/>
      <c r="AD115" s="67"/>
      <c r="AE115" s="24"/>
      <c r="AF115" s="24"/>
      <c r="AG115" s="24"/>
    </row>
    <row r="116" spans="1:33" ht="61.5">
      <c r="A116" s="153">
        <v>113</v>
      </c>
      <c r="B116" s="140"/>
      <c r="C116" s="140"/>
      <c r="D116" s="28"/>
      <c r="E116" s="59"/>
      <c r="F116" s="59"/>
      <c r="G116" s="90"/>
      <c r="H116" s="90"/>
      <c r="I116" s="93"/>
      <c r="J116" s="93"/>
      <c r="K116" s="93"/>
      <c r="L116" s="69"/>
      <c r="M116" s="69"/>
      <c r="N116" s="39">
        <v>0</v>
      </c>
      <c r="O116" s="21"/>
      <c r="P116" s="21"/>
      <c r="Q116" s="141"/>
      <c r="R116" s="21"/>
      <c r="S116" s="141"/>
      <c r="T116" s="29">
        <v>0</v>
      </c>
      <c r="U116" s="145">
        <v>0</v>
      </c>
      <c r="V116" s="145">
        <v>0</v>
      </c>
      <c r="W116" s="145">
        <v>0</v>
      </c>
      <c r="X116" s="145">
        <v>0</v>
      </c>
      <c r="Y116" s="145">
        <v>0</v>
      </c>
      <c r="Z116" s="145">
        <v>0</v>
      </c>
      <c r="AA116" s="142">
        <f t="shared" si="3"/>
        <v>0</v>
      </c>
      <c r="AB116" s="141"/>
      <c r="AC116" s="67"/>
      <c r="AD116" s="67"/>
      <c r="AE116" s="24"/>
      <c r="AF116" s="24"/>
      <c r="AG116" s="24"/>
    </row>
    <row r="117" spans="1:33" ht="61.5">
      <c r="A117" s="153">
        <v>114</v>
      </c>
      <c r="B117" s="140"/>
      <c r="C117" s="140"/>
      <c r="D117" s="28"/>
      <c r="E117" s="59"/>
      <c r="F117" s="59"/>
      <c r="G117" s="90"/>
      <c r="H117" s="90"/>
      <c r="I117" s="93"/>
      <c r="J117" s="93"/>
      <c r="K117" s="93"/>
      <c r="L117" s="69"/>
      <c r="M117" s="69"/>
      <c r="N117" s="39">
        <v>0</v>
      </c>
      <c r="O117" s="21"/>
      <c r="P117" s="21"/>
      <c r="Q117" s="141"/>
      <c r="R117" s="21"/>
      <c r="S117" s="141"/>
      <c r="T117" s="29">
        <v>0</v>
      </c>
      <c r="U117" s="145">
        <v>0</v>
      </c>
      <c r="V117" s="145">
        <v>0</v>
      </c>
      <c r="W117" s="145">
        <v>0</v>
      </c>
      <c r="X117" s="145">
        <v>0</v>
      </c>
      <c r="Y117" s="145">
        <v>0</v>
      </c>
      <c r="Z117" s="145">
        <v>0</v>
      </c>
      <c r="AA117" s="142">
        <f t="shared" si="3"/>
        <v>0</v>
      </c>
      <c r="AB117" s="141"/>
      <c r="AC117" s="67"/>
      <c r="AD117" s="67"/>
      <c r="AE117" s="24"/>
      <c r="AF117" s="24"/>
      <c r="AG117" s="24"/>
    </row>
    <row r="118" spans="1:33" ht="61.5">
      <c r="A118" s="153">
        <v>115</v>
      </c>
      <c r="B118" s="140"/>
      <c r="C118" s="140"/>
      <c r="D118" s="28"/>
      <c r="E118" s="59"/>
      <c r="F118" s="59"/>
      <c r="G118" s="90"/>
      <c r="H118" s="90"/>
      <c r="I118" s="93"/>
      <c r="J118" s="93"/>
      <c r="K118" s="93"/>
      <c r="L118" s="69"/>
      <c r="M118" s="69"/>
      <c r="N118" s="39">
        <v>0</v>
      </c>
      <c r="O118" s="21"/>
      <c r="P118" s="21"/>
      <c r="Q118" s="141"/>
      <c r="R118" s="21"/>
      <c r="S118" s="141"/>
      <c r="T118" s="29">
        <v>0</v>
      </c>
      <c r="U118" s="145">
        <v>0</v>
      </c>
      <c r="V118" s="145">
        <v>0</v>
      </c>
      <c r="W118" s="145">
        <v>0</v>
      </c>
      <c r="X118" s="145">
        <v>0</v>
      </c>
      <c r="Y118" s="145">
        <v>0</v>
      </c>
      <c r="Z118" s="145">
        <v>0</v>
      </c>
      <c r="AA118" s="142">
        <f t="shared" si="3"/>
        <v>0</v>
      </c>
      <c r="AB118" s="141"/>
      <c r="AC118" s="67"/>
      <c r="AD118" s="67"/>
      <c r="AE118" s="24"/>
      <c r="AF118" s="24"/>
      <c r="AG118" s="24"/>
    </row>
    <row r="119" spans="1:33" ht="61.5">
      <c r="A119" s="153">
        <v>116</v>
      </c>
      <c r="B119" s="140"/>
      <c r="C119" s="140"/>
      <c r="D119" s="28"/>
      <c r="E119" s="59"/>
      <c r="F119" s="59"/>
      <c r="G119" s="90"/>
      <c r="H119" s="90"/>
      <c r="I119" s="93"/>
      <c r="J119" s="93"/>
      <c r="K119" s="93"/>
      <c r="L119" s="69"/>
      <c r="M119" s="69"/>
      <c r="N119" s="39">
        <v>0</v>
      </c>
      <c r="O119" s="21"/>
      <c r="P119" s="21"/>
      <c r="Q119" s="141"/>
      <c r="R119" s="21"/>
      <c r="S119" s="141"/>
      <c r="T119" s="29">
        <v>0</v>
      </c>
      <c r="U119" s="145">
        <v>0</v>
      </c>
      <c r="V119" s="145">
        <v>0</v>
      </c>
      <c r="W119" s="145">
        <v>0</v>
      </c>
      <c r="X119" s="145">
        <v>0</v>
      </c>
      <c r="Y119" s="145">
        <v>0</v>
      </c>
      <c r="Z119" s="145">
        <v>0</v>
      </c>
      <c r="AA119" s="142">
        <f t="shared" si="3"/>
        <v>0</v>
      </c>
      <c r="AB119" s="141"/>
      <c r="AC119" s="67"/>
      <c r="AD119" s="67"/>
      <c r="AE119" s="24"/>
      <c r="AF119" s="24"/>
      <c r="AG119" s="24"/>
    </row>
    <row r="120" spans="1:33" ht="61.5">
      <c r="A120" s="153">
        <v>117</v>
      </c>
      <c r="B120" s="140"/>
      <c r="C120" s="140"/>
      <c r="D120" s="28"/>
      <c r="E120" s="59"/>
      <c r="F120" s="59"/>
      <c r="G120" s="90"/>
      <c r="H120" s="90"/>
      <c r="I120" s="93"/>
      <c r="J120" s="93"/>
      <c r="K120" s="93"/>
      <c r="L120" s="69"/>
      <c r="M120" s="69"/>
      <c r="N120" s="39">
        <v>0</v>
      </c>
      <c r="O120" s="21"/>
      <c r="P120" s="21"/>
      <c r="Q120" s="141"/>
      <c r="R120" s="21"/>
      <c r="S120" s="141"/>
      <c r="T120" s="29">
        <v>0</v>
      </c>
      <c r="U120" s="145">
        <v>0</v>
      </c>
      <c r="V120" s="145">
        <v>0</v>
      </c>
      <c r="W120" s="145">
        <v>0</v>
      </c>
      <c r="X120" s="145">
        <v>0</v>
      </c>
      <c r="Y120" s="145">
        <v>0</v>
      </c>
      <c r="Z120" s="145">
        <v>0</v>
      </c>
      <c r="AA120" s="142">
        <f t="shared" si="3"/>
        <v>0</v>
      </c>
      <c r="AB120" s="141"/>
      <c r="AC120" s="67"/>
      <c r="AD120" s="67"/>
      <c r="AE120" s="24"/>
      <c r="AF120" s="24"/>
      <c r="AG120" s="24"/>
    </row>
    <row r="121" spans="1:33" ht="61.5">
      <c r="A121" s="153">
        <v>118</v>
      </c>
      <c r="B121" s="140"/>
      <c r="C121" s="140"/>
      <c r="D121" s="28"/>
      <c r="E121" s="59"/>
      <c r="F121" s="59"/>
      <c r="G121" s="90"/>
      <c r="H121" s="90"/>
      <c r="I121" s="93"/>
      <c r="J121" s="93"/>
      <c r="K121" s="93"/>
      <c r="L121" s="69"/>
      <c r="M121" s="69"/>
      <c r="N121" s="39">
        <v>0</v>
      </c>
      <c r="O121" s="21"/>
      <c r="P121" s="21"/>
      <c r="Q121" s="141"/>
      <c r="R121" s="21"/>
      <c r="S121" s="141"/>
      <c r="T121" s="29">
        <v>0</v>
      </c>
      <c r="U121" s="145">
        <v>0</v>
      </c>
      <c r="V121" s="145">
        <v>0</v>
      </c>
      <c r="W121" s="145">
        <v>0</v>
      </c>
      <c r="X121" s="145">
        <v>0</v>
      </c>
      <c r="Y121" s="145">
        <v>0</v>
      </c>
      <c r="Z121" s="145">
        <v>0</v>
      </c>
      <c r="AA121" s="142">
        <f t="shared" si="3"/>
        <v>0</v>
      </c>
      <c r="AB121" s="141"/>
      <c r="AC121" s="67"/>
      <c r="AD121" s="67"/>
      <c r="AE121" s="24"/>
      <c r="AF121" s="24"/>
      <c r="AG121" s="24"/>
    </row>
    <row r="122" spans="1:33" ht="61.5">
      <c r="A122" s="153">
        <v>119</v>
      </c>
      <c r="B122" s="140"/>
      <c r="C122" s="140"/>
      <c r="D122" s="28"/>
      <c r="E122" s="59"/>
      <c r="F122" s="59"/>
      <c r="G122" s="90"/>
      <c r="H122" s="90"/>
      <c r="I122" s="93"/>
      <c r="J122" s="93"/>
      <c r="K122" s="93"/>
      <c r="L122" s="69"/>
      <c r="M122" s="69"/>
      <c r="N122" s="39">
        <v>0</v>
      </c>
      <c r="O122" s="21"/>
      <c r="P122" s="21"/>
      <c r="Q122" s="141"/>
      <c r="R122" s="21"/>
      <c r="S122" s="141"/>
      <c r="T122" s="29">
        <v>0</v>
      </c>
      <c r="U122" s="145">
        <v>0</v>
      </c>
      <c r="V122" s="145">
        <v>0</v>
      </c>
      <c r="W122" s="145">
        <v>0</v>
      </c>
      <c r="X122" s="145">
        <v>0</v>
      </c>
      <c r="Y122" s="145">
        <v>0</v>
      </c>
      <c r="Z122" s="145">
        <v>0</v>
      </c>
      <c r="AA122" s="142">
        <f t="shared" si="3"/>
        <v>0</v>
      </c>
      <c r="AB122" s="141"/>
      <c r="AC122" s="67"/>
      <c r="AD122" s="67"/>
      <c r="AE122" s="24"/>
      <c r="AF122" s="24"/>
      <c r="AG122" s="24"/>
    </row>
    <row r="123" spans="1:33" ht="61.5">
      <c r="A123" s="153">
        <v>120</v>
      </c>
      <c r="B123" s="140"/>
      <c r="C123" s="140"/>
      <c r="D123" s="28"/>
      <c r="E123" s="59"/>
      <c r="F123" s="59"/>
      <c r="G123" s="90"/>
      <c r="H123" s="90"/>
      <c r="I123" s="93"/>
      <c r="J123" s="93"/>
      <c r="K123" s="93"/>
      <c r="L123" s="69"/>
      <c r="M123" s="69"/>
      <c r="N123" s="39">
        <v>0</v>
      </c>
      <c r="O123" s="21"/>
      <c r="P123" s="21"/>
      <c r="Q123" s="141"/>
      <c r="R123" s="21"/>
      <c r="S123" s="141"/>
      <c r="T123" s="29">
        <v>0</v>
      </c>
      <c r="U123" s="145">
        <v>0</v>
      </c>
      <c r="V123" s="145">
        <v>0</v>
      </c>
      <c r="W123" s="145">
        <v>0</v>
      </c>
      <c r="X123" s="145">
        <v>0</v>
      </c>
      <c r="Y123" s="145">
        <v>0</v>
      </c>
      <c r="Z123" s="145">
        <v>0</v>
      </c>
      <c r="AA123" s="142">
        <f t="shared" si="3"/>
        <v>0</v>
      </c>
      <c r="AB123" s="141"/>
      <c r="AC123" s="67"/>
      <c r="AD123" s="67"/>
      <c r="AE123" s="24"/>
      <c r="AF123" s="24"/>
      <c r="AG123" s="24"/>
    </row>
    <row r="124" spans="1:33" ht="61.5">
      <c r="A124" s="153">
        <v>121</v>
      </c>
      <c r="B124" s="140"/>
      <c r="C124" s="140"/>
      <c r="D124" s="28"/>
      <c r="E124" s="59"/>
      <c r="F124" s="59"/>
      <c r="G124" s="90"/>
      <c r="H124" s="90"/>
      <c r="I124" s="93"/>
      <c r="J124" s="93"/>
      <c r="K124" s="93"/>
      <c r="L124" s="69"/>
      <c r="M124" s="69"/>
      <c r="N124" s="39">
        <v>0</v>
      </c>
      <c r="O124" s="21"/>
      <c r="P124" s="21"/>
      <c r="Q124" s="141"/>
      <c r="R124" s="21"/>
      <c r="S124" s="141"/>
      <c r="T124" s="29">
        <v>0</v>
      </c>
      <c r="U124" s="145">
        <v>0</v>
      </c>
      <c r="V124" s="145">
        <v>0</v>
      </c>
      <c r="W124" s="145">
        <v>0</v>
      </c>
      <c r="X124" s="145">
        <v>0</v>
      </c>
      <c r="Y124" s="145">
        <v>0</v>
      </c>
      <c r="Z124" s="145">
        <v>0</v>
      </c>
      <c r="AA124" s="142">
        <f t="shared" si="3"/>
        <v>0</v>
      </c>
      <c r="AB124" s="141"/>
      <c r="AC124" s="67"/>
      <c r="AD124" s="67"/>
      <c r="AE124" s="24"/>
      <c r="AF124" s="24"/>
      <c r="AG124" s="24"/>
    </row>
    <row r="125" spans="1:33" ht="61.5">
      <c r="A125" s="153">
        <v>122</v>
      </c>
      <c r="B125" s="140"/>
      <c r="C125" s="140"/>
      <c r="D125" s="28"/>
      <c r="E125" s="59"/>
      <c r="F125" s="59"/>
      <c r="G125" s="90"/>
      <c r="H125" s="90"/>
      <c r="I125" s="93"/>
      <c r="J125" s="93"/>
      <c r="K125" s="93"/>
      <c r="L125" s="69"/>
      <c r="M125" s="69"/>
      <c r="N125" s="39">
        <v>0</v>
      </c>
      <c r="O125" s="21"/>
      <c r="P125" s="21"/>
      <c r="Q125" s="141"/>
      <c r="R125" s="21"/>
      <c r="S125" s="141"/>
      <c r="T125" s="29">
        <v>0</v>
      </c>
      <c r="U125" s="145">
        <v>0</v>
      </c>
      <c r="V125" s="145">
        <v>0</v>
      </c>
      <c r="W125" s="145">
        <v>0</v>
      </c>
      <c r="X125" s="145">
        <v>0</v>
      </c>
      <c r="Y125" s="145">
        <v>0</v>
      </c>
      <c r="Z125" s="145">
        <v>0</v>
      </c>
      <c r="AA125" s="142">
        <f t="shared" si="3"/>
        <v>0</v>
      </c>
      <c r="AB125" s="141"/>
      <c r="AC125" s="67"/>
      <c r="AD125" s="67"/>
      <c r="AE125" s="24"/>
      <c r="AF125" s="24"/>
      <c r="AG125" s="24"/>
    </row>
    <row r="126" spans="1:33" ht="61.5">
      <c r="A126" s="153">
        <v>123</v>
      </c>
      <c r="B126" s="140"/>
      <c r="C126" s="140"/>
      <c r="D126" s="28"/>
      <c r="E126" s="59"/>
      <c r="F126" s="59"/>
      <c r="G126" s="90"/>
      <c r="H126" s="90"/>
      <c r="I126" s="93"/>
      <c r="J126" s="93"/>
      <c r="K126" s="93"/>
      <c r="L126" s="69"/>
      <c r="M126" s="69"/>
      <c r="N126" s="39">
        <v>0</v>
      </c>
      <c r="O126" s="21"/>
      <c r="P126" s="21"/>
      <c r="Q126" s="141"/>
      <c r="R126" s="21"/>
      <c r="S126" s="141"/>
      <c r="T126" s="29">
        <v>0</v>
      </c>
      <c r="U126" s="145">
        <v>0</v>
      </c>
      <c r="V126" s="145">
        <v>0</v>
      </c>
      <c r="W126" s="145">
        <v>0</v>
      </c>
      <c r="X126" s="145">
        <v>0</v>
      </c>
      <c r="Y126" s="145">
        <v>0</v>
      </c>
      <c r="Z126" s="145">
        <v>0</v>
      </c>
      <c r="AA126" s="142">
        <f t="shared" si="3"/>
        <v>0</v>
      </c>
      <c r="AB126" s="141"/>
      <c r="AC126" s="67"/>
      <c r="AD126" s="67"/>
      <c r="AE126" s="24"/>
      <c r="AF126" s="24"/>
      <c r="AG126" s="24"/>
    </row>
    <row r="127" spans="1:33" ht="61.5">
      <c r="A127" s="153">
        <v>124</v>
      </c>
      <c r="B127" s="140"/>
      <c r="C127" s="140"/>
      <c r="D127" s="28"/>
      <c r="E127" s="59"/>
      <c r="F127" s="59"/>
      <c r="G127" s="90"/>
      <c r="H127" s="90"/>
      <c r="I127" s="93"/>
      <c r="J127" s="93"/>
      <c r="K127" s="93"/>
      <c r="L127" s="69"/>
      <c r="M127" s="69"/>
      <c r="N127" s="39">
        <v>0</v>
      </c>
      <c r="O127" s="21"/>
      <c r="P127" s="21"/>
      <c r="Q127" s="141"/>
      <c r="R127" s="21"/>
      <c r="S127" s="141"/>
      <c r="T127" s="29">
        <v>0</v>
      </c>
      <c r="U127" s="145">
        <v>0</v>
      </c>
      <c r="V127" s="145">
        <v>0</v>
      </c>
      <c r="W127" s="145">
        <v>0</v>
      </c>
      <c r="X127" s="145">
        <v>0</v>
      </c>
      <c r="Y127" s="145">
        <v>0</v>
      </c>
      <c r="Z127" s="145">
        <v>0</v>
      </c>
      <c r="AA127" s="142">
        <f t="shared" si="3"/>
        <v>0</v>
      </c>
      <c r="AB127" s="141"/>
      <c r="AC127" s="67"/>
      <c r="AD127" s="67"/>
      <c r="AE127" s="24"/>
      <c r="AF127" s="24"/>
      <c r="AG127" s="24"/>
    </row>
    <row r="128" spans="1:33" ht="61.5">
      <c r="A128" s="153">
        <v>125</v>
      </c>
      <c r="B128" s="140"/>
      <c r="C128" s="140"/>
      <c r="D128" s="28"/>
      <c r="E128" s="59"/>
      <c r="F128" s="59"/>
      <c r="G128" s="90"/>
      <c r="H128" s="90"/>
      <c r="I128" s="93"/>
      <c r="J128" s="93"/>
      <c r="K128" s="93"/>
      <c r="L128" s="69"/>
      <c r="M128" s="69"/>
      <c r="N128" s="39">
        <v>0</v>
      </c>
      <c r="O128" s="21"/>
      <c r="P128" s="21"/>
      <c r="Q128" s="141"/>
      <c r="R128" s="21"/>
      <c r="S128" s="141"/>
      <c r="T128" s="29">
        <v>0</v>
      </c>
      <c r="U128" s="145">
        <v>0</v>
      </c>
      <c r="V128" s="145">
        <v>0</v>
      </c>
      <c r="W128" s="145">
        <v>0</v>
      </c>
      <c r="X128" s="145">
        <v>0</v>
      </c>
      <c r="Y128" s="145">
        <v>0</v>
      </c>
      <c r="Z128" s="145">
        <v>0</v>
      </c>
      <c r="AA128" s="142">
        <f t="shared" si="3"/>
        <v>0</v>
      </c>
      <c r="AB128" s="141"/>
      <c r="AC128" s="67"/>
      <c r="AD128" s="67"/>
      <c r="AE128" s="24"/>
      <c r="AF128" s="24"/>
      <c r="AG128" s="24"/>
    </row>
    <row r="129" spans="1:33" ht="61.5">
      <c r="A129" s="153">
        <v>126</v>
      </c>
      <c r="B129" s="140"/>
      <c r="C129" s="140"/>
      <c r="D129" s="28"/>
      <c r="E129" s="59"/>
      <c r="F129" s="59"/>
      <c r="G129" s="90"/>
      <c r="H129" s="90"/>
      <c r="I129" s="93"/>
      <c r="J129" s="93"/>
      <c r="K129" s="93"/>
      <c r="L129" s="69"/>
      <c r="M129" s="69"/>
      <c r="N129" s="39">
        <v>0</v>
      </c>
      <c r="O129" s="21"/>
      <c r="P129" s="21"/>
      <c r="Q129" s="141"/>
      <c r="R129" s="21"/>
      <c r="S129" s="141"/>
      <c r="T129" s="29">
        <v>0</v>
      </c>
      <c r="U129" s="145">
        <v>0</v>
      </c>
      <c r="V129" s="145">
        <v>0</v>
      </c>
      <c r="W129" s="145">
        <v>0</v>
      </c>
      <c r="X129" s="145">
        <v>0</v>
      </c>
      <c r="Y129" s="145">
        <v>0</v>
      </c>
      <c r="Z129" s="145">
        <v>0</v>
      </c>
      <c r="AA129" s="142">
        <f t="shared" si="3"/>
        <v>0</v>
      </c>
      <c r="AB129" s="141"/>
      <c r="AC129" s="67"/>
      <c r="AD129" s="67"/>
      <c r="AE129" s="24"/>
      <c r="AF129" s="24"/>
      <c r="AG129" s="24"/>
    </row>
    <row r="130" spans="1:33" ht="61.5">
      <c r="A130" s="153">
        <v>127</v>
      </c>
      <c r="B130" s="140"/>
      <c r="C130" s="140"/>
      <c r="D130" s="28"/>
      <c r="E130" s="59"/>
      <c r="F130" s="59"/>
      <c r="G130" s="90"/>
      <c r="H130" s="90"/>
      <c r="I130" s="93"/>
      <c r="J130" s="93"/>
      <c r="K130" s="93"/>
      <c r="L130" s="69"/>
      <c r="M130" s="69"/>
      <c r="N130" s="39">
        <v>0</v>
      </c>
      <c r="O130" s="21"/>
      <c r="P130" s="21"/>
      <c r="Q130" s="141"/>
      <c r="R130" s="21"/>
      <c r="S130" s="141"/>
      <c r="T130" s="29">
        <v>0</v>
      </c>
      <c r="U130" s="145">
        <v>0</v>
      </c>
      <c r="V130" s="145">
        <v>0</v>
      </c>
      <c r="W130" s="145">
        <v>0</v>
      </c>
      <c r="X130" s="145">
        <v>0</v>
      </c>
      <c r="Y130" s="145">
        <v>0</v>
      </c>
      <c r="Z130" s="145">
        <v>0</v>
      </c>
      <c r="AA130" s="142">
        <f t="shared" si="3"/>
        <v>0</v>
      </c>
      <c r="AB130" s="141"/>
      <c r="AC130" s="67"/>
      <c r="AD130" s="67"/>
      <c r="AE130" s="24"/>
      <c r="AF130" s="24"/>
      <c r="AG130" s="24"/>
    </row>
    <row r="131" spans="1:33" ht="61.5">
      <c r="A131" s="153">
        <v>128</v>
      </c>
      <c r="B131" s="140"/>
      <c r="C131" s="140"/>
      <c r="D131" s="28"/>
      <c r="E131" s="59"/>
      <c r="F131" s="59"/>
      <c r="G131" s="90"/>
      <c r="H131" s="90"/>
      <c r="I131" s="93"/>
      <c r="J131" s="93"/>
      <c r="K131" s="93"/>
      <c r="L131" s="69"/>
      <c r="M131" s="69"/>
      <c r="N131" s="39">
        <v>0</v>
      </c>
      <c r="O131" s="21"/>
      <c r="P131" s="21"/>
      <c r="Q131" s="141"/>
      <c r="R131" s="21"/>
      <c r="S131" s="141"/>
      <c r="T131" s="29">
        <v>0</v>
      </c>
      <c r="U131" s="145">
        <v>0</v>
      </c>
      <c r="V131" s="145">
        <v>0</v>
      </c>
      <c r="W131" s="145">
        <v>0</v>
      </c>
      <c r="X131" s="145">
        <v>0</v>
      </c>
      <c r="Y131" s="145">
        <v>0</v>
      </c>
      <c r="Z131" s="145">
        <v>0</v>
      </c>
      <c r="AA131" s="142">
        <f t="shared" si="3"/>
        <v>0</v>
      </c>
      <c r="AB131" s="141"/>
      <c r="AC131" s="67"/>
      <c r="AD131" s="67"/>
      <c r="AE131" s="24"/>
      <c r="AF131" s="24"/>
      <c r="AG131" s="24"/>
    </row>
    <row r="132" spans="1:33" ht="61.5">
      <c r="A132" s="153">
        <v>129</v>
      </c>
      <c r="B132" s="152"/>
      <c r="C132" s="152"/>
      <c r="D132" s="28"/>
      <c r="E132" s="59"/>
      <c r="F132" s="59"/>
      <c r="G132" s="90"/>
      <c r="H132" s="90"/>
      <c r="I132" s="93"/>
      <c r="J132" s="93"/>
      <c r="K132" s="93"/>
      <c r="L132" s="69"/>
      <c r="M132" s="69"/>
      <c r="N132" s="39">
        <v>0</v>
      </c>
      <c r="O132" s="21"/>
      <c r="P132" s="21"/>
      <c r="Q132" s="141"/>
      <c r="R132" s="21"/>
      <c r="S132" s="141"/>
      <c r="T132" s="29">
        <v>0</v>
      </c>
      <c r="U132" s="145">
        <v>0</v>
      </c>
      <c r="V132" s="145">
        <v>0</v>
      </c>
      <c r="W132" s="145">
        <v>0</v>
      </c>
      <c r="X132" s="145">
        <v>0</v>
      </c>
      <c r="Y132" s="145">
        <v>0</v>
      </c>
      <c r="Z132" s="145">
        <v>0</v>
      </c>
      <c r="AA132" s="142">
        <f t="shared" ref="AA132:AA163" si="4">AVERAGE(T132:Z132)</f>
        <v>0</v>
      </c>
      <c r="AB132" s="141"/>
      <c r="AC132" s="67"/>
      <c r="AD132" s="67"/>
      <c r="AE132" s="24"/>
      <c r="AF132" s="24"/>
      <c r="AG132" s="24"/>
    </row>
    <row r="133" spans="1:33" ht="61.5">
      <c r="A133" s="153">
        <v>130</v>
      </c>
      <c r="B133" s="153"/>
      <c r="C133" s="153"/>
      <c r="D133" s="28"/>
      <c r="E133" s="59"/>
      <c r="F133" s="59"/>
      <c r="G133" s="90"/>
      <c r="H133" s="90"/>
      <c r="I133" s="93"/>
      <c r="J133" s="93"/>
      <c r="K133" s="93"/>
      <c r="L133" s="69"/>
      <c r="M133" s="69"/>
      <c r="N133" s="39">
        <v>0</v>
      </c>
      <c r="O133" s="21"/>
      <c r="P133" s="21"/>
      <c r="Q133" s="141"/>
      <c r="R133" s="21"/>
      <c r="S133" s="141"/>
      <c r="T133" s="29">
        <v>0</v>
      </c>
      <c r="U133" s="145">
        <v>0</v>
      </c>
      <c r="V133" s="145">
        <v>0</v>
      </c>
      <c r="W133" s="145">
        <v>0</v>
      </c>
      <c r="X133" s="145">
        <v>0</v>
      </c>
      <c r="Y133" s="145">
        <v>0</v>
      </c>
      <c r="Z133" s="145">
        <v>0</v>
      </c>
      <c r="AA133" s="142">
        <f t="shared" si="4"/>
        <v>0</v>
      </c>
      <c r="AB133" s="141"/>
      <c r="AC133" s="67"/>
      <c r="AD133" s="67"/>
      <c r="AE133" s="24"/>
      <c r="AF133" s="24"/>
      <c r="AG133" s="24"/>
    </row>
    <row r="134" spans="1:33" ht="61.5">
      <c r="A134" s="153">
        <v>131</v>
      </c>
      <c r="B134" s="153"/>
      <c r="C134" s="153"/>
      <c r="D134" s="28"/>
      <c r="E134" s="59"/>
      <c r="F134" s="59"/>
      <c r="G134" s="90"/>
      <c r="H134" s="90"/>
      <c r="I134" s="93"/>
      <c r="J134" s="93"/>
      <c r="K134" s="93"/>
      <c r="L134" s="69"/>
      <c r="M134" s="69"/>
      <c r="N134" s="39">
        <v>0</v>
      </c>
      <c r="O134" s="21"/>
      <c r="P134" s="21"/>
      <c r="Q134" s="141"/>
      <c r="R134" s="21"/>
      <c r="S134" s="141"/>
      <c r="T134" s="29">
        <v>0</v>
      </c>
      <c r="U134" s="145">
        <v>0</v>
      </c>
      <c r="V134" s="145">
        <v>0</v>
      </c>
      <c r="W134" s="145">
        <v>0</v>
      </c>
      <c r="X134" s="145">
        <v>0</v>
      </c>
      <c r="Y134" s="145">
        <v>0</v>
      </c>
      <c r="Z134" s="145">
        <v>0</v>
      </c>
      <c r="AA134" s="142">
        <f t="shared" si="4"/>
        <v>0</v>
      </c>
      <c r="AB134" s="141"/>
      <c r="AC134" s="67"/>
      <c r="AD134" s="67"/>
      <c r="AE134" s="24"/>
      <c r="AF134" s="24"/>
      <c r="AG134" s="24"/>
    </row>
    <row r="135" spans="1:33" ht="61.5">
      <c r="A135" s="153">
        <v>132</v>
      </c>
      <c r="B135" s="153"/>
      <c r="C135" s="153"/>
      <c r="D135" s="28"/>
      <c r="E135" s="59"/>
      <c r="F135" s="59"/>
      <c r="G135" s="90"/>
      <c r="H135" s="90"/>
      <c r="I135" s="93"/>
      <c r="J135" s="93"/>
      <c r="K135" s="93"/>
      <c r="L135" s="69"/>
      <c r="M135" s="69"/>
      <c r="N135" s="39">
        <v>0</v>
      </c>
      <c r="O135" s="21"/>
      <c r="P135" s="21"/>
      <c r="Q135" s="141"/>
      <c r="R135" s="21"/>
      <c r="S135" s="141"/>
      <c r="T135" s="29">
        <v>0</v>
      </c>
      <c r="U135" s="145">
        <v>0</v>
      </c>
      <c r="V135" s="145">
        <v>0</v>
      </c>
      <c r="W135" s="145">
        <v>0</v>
      </c>
      <c r="X135" s="145">
        <v>0</v>
      </c>
      <c r="Y135" s="145">
        <v>0</v>
      </c>
      <c r="Z135" s="145">
        <v>0</v>
      </c>
      <c r="AA135" s="142">
        <f t="shared" si="4"/>
        <v>0</v>
      </c>
      <c r="AB135" s="141"/>
      <c r="AC135" s="67"/>
      <c r="AD135" s="67"/>
      <c r="AE135" s="24"/>
      <c r="AF135" s="24"/>
      <c r="AG135" s="24"/>
    </row>
    <row r="136" spans="1:33" ht="61.5">
      <c r="A136" s="153">
        <v>133</v>
      </c>
      <c r="B136" s="153"/>
      <c r="C136" s="153"/>
      <c r="D136" s="28"/>
      <c r="E136" s="59"/>
      <c r="F136" s="59"/>
      <c r="G136" s="90"/>
      <c r="H136" s="90"/>
      <c r="I136" s="93"/>
      <c r="J136" s="93"/>
      <c r="K136" s="93"/>
      <c r="L136" s="69"/>
      <c r="M136" s="69"/>
      <c r="N136" s="39">
        <v>0</v>
      </c>
      <c r="O136" s="21"/>
      <c r="P136" s="21"/>
      <c r="Q136" s="141"/>
      <c r="R136" s="21"/>
      <c r="S136" s="141"/>
      <c r="T136" s="29">
        <v>0</v>
      </c>
      <c r="U136" s="145">
        <v>0</v>
      </c>
      <c r="V136" s="145">
        <v>0</v>
      </c>
      <c r="W136" s="145">
        <v>0</v>
      </c>
      <c r="X136" s="145">
        <v>0</v>
      </c>
      <c r="Y136" s="145">
        <v>0</v>
      </c>
      <c r="Z136" s="145">
        <v>0</v>
      </c>
      <c r="AA136" s="142">
        <f t="shared" si="4"/>
        <v>0</v>
      </c>
      <c r="AB136" s="141"/>
      <c r="AC136" s="67"/>
      <c r="AD136" s="67"/>
      <c r="AE136" s="24"/>
      <c r="AF136" s="24"/>
      <c r="AG136" s="24"/>
    </row>
    <row r="137" spans="1:33" ht="61.5">
      <c r="A137" s="153">
        <v>134</v>
      </c>
      <c r="B137" s="153"/>
      <c r="C137" s="153"/>
      <c r="D137" s="28"/>
      <c r="E137" s="59"/>
      <c r="F137" s="59"/>
      <c r="G137" s="90"/>
      <c r="H137" s="90"/>
      <c r="I137" s="93"/>
      <c r="J137" s="93"/>
      <c r="K137" s="93"/>
      <c r="L137" s="69"/>
      <c r="M137" s="69"/>
      <c r="N137" s="39">
        <v>0</v>
      </c>
      <c r="O137" s="21"/>
      <c r="P137" s="21"/>
      <c r="Q137" s="141"/>
      <c r="R137" s="21"/>
      <c r="S137" s="141"/>
      <c r="T137" s="29">
        <v>0</v>
      </c>
      <c r="U137" s="145">
        <v>0</v>
      </c>
      <c r="V137" s="145">
        <v>0</v>
      </c>
      <c r="W137" s="145">
        <v>0</v>
      </c>
      <c r="X137" s="145">
        <v>0</v>
      </c>
      <c r="Y137" s="145">
        <v>0</v>
      </c>
      <c r="Z137" s="145">
        <v>0</v>
      </c>
      <c r="AA137" s="142">
        <f t="shared" si="4"/>
        <v>0</v>
      </c>
      <c r="AB137" s="141"/>
      <c r="AC137" s="67"/>
      <c r="AD137" s="67"/>
      <c r="AE137" s="24"/>
      <c r="AF137" s="24"/>
      <c r="AG137" s="24"/>
    </row>
    <row r="138" spans="1:33" ht="61.5">
      <c r="A138" s="153">
        <v>135</v>
      </c>
      <c r="B138" s="153"/>
      <c r="C138" s="153"/>
      <c r="D138" s="28"/>
      <c r="E138" s="59"/>
      <c r="F138" s="59"/>
      <c r="G138" s="90"/>
      <c r="H138" s="90"/>
      <c r="I138" s="93"/>
      <c r="J138" s="93"/>
      <c r="K138" s="93"/>
      <c r="L138" s="69"/>
      <c r="M138" s="69"/>
      <c r="N138" s="39">
        <v>0</v>
      </c>
      <c r="O138" s="21"/>
      <c r="P138" s="21"/>
      <c r="Q138" s="141"/>
      <c r="R138" s="21"/>
      <c r="S138" s="141"/>
      <c r="T138" s="29">
        <v>0</v>
      </c>
      <c r="U138" s="145">
        <v>0</v>
      </c>
      <c r="V138" s="145">
        <v>0</v>
      </c>
      <c r="W138" s="145">
        <v>0</v>
      </c>
      <c r="X138" s="145">
        <v>0</v>
      </c>
      <c r="Y138" s="145">
        <v>0</v>
      </c>
      <c r="Z138" s="145">
        <v>0</v>
      </c>
      <c r="AA138" s="142">
        <f t="shared" si="4"/>
        <v>0</v>
      </c>
      <c r="AB138" s="141"/>
      <c r="AC138" s="67"/>
      <c r="AD138" s="67"/>
      <c r="AE138" s="24"/>
      <c r="AF138" s="24"/>
      <c r="AG138" s="24"/>
    </row>
    <row r="139" spans="1:33" ht="61.5">
      <c r="A139" s="153">
        <v>136</v>
      </c>
      <c r="B139" s="153"/>
      <c r="C139" s="153"/>
      <c r="D139" s="28"/>
      <c r="E139" s="59"/>
      <c r="F139" s="59"/>
      <c r="G139" s="90"/>
      <c r="H139" s="90"/>
      <c r="I139" s="93"/>
      <c r="J139" s="93"/>
      <c r="K139" s="93"/>
      <c r="L139" s="69"/>
      <c r="M139" s="69"/>
      <c r="N139" s="39">
        <v>0</v>
      </c>
      <c r="O139" s="21"/>
      <c r="P139" s="21"/>
      <c r="Q139" s="141"/>
      <c r="R139" s="21"/>
      <c r="S139" s="141"/>
      <c r="T139" s="29">
        <v>0</v>
      </c>
      <c r="U139" s="145">
        <v>0</v>
      </c>
      <c r="V139" s="145">
        <v>0</v>
      </c>
      <c r="W139" s="145">
        <v>0</v>
      </c>
      <c r="X139" s="145">
        <v>0</v>
      </c>
      <c r="Y139" s="145">
        <v>0</v>
      </c>
      <c r="Z139" s="145">
        <v>0</v>
      </c>
      <c r="AA139" s="142">
        <f t="shared" si="4"/>
        <v>0</v>
      </c>
      <c r="AB139" s="141"/>
      <c r="AC139" s="67"/>
      <c r="AD139" s="67"/>
      <c r="AE139" s="24"/>
      <c r="AF139" s="24"/>
      <c r="AG139" s="24"/>
    </row>
    <row r="140" spans="1:33" ht="61.5">
      <c r="A140" s="153">
        <v>137</v>
      </c>
      <c r="B140" s="153"/>
      <c r="C140" s="153"/>
      <c r="D140" s="28"/>
      <c r="E140" s="59"/>
      <c r="F140" s="59"/>
      <c r="G140" s="90"/>
      <c r="H140" s="90"/>
      <c r="I140" s="93"/>
      <c r="J140" s="93"/>
      <c r="K140" s="93"/>
      <c r="L140" s="69"/>
      <c r="M140" s="69"/>
      <c r="N140" s="39">
        <v>0</v>
      </c>
      <c r="O140" s="21"/>
      <c r="P140" s="21"/>
      <c r="Q140" s="141"/>
      <c r="R140" s="21"/>
      <c r="S140" s="141"/>
      <c r="T140" s="29">
        <v>0</v>
      </c>
      <c r="U140" s="145">
        <v>0</v>
      </c>
      <c r="V140" s="145">
        <v>0</v>
      </c>
      <c r="W140" s="145">
        <v>0</v>
      </c>
      <c r="X140" s="145">
        <v>0</v>
      </c>
      <c r="Y140" s="145">
        <v>0</v>
      </c>
      <c r="Z140" s="145">
        <v>0</v>
      </c>
      <c r="AA140" s="142">
        <f t="shared" si="4"/>
        <v>0</v>
      </c>
      <c r="AB140" s="141"/>
      <c r="AC140" s="67"/>
      <c r="AD140" s="67"/>
      <c r="AE140" s="24"/>
      <c r="AF140" s="24"/>
      <c r="AG140" s="24"/>
    </row>
    <row r="141" spans="1:33" ht="61.5">
      <c r="A141" s="153">
        <v>138</v>
      </c>
      <c r="B141" s="153"/>
      <c r="C141" s="153"/>
      <c r="D141" s="28"/>
      <c r="E141" s="59"/>
      <c r="F141" s="59"/>
      <c r="G141" s="90"/>
      <c r="H141" s="90"/>
      <c r="I141" s="93"/>
      <c r="J141" s="93"/>
      <c r="K141" s="93"/>
      <c r="L141" s="69"/>
      <c r="M141" s="69"/>
      <c r="N141" s="39">
        <v>0</v>
      </c>
      <c r="O141" s="21"/>
      <c r="P141" s="21"/>
      <c r="Q141" s="141"/>
      <c r="R141" s="21"/>
      <c r="S141" s="141"/>
      <c r="T141" s="29">
        <v>0</v>
      </c>
      <c r="U141" s="145">
        <v>0</v>
      </c>
      <c r="V141" s="145">
        <v>0</v>
      </c>
      <c r="W141" s="145">
        <v>0</v>
      </c>
      <c r="X141" s="145">
        <v>0</v>
      </c>
      <c r="Y141" s="145">
        <v>0</v>
      </c>
      <c r="Z141" s="145">
        <v>0</v>
      </c>
      <c r="AA141" s="142">
        <f t="shared" si="4"/>
        <v>0</v>
      </c>
      <c r="AB141" s="141"/>
      <c r="AC141" s="67"/>
      <c r="AD141" s="67"/>
      <c r="AE141" s="24"/>
      <c r="AF141" s="24"/>
      <c r="AG141" s="24"/>
    </row>
    <row r="142" spans="1:33" ht="61.5">
      <c r="A142" s="153">
        <v>139</v>
      </c>
      <c r="B142" s="153"/>
      <c r="C142" s="153"/>
      <c r="D142" s="28"/>
      <c r="E142" s="59"/>
      <c r="F142" s="59"/>
      <c r="G142" s="90"/>
      <c r="H142" s="90"/>
      <c r="I142" s="93"/>
      <c r="J142" s="93"/>
      <c r="K142" s="93"/>
      <c r="L142" s="69"/>
      <c r="M142" s="69"/>
      <c r="N142" s="39">
        <v>0</v>
      </c>
      <c r="O142" s="21"/>
      <c r="P142" s="21"/>
      <c r="Q142" s="141"/>
      <c r="R142" s="21"/>
      <c r="S142" s="141"/>
      <c r="T142" s="29">
        <v>0</v>
      </c>
      <c r="U142" s="145">
        <v>0</v>
      </c>
      <c r="V142" s="145">
        <v>0</v>
      </c>
      <c r="W142" s="145">
        <v>0</v>
      </c>
      <c r="X142" s="145">
        <v>0</v>
      </c>
      <c r="Y142" s="145">
        <v>0</v>
      </c>
      <c r="Z142" s="145">
        <v>0</v>
      </c>
      <c r="AA142" s="142">
        <f t="shared" si="4"/>
        <v>0</v>
      </c>
      <c r="AB142" s="141"/>
      <c r="AC142" s="67"/>
      <c r="AD142" s="67"/>
      <c r="AE142" s="24"/>
      <c r="AF142" s="24"/>
      <c r="AG142" s="24"/>
    </row>
    <row r="143" spans="1:33" ht="61.5">
      <c r="A143" s="153">
        <v>140</v>
      </c>
      <c r="B143" s="153"/>
      <c r="C143" s="153"/>
      <c r="D143" s="28"/>
      <c r="E143" s="59"/>
      <c r="F143" s="59"/>
      <c r="G143" s="90"/>
      <c r="H143" s="90"/>
      <c r="I143" s="93"/>
      <c r="J143" s="93"/>
      <c r="K143" s="93"/>
      <c r="L143" s="69"/>
      <c r="M143" s="69"/>
      <c r="N143" s="39">
        <v>0</v>
      </c>
      <c r="O143" s="21"/>
      <c r="P143" s="21"/>
      <c r="Q143" s="141"/>
      <c r="R143" s="21"/>
      <c r="S143" s="141"/>
      <c r="T143" s="29">
        <v>0</v>
      </c>
      <c r="U143" s="145">
        <v>0</v>
      </c>
      <c r="V143" s="145">
        <v>0</v>
      </c>
      <c r="W143" s="145">
        <v>0</v>
      </c>
      <c r="X143" s="145">
        <v>0</v>
      </c>
      <c r="Y143" s="145">
        <v>0</v>
      </c>
      <c r="Z143" s="145">
        <v>0</v>
      </c>
      <c r="AA143" s="142">
        <f t="shared" si="4"/>
        <v>0</v>
      </c>
      <c r="AB143" s="141"/>
      <c r="AC143" s="67"/>
      <c r="AD143" s="67"/>
      <c r="AE143" s="24"/>
      <c r="AF143" s="24"/>
      <c r="AG143" s="24"/>
    </row>
    <row r="144" spans="1:33" ht="61.5">
      <c r="A144" s="153">
        <v>141</v>
      </c>
      <c r="B144" s="153"/>
      <c r="C144" s="153"/>
      <c r="D144" s="28"/>
      <c r="E144" s="59"/>
      <c r="F144" s="59"/>
      <c r="G144" s="90"/>
      <c r="H144" s="90"/>
      <c r="I144" s="93"/>
      <c r="J144" s="93"/>
      <c r="K144" s="93"/>
      <c r="L144" s="69"/>
      <c r="M144" s="69"/>
      <c r="N144" s="39">
        <v>0</v>
      </c>
      <c r="O144" s="21"/>
      <c r="P144" s="21"/>
      <c r="Q144" s="141"/>
      <c r="R144" s="21"/>
      <c r="S144" s="141"/>
      <c r="T144" s="29">
        <v>0</v>
      </c>
      <c r="U144" s="145">
        <v>0</v>
      </c>
      <c r="V144" s="145">
        <v>0</v>
      </c>
      <c r="W144" s="145">
        <v>0</v>
      </c>
      <c r="X144" s="145">
        <v>0</v>
      </c>
      <c r="Y144" s="145">
        <v>0</v>
      </c>
      <c r="Z144" s="145">
        <v>0</v>
      </c>
      <c r="AA144" s="142">
        <f t="shared" si="4"/>
        <v>0</v>
      </c>
      <c r="AB144" s="141"/>
      <c r="AC144" s="67"/>
      <c r="AD144" s="67"/>
      <c r="AE144" s="24"/>
      <c r="AF144" s="24"/>
      <c r="AG144" s="24"/>
    </row>
    <row r="145" spans="1:33" ht="61.5">
      <c r="A145" s="153">
        <v>142</v>
      </c>
      <c r="B145" s="153"/>
      <c r="C145" s="153"/>
      <c r="D145" s="28"/>
      <c r="E145" s="59"/>
      <c r="F145" s="59"/>
      <c r="G145" s="90"/>
      <c r="H145" s="90"/>
      <c r="I145" s="93"/>
      <c r="J145" s="93"/>
      <c r="K145" s="93"/>
      <c r="L145" s="69"/>
      <c r="M145" s="69"/>
      <c r="N145" s="39">
        <v>0</v>
      </c>
      <c r="O145" s="21"/>
      <c r="P145" s="21"/>
      <c r="Q145" s="141"/>
      <c r="R145" s="21"/>
      <c r="S145" s="141"/>
      <c r="T145" s="29">
        <v>0</v>
      </c>
      <c r="U145" s="145">
        <v>0</v>
      </c>
      <c r="V145" s="145">
        <v>0</v>
      </c>
      <c r="W145" s="145">
        <v>0</v>
      </c>
      <c r="X145" s="145">
        <v>0</v>
      </c>
      <c r="Y145" s="145">
        <v>0</v>
      </c>
      <c r="Z145" s="145">
        <v>0</v>
      </c>
      <c r="AA145" s="142">
        <f t="shared" si="4"/>
        <v>0</v>
      </c>
      <c r="AB145" s="141"/>
      <c r="AC145" s="67"/>
      <c r="AD145" s="67"/>
      <c r="AE145" s="24"/>
      <c r="AF145" s="24"/>
      <c r="AG145" s="24"/>
    </row>
    <row r="146" spans="1:33" ht="61.5">
      <c r="A146" s="153">
        <v>143</v>
      </c>
      <c r="B146" s="153"/>
      <c r="C146" s="153"/>
      <c r="D146" s="28"/>
      <c r="E146" s="59"/>
      <c r="F146" s="59"/>
      <c r="G146" s="90"/>
      <c r="H146" s="90"/>
      <c r="I146" s="93"/>
      <c r="J146" s="94"/>
      <c r="K146" s="94"/>
      <c r="L146" s="69"/>
      <c r="M146" s="69"/>
      <c r="N146" s="39">
        <v>0</v>
      </c>
      <c r="O146" s="25"/>
      <c r="P146" s="25"/>
      <c r="Q146" s="154"/>
      <c r="R146" s="25"/>
      <c r="S146" s="141"/>
      <c r="T146" s="29">
        <v>0</v>
      </c>
      <c r="U146" s="145">
        <v>0</v>
      </c>
      <c r="V146" s="145">
        <v>0</v>
      </c>
      <c r="W146" s="145">
        <v>0</v>
      </c>
      <c r="X146" s="145">
        <v>0</v>
      </c>
      <c r="Y146" s="145">
        <v>0</v>
      </c>
      <c r="Z146" s="145">
        <v>0</v>
      </c>
      <c r="AA146" s="142">
        <f t="shared" si="4"/>
        <v>0</v>
      </c>
      <c r="AB146" s="141"/>
      <c r="AC146" s="67"/>
      <c r="AD146" s="67"/>
      <c r="AE146" s="24"/>
      <c r="AF146" s="24"/>
      <c r="AG146" s="24"/>
    </row>
    <row r="147" spans="1:33" ht="61.5">
      <c r="A147" s="153">
        <v>144</v>
      </c>
      <c r="B147" s="153"/>
      <c r="C147" s="153"/>
      <c r="D147" s="28"/>
      <c r="E147" s="59"/>
      <c r="F147" s="59"/>
      <c r="G147" s="90"/>
      <c r="H147" s="90"/>
      <c r="I147" s="93"/>
      <c r="J147" s="96"/>
      <c r="K147" s="96"/>
      <c r="L147" s="69"/>
      <c r="M147" s="69"/>
      <c r="N147" s="39">
        <v>0</v>
      </c>
      <c r="O147" s="21"/>
      <c r="P147" s="21"/>
      <c r="Q147" s="141"/>
      <c r="R147" s="21"/>
      <c r="S147" s="141"/>
      <c r="T147" s="29">
        <v>0</v>
      </c>
      <c r="U147" s="145">
        <v>0</v>
      </c>
      <c r="V147" s="145">
        <v>0</v>
      </c>
      <c r="W147" s="145">
        <v>0</v>
      </c>
      <c r="X147" s="145">
        <v>0</v>
      </c>
      <c r="Y147" s="145">
        <v>0</v>
      </c>
      <c r="Z147" s="145">
        <v>0</v>
      </c>
      <c r="AA147" s="142">
        <f t="shared" si="4"/>
        <v>0</v>
      </c>
      <c r="AB147" s="141"/>
      <c r="AC147" s="67"/>
      <c r="AD147" s="67"/>
      <c r="AE147" s="24"/>
      <c r="AF147" s="24"/>
      <c r="AG147" s="24"/>
    </row>
    <row r="148" spans="1:33" ht="61.5">
      <c r="A148" s="153">
        <v>145</v>
      </c>
      <c r="B148" s="153"/>
      <c r="C148" s="153"/>
      <c r="D148" s="28"/>
      <c r="E148" s="59"/>
      <c r="F148" s="59"/>
      <c r="G148" s="90"/>
      <c r="H148" s="90"/>
      <c r="I148" s="93"/>
      <c r="J148" s="96"/>
      <c r="K148" s="96"/>
      <c r="L148" s="69"/>
      <c r="M148" s="69"/>
      <c r="N148" s="39">
        <v>0</v>
      </c>
      <c r="O148" s="21"/>
      <c r="P148" s="21"/>
      <c r="Q148" s="141"/>
      <c r="R148" s="21"/>
      <c r="S148" s="141"/>
      <c r="T148" s="29">
        <v>0</v>
      </c>
      <c r="U148" s="145">
        <v>0</v>
      </c>
      <c r="V148" s="145">
        <v>0</v>
      </c>
      <c r="W148" s="145">
        <v>0</v>
      </c>
      <c r="X148" s="145">
        <v>0</v>
      </c>
      <c r="Y148" s="145">
        <v>0</v>
      </c>
      <c r="Z148" s="145">
        <v>0</v>
      </c>
      <c r="AA148" s="142">
        <f t="shared" si="4"/>
        <v>0</v>
      </c>
      <c r="AB148" s="141"/>
      <c r="AC148" s="67"/>
      <c r="AD148" s="67"/>
      <c r="AE148" s="24"/>
      <c r="AF148" s="24"/>
      <c r="AG148" s="24"/>
    </row>
    <row r="149" spans="1:33" ht="61.5">
      <c r="A149" s="153">
        <v>146</v>
      </c>
      <c r="B149" s="153"/>
      <c r="C149" s="28"/>
      <c r="D149" s="28"/>
      <c r="E149" s="59"/>
      <c r="F149" s="59"/>
      <c r="G149" s="92"/>
      <c r="H149" s="90"/>
      <c r="I149" s="93"/>
      <c r="J149" s="96"/>
      <c r="K149" s="96"/>
      <c r="L149" s="69"/>
      <c r="M149" s="69"/>
      <c r="N149" s="39">
        <v>0</v>
      </c>
      <c r="O149" s="21"/>
      <c r="P149" s="21"/>
      <c r="Q149" s="141"/>
      <c r="R149" s="21"/>
      <c r="S149" s="141"/>
      <c r="T149" s="29">
        <v>0</v>
      </c>
      <c r="U149" s="145">
        <v>0</v>
      </c>
      <c r="V149" s="145">
        <v>0</v>
      </c>
      <c r="W149" s="145">
        <v>0</v>
      </c>
      <c r="X149" s="145">
        <v>0</v>
      </c>
      <c r="Y149" s="145">
        <v>0</v>
      </c>
      <c r="Z149" s="145">
        <v>0</v>
      </c>
      <c r="AA149" s="142">
        <f t="shared" si="4"/>
        <v>0</v>
      </c>
      <c r="AB149" s="141"/>
      <c r="AC149" s="67"/>
      <c r="AD149" s="67"/>
      <c r="AE149" s="24"/>
      <c r="AF149" s="24"/>
      <c r="AG149" s="24"/>
    </row>
    <row r="150" spans="1:33" ht="61.5">
      <c r="A150" s="153">
        <v>147</v>
      </c>
      <c r="B150" s="153"/>
      <c r="C150" s="140"/>
      <c r="D150" s="140"/>
      <c r="E150" s="59"/>
      <c r="F150" s="59"/>
      <c r="G150" s="90"/>
      <c r="H150" s="91"/>
      <c r="I150" s="93"/>
      <c r="J150" s="96"/>
      <c r="K150" s="96"/>
      <c r="L150" s="69"/>
      <c r="M150" s="69"/>
      <c r="N150" s="70">
        <v>0</v>
      </c>
      <c r="O150" s="21"/>
      <c r="P150" s="21"/>
      <c r="Q150" s="141"/>
      <c r="R150" s="21"/>
      <c r="S150" s="141"/>
      <c r="T150" s="29">
        <v>0</v>
      </c>
      <c r="U150" s="145">
        <v>0</v>
      </c>
      <c r="V150" s="145">
        <v>0</v>
      </c>
      <c r="W150" s="145">
        <v>0</v>
      </c>
      <c r="X150" s="145">
        <v>0</v>
      </c>
      <c r="Y150" s="145">
        <v>0</v>
      </c>
      <c r="Z150" s="145">
        <v>0</v>
      </c>
      <c r="AA150" s="142">
        <f t="shared" si="4"/>
        <v>0</v>
      </c>
      <c r="AB150" s="141"/>
      <c r="AC150" s="67"/>
      <c r="AD150" s="67"/>
      <c r="AE150" s="24"/>
      <c r="AF150" s="24"/>
      <c r="AG150" s="24"/>
    </row>
  </sheetData>
  <autoFilter ref="A3:AG150" xr:uid="{F8D42E05-E7E2-4849-8E99-D626BADB3A22}"/>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46" priority="1" operator="between">
      <formula>TODAY()</formula>
      <formula>TODAY()+7</formula>
    </cfRule>
    <cfRule type="cellIs" dxfId="45" priority="2" operator="greaterThanOrEqual">
      <formula>TODAY()+30</formula>
    </cfRule>
    <cfRule type="cellIs" dxfId="44"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648ACB7A-8C52-47C6-BC51-6F759F285CD0}"/>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76DD9752-835F-4CE9-B7A8-D8F7C0E98F3D}">
          <x14:formula1>
            <xm:f>'Guide suivi GDP '!$E$34:$E$36</xm:f>
          </x14:formula1>
          <xm:sqref>C4:C150</xm:sqref>
        </x14:dataValidation>
        <x14:dataValidation type="list" showInputMessage="1" showErrorMessage="1" xr:uid="{195F700D-5C89-48D8-BE66-11B198637C1A}">
          <x14:formula1>
            <xm:f>'Guide suivi GDP '!$E$31:$E$33</xm:f>
          </x14:formula1>
          <xm:sqref>B4:B63</xm:sqref>
        </x14:dataValidation>
        <x14:dataValidation type="list" allowBlank="1" showInputMessage="1" showErrorMessage="1" xr:uid="{27827865-2238-400D-8664-93DF824605C6}">
          <x14:formula1>
            <xm:f>'Guide suivi GDP '!$E$20:$E$24</xm:f>
          </x14:formula1>
          <xm:sqref>R4:R150</xm:sqref>
        </x14:dataValidation>
        <x14:dataValidation type="list" allowBlank="1" showInputMessage="1" showErrorMessage="1" xr:uid="{21F9CF5B-096D-4970-8F31-11B6146A0A56}">
          <x14:formula1>
            <xm:f>'Guide suivi GDP '!$E$3:$E$8</xm:f>
          </x14:formula1>
          <xm:sqref>Q4:Q150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7D95-4D90-4AEA-94E3-5511C8D08E36}">
  <sheetPr>
    <tabColor rgb="FF92D050"/>
  </sheetPr>
  <dimension ref="A1:AY155"/>
  <sheetViews>
    <sheetView workbookViewId="0">
      <pane xSplit="4" ySplit="3" topLeftCell="Q33" activePane="bottomRight" state="frozen"/>
      <selection pane="topRight"/>
      <selection pane="bottomLeft"/>
      <selection pane="bottomRight" activeCell="W37" sqref="W37"/>
    </sheetView>
  </sheetViews>
  <sheetFormatPr baseColWidth="10" defaultColWidth="9.140625" defaultRowHeight="12.75" outlineLevelCol="1"/>
  <cols>
    <col min="1" max="1" width="3.4257812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9" width="12.28515625" style="5" customWidth="1" outlineLevel="1"/>
    <col min="10" max="10" width="11.7109375" style="5" customWidth="1" outlineLevel="1"/>
    <col min="11" max="11" width="17.42578125" style="5" customWidth="1" outlineLevel="1"/>
    <col min="12" max="12" width="16.7109375" style="26" customWidth="1"/>
    <col min="13" max="13" width="12.28515625" style="26" customWidth="1"/>
    <col min="14" max="15" width="9.140625" style="26" hidden="1" customWidth="1"/>
    <col min="16" max="16" width="12.28515625" style="26" bestFit="1" customWidth="1"/>
    <col min="17" max="17" width="11.42578125" style="26" customWidth="1"/>
    <col min="18" max="18" width="9.140625" style="26" customWidth="1"/>
    <col min="19" max="19" width="9.42578125" style="26" customWidth="1"/>
    <col min="20" max="20" width="9.140625" style="26" customWidth="1"/>
    <col min="21" max="21" width="13.5703125" style="26" customWidth="1"/>
    <col min="22" max="22" width="14.85546875" style="26" customWidth="1"/>
    <col min="23" max="23" width="33.7109375" style="98" customWidth="1"/>
    <col min="24" max="24" width="34.42578125" style="98" customWidth="1"/>
    <col min="25" max="25" width="39.28515625" style="98" customWidth="1"/>
    <col min="26" max="26" width="20" style="26" hidden="1" customWidth="1" outlineLevel="1" collapsed="1"/>
    <col min="27" max="27" width="17.7109375" style="26" hidden="1" customWidth="1" outlineLevel="1"/>
    <col min="28" max="28" width="13.28515625" style="26" hidden="1" customWidth="1" outlineLevel="1"/>
    <col min="29" max="29" width="11.140625" style="26" hidden="1" customWidth="1" outlineLevel="1"/>
    <col min="30" max="30" width="11.7109375" style="26" hidden="1" customWidth="1" outlineLevel="1"/>
    <col min="31" max="31" width="12.28515625" style="26" hidden="1" customWidth="1" outlineLevel="1"/>
    <col min="32" max="32" width="18" style="26" hidden="1" customWidth="1" outlineLevel="1"/>
    <col min="33" max="33" width="9.42578125" style="13" customWidth="1" collapsed="1"/>
    <col min="34" max="34" width="28.5703125" style="13" hidden="1" customWidth="1" outlineLevel="1"/>
    <col min="35" max="35" width="21.42578125" style="13" hidden="1" customWidth="1" outlineLevel="1"/>
    <col min="36" max="36" width="26.85546875" style="13" hidden="1" customWidth="1" outlineLevel="1"/>
    <col min="37" max="38" width="30" style="26" hidden="1" customWidth="1" outlineLevel="1"/>
    <col min="39" max="39" width="33.5703125" style="13" hidden="1" customWidth="1" outlineLevel="1"/>
    <col min="40" max="40" width="2" style="13" customWidth="1" collapsed="1"/>
    <col min="41" max="41" width="44.28515625" style="26" customWidth="1"/>
    <col min="42" max="42" width="10.85546875" style="74" customWidth="1" outlineLevel="1"/>
    <col min="43" max="43" width="13.85546875" style="13" customWidth="1" outlineLevel="1"/>
    <col min="44" max="44" width="9.85546875" style="13" customWidth="1" outlineLevel="1"/>
    <col min="45" max="45" width="8.7109375" style="13" customWidth="1" outlineLevel="1"/>
    <col min="46" max="46" width="23.28515625" style="13" customWidth="1" outlineLevel="1"/>
    <col min="47" max="47" width="9.5703125" style="13" customWidth="1" outlineLevel="1"/>
    <col min="48" max="48" width="9.28515625" style="13" customWidth="1" outlineLevel="1"/>
    <col min="49" max="51" width="9.140625" style="13" customWidth="1" outlineLevel="1"/>
    <col min="52" max="52" width="9.140625" style="13" customWidth="1"/>
    <col min="53" max="16384" width="9.140625" style="13"/>
  </cols>
  <sheetData>
    <row r="1" spans="1:51" s="78" customFormat="1" ht="94.5">
      <c r="B1" s="88" t="s">
        <v>974</v>
      </c>
      <c r="C1" s="99"/>
      <c r="D1" s="88" t="s">
        <v>718</v>
      </c>
      <c r="E1" s="210" t="s">
        <v>720</v>
      </c>
      <c r="F1" s="211"/>
      <c r="G1" s="211"/>
      <c r="H1" s="211"/>
      <c r="I1" s="211"/>
      <c r="J1" s="211"/>
      <c r="K1" s="211"/>
      <c r="L1" s="211"/>
      <c r="M1" s="211"/>
      <c r="N1" s="82" t="s">
        <v>870</v>
      </c>
      <c r="O1" s="82" t="s">
        <v>870</v>
      </c>
      <c r="P1" s="112" t="s">
        <v>871</v>
      </c>
      <c r="Q1" s="112" t="s">
        <v>872</v>
      </c>
      <c r="R1" s="82"/>
      <c r="S1" s="82"/>
      <c r="T1" s="82"/>
      <c r="U1" s="204" t="s">
        <v>719</v>
      </c>
      <c r="V1" s="204"/>
      <c r="W1" s="204"/>
      <c r="X1" s="204"/>
      <c r="Y1" s="205"/>
      <c r="Z1" s="79" t="s">
        <v>721</v>
      </c>
      <c r="AA1" s="80"/>
      <c r="AB1" s="80"/>
      <c r="AC1" s="80"/>
      <c r="AD1" s="80"/>
      <c r="AE1" s="80"/>
      <c r="AF1" s="80"/>
      <c r="AG1" s="80"/>
      <c r="AH1" s="77" t="s">
        <v>721</v>
      </c>
      <c r="AI1" s="81"/>
      <c r="AJ1" s="81"/>
      <c r="AK1" s="81"/>
      <c r="AL1" s="81"/>
      <c r="AM1" s="81"/>
      <c r="AO1" s="207" t="s">
        <v>722</v>
      </c>
      <c r="AP1" s="207"/>
      <c r="AQ1" s="207"/>
      <c r="AR1" s="207"/>
      <c r="AS1" s="207"/>
      <c r="AT1" s="208"/>
      <c r="AU1" s="206" t="s">
        <v>723</v>
      </c>
      <c r="AV1" s="206"/>
      <c r="AW1" s="206"/>
      <c r="AX1" s="206"/>
      <c r="AY1" s="206"/>
    </row>
    <row r="2" spans="1:51" s="78" customFormat="1" ht="18">
      <c r="A2" s="82"/>
      <c r="B2" s="82"/>
      <c r="C2" s="82"/>
      <c r="D2" s="87">
        <f>SUBTOTAL(3,D4:D155)</f>
        <v>48</v>
      </c>
      <c r="E2" s="212"/>
      <c r="F2" s="213"/>
      <c r="G2" s="213"/>
      <c r="H2" s="213"/>
      <c r="I2" s="213"/>
      <c r="J2" s="213"/>
      <c r="K2" s="213"/>
      <c r="L2" s="213"/>
      <c r="M2" s="213"/>
      <c r="N2" s="109">
        <f>SUBTOTAL(1,N4:N144)</f>
        <v>3.0151515151515151</v>
      </c>
      <c r="O2" s="109">
        <f>SUBTOTAL(1,O4:O144)</f>
        <v>3.3484848484848486</v>
      </c>
      <c r="P2" s="123"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41.666666666666671</v>
      </c>
      <c r="Q2" s="123"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-5.2631578947368354</v>
      </c>
      <c r="R2" s="104"/>
      <c r="S2" s="104"/>
      <c r="T2" s="104"/>
      <c r="U2" s="204"/>
      <c r="V2" s="204"/>
      <c r="W2" s="204"/>
      <c r="X2" s="204"/>
      <c r="Y2" s="205"/>
      <c r="Z2" s="156" t="s">
        <v>68</v>
      </c>
      <c r="AA2" s="156" t="s">
        <v>69</v>
      </c>
      <c r="AB2" s="209" t="s">
        <v>71</v>
      </c>
      <c r="AC2" s="209"/>
      <c r="AD2" s="209" t="s">
        <v>76</v>
      </c>
      <c r="AE2" s="209"/>
      <c r="AF2" s="209"/>
      <c r="AG2" s="84">
        <f>SUBTOTAL(1,AG4:AG34)</f>
        <v>0</v>
      </c>
      <c r="AH2" s="81"/>
      <c r="AI2" s="81"/>
      <c r="AJ2" s="81"/>
      <c r="AK2" s="81"/>
      <c r="AL2" s="81"/>
      <c r="AM2" s="81"/>
      <c r="AO2" s="85"/>
      <c r="AP2" s="76">
        <f t="shared" ref="AP2" si="0">SUBTOTAL(9,AP4:AP497)</f>
        <v>245</v>
      </c>
      <c r="AQ2" s="75"/>
      <c r="AR2" s="76">
        <f>SUBTOTAL(9,AR4:AR497)</f>
        <v>570</v>
      </c>
      <c r="AS2" s="76">
        <f>SUBTOTAL(9,AS4:AS497)</f>
        <v>1670</v>
      </c>
      <c r="AT2" s="75"/>
      <c r="AU2" s="89">
        <f>SUBTOTAL(3,AU4:AU497)</f>
        <v>30</v>
      </c>
      <c r="AV2" s="89">
        <f t="shared" ref="AV2:AY2" si="1">SUBTOTAL(3,AV4:AV497)</f>
        <v>37</v>
      </c>
      <c r="AW2" s="89">
        <f t="shared" si="1"/>
        <v>12</v>
      </c>
      <c r="AX2" s="89">
        <f t="shared" si="1"/>
        <v>8</v>
      </c>
      <c r="AY2" s="89">
        <f t="shared" si="1"/>
        <v>20</v>
      </c>
    </row>
    <row r="3" spans="1:51" ht="63.75">
      <c r="A3" s="72">
        <v>0</v>
      </c>
      <c r="B3" s="72" t="s">
        <v>873</v>
      </c>
      <c r="C3" s="72" t="s">
        <v>598</v>
      </c>
      <c r="D3" s="72" t="s">
        <v>85</v>
      </c>
      <c r="E3" s="73" t="s">
        <v>730</v>
      </c>
      <c r="F3" s="73" t="s">
        <v>229</v>
      </c>
      <c r="G3" s="73" t="s">
        <v>86</v>
      </c>
      <c r="H3" s="73" t="s">
        <v>731</v>
      </c>
      <c r="I3" s="73" t="s">
        <v>874</v>
      </c>
      <c r="J3" s="73" t="s">
        <v>732</v>
      </c>
      <c r="K3" s="73" t="s">
        <v>88</v>
      </c>
      <c r="L3" s="73" t="s">
        <v>729</v>
      </c>
      <c r="M3" s="108" t="s">
        <v>734</v>
      </c>
      <c r="N3" s="107" t="s">
        <v>726</v>
      </c>
      <c r="O3" s="107" t="s">
        <v>727</v>
      </c>
      <c r="P3" s="107" t="s">
        <v>600</v>
      </c>
      <c r="Q3" s="107" t="s">
        <v>875</v>
      </c>
      <c r="R3" s="107" t="s">
        <v>876</v>
      </c>
      <c r="S3" s="124" t="s">
        <v>975</v>
      </c>
      <c r="T3" s="124" t="s">
        <v>976</v>
      </c>
      <c r="U3" s="72" t="s">
        <v>728</v>
      </c>
      <c r="V3" s="72" t="s">
        <v>601</v>
      </c>
      <c r="W3" s="97" t="s">
        <v>602</v>
      </c>
      <c r="X3" s="97" t="s">
        <v>603</v>
      </c>
      <c r="Y3" s="97" t="s">
        <v>604</v>
      </c>
      <c r="Z3" s="73" t="s">
        <v>90</v>
      </c>
      <c r="AA3" s="73" t="s">
        <v>91</v>
      </c>
      <c r="AB3" s="73" t="s">
        <v>92</v>
      </c>
      <c r="AC3" s="73" t="s">
        <v>93</v>
      </c>
      <c r="AD3" s="73" t="s">
        <v>94</v>
      </c>
      <c r="AE3" s="73" t="s">
        <v>95</v>
      </c>
      <c r="AF3" s="73" t="s">
        <v>96</v>
      </c>
      <c r="AG3" s="73" t="s">
        <v>80</v>
      </c>
      <c r="AH3" s="72" t="s">
        <v>735</v>
      </c>
      <c r="AI3" s="72" t="s">
        <v>736</v>
      </c>
      <c r="AJ3" s="72" t="s">
        <v>737</v>
      </c>
      <c r="AK3" s="72" t="s">
        <v>738</v>
      </c>
      <c r="AL3" s="72" t="s">
        <v>739</v>
      </c>
      <c r="AM3" s="72" t="s">
        <v>740</v>
      </c>
      <c r="AN3" s="72"/>
      <c r="AO3" s="72" t="s">
        <v>741</v>
      </c>
      <c r="AP3" s="102" t="s">
        <v>742</v>
      </c>
      <c r="AQ3" s="72" t="s">
        <v>743</v>
      </c>
      <c r="AR3" s="103" t="s">
        <v>744</v>
      </c>
      <c r="AS3" s="103" t="s">
        <v>745</v>
      </c>
      <c r="AT3" s="72" t="s">
        <v>746</v>
      </c>
      <c r="AU3" s="102" t="s">
        <v>85</v>
      </c>
      <c r="AV3" s="102" t="s">
        <v>747</v>
      </c>
      <c r="AW3" s="102" t="s">
        <v>748</v>
      </c>
      <c r="AX3" s="102" t="s">
        <v>749</v>
      </c>
      <c r="AY3" s="102" t="s">
        <v>750</v>
      </c>
    </row>
    <row r="4" spans="1:51" ht="45" customHeight="1">
      <c r="A4" s="153">
        <f t="shared" ref="A4:A35" si="2">A3+1</f>
        <v>1</v>
      </c>
      <c r="B4" s="153" t="s">
        <v>57</v>
      </c>
      <c r="C4" s="153" t="s">
        <v>65</v>
      </c>
      <c r="D4" s="153" t="s">
        <v>665</v>
      </c>
      <c r="E4" s="69"/>
      <c r="F4" s="39">
        <v>1</v>
      </c>
      <c r="G4" s="141" t="s">
        <v>123</v>
      </c>
      <c r="H4" s="141" t="s">
        <v>797</v>
      </c>
      <c r="I4" s="141"/>
      <c r="J4" s="141" t="s">
        <v>14</v>
      </c>
      <c r="K4" s="141" t="s">
        <v>48</v>
      </c>
      <c r="L4" s="69"/>
      <c r="M4" s="141"/>
      <c r="N4" s="59">
        <v>0</v>
      </c>
      <c r="O4" s="59">
        <v>0</v>
      </c>
      <c r="P4" s="105" t="s">
        <v>34</v>
      </c>
      <c r="Q4" s="105" t="s">
        <v>32</v>
      </c>
      <c r="R4" s="105" t="s">
        <v>977</v>
      </c>
      <c r="S4" s="105"/>
      <c r="T4" s="105"/>
      <c r="U4" s="90">
        <v>45958</v>
      </c>
      <c r="V4" s="90">
        <v>45961</v>
      </c>
      <c r="W4" s="93" t="s">
        <v>978</v>
      </c>
      <c r="X4" s="94" t="s">
        <v>979</v>
      </c>
      <c r="Y4" s="94" t="s">
        <v>980</v>
      </c>
      <c r="Z4" s="29">
        <v>0</v>
      </c>
      <c r="AA4" s="145">
        <v>0</v>
      </c>
      <c r="AB4" s="145">
        <v>0</v>
      </c>
      <c r="AC4" s="145">
        <v>0</v>
      </c>
      <c r="AD4" s="145">
        <v>0</v>
      </c>
      <c r="AE4" s="145">
        <v>0</v>
      </c>
      <c r="AF4" s="145">
        <v>0</v>
      </c>
      <c r="AG4" s="142">
        <f t="shared" ref="AG4:AG18" si="3">AVERAGE(Z4:AF4)</f>
        <v>0</v>
      </c>
      <c r="AH4" s="141"/>
      <c r="AI4" s="67"/>
      <c r="AJ4" s="67"/>
      <c r="AK4" s="24"/>
      <c r="AL4" s="24"/>
      <c r="AM4" s="24"/>
      <c r="AN4" s="71"/>
      <c r="AO4" s="69" t="s">
        <v>814</v>
      </c>
      <c r="AP4" s="141">
        <v>70</v>
      </c>
      <c r="AQ4" s="141" t="s">
        <v>812</v>
      </c>
      <c r="AR4" s="141"/>
      <c r="AS4" s="141"/>
      <c r="AT4" s="141"/>
      <c r="AU4" s="141" t="s">
        <v>757</v>
      </c>
      <c r="AV4" s="141" t="s">
        <v>757</v>
      </c>
      <c r="AW4" s="141"/>
      <c r="AX4" s="141" t="s">
        <v>757</v>
      </c>
      <c r="AY4" s="141" t="s">
        <v>757</v>
      </c>
    </row>
    <row r="5" spans="1:51" ht="45" customHeight="1">
      <c r="A5" s="153">
        <f t="shared" si="2"/>
        <v>2</v>
      </c>
      <c r="B5" s="153" t="s">
        <v>57</v>
      </c>
      <c r="C5" s="153" t="s">
        <v>65</v>
      </c>
      <c r="D5" s="28" t="s">
        <v>125</v>
      </c>
      <c r="E5" s="69"/>
      <c r="F5" s="39">
        <v>3</v>
      </c>
      <c r="G5" s="141" t="s">
        <v>123</v>
      </c>
      <c r="H5" s="141" t="s">
        <v>797</v>
      </c>
      <c r="I5" s="141"/>
      <c r="J5" s="141" t="s">
        <v>26</v>
      </c>
      <c r="K5" s="141"/>
      <c r="L5" s="69"/>
      <c r="M5" s="141"/>
      <c r="N5" s="60">
        <v>0</v>
      </c>
      <c r="O5" s="60">
        <v>0</v>
      </c>
      <c r="P5" s="105" t="s">
        <v>32</v>
      </c>
      <c r="Q5" s="105" t="s">
        <v>32</v>
      </c>
      <c r="R5" s="106" t="s">
        <v>981</v>
      </c>
      <c r="S5" s="106" t="s">
        <v>982</v>
      </c>
      <c r="T5" s="106" t="s">
        <v>983</v>
      </c>
      <c r="U5" s="90">
        <v>45959</v>
      </c>
      <c r="V5" s="90">
        <v>45961</v>
      </c>
      <c r="W5" s="93" t="s">
        <v>984</v>
      </c>
      <c r="X5" s="95" t="s">
        <v>985</v>
      </c>
      <c r="Y5" s="127" t="s">
        <v>986</v>
      </c>
      <c r="Z5" s="29">
        <v>0</v>
      </c>
      <c r="AA5" s="145">
        <v>0</v>
      </c>
      <c r="AB5" s="145">
        <v>0</v>
      </c>
      <c r="AC5" s="145">
        <v>0</v>
      </c>
      <c r="AD5" s="145">
        <v>0</v>
      </c>
      <c r="AE5" s="145">
        <v>0</v>
      </c>
      <c r="AF5" s="145">
        <v>0</v>
      </c>
      <c r="AG5" s="142">
        <f t="shared" si="3"/>
        <v>0</v>
      </c>
      <c r="AH5" s="141"/>
      <c r="AI5" s="67"/>
      <c r="AJ5" s="67"/>
      <c r="AK5" s="24"/>
      <c r="AL5" s="24"/>
      <c r="AM5" s="24"/>
      <c r="AN5" s="71"/>
      <c r="AO5" s="69" t="s">
        <v>819</v>
      </c>
      <c r="AP5" s="141">
        <v>2</v>
      </c>
      <c r="AQ5" s="141" t="s">
        <v>761</v>
      </c>
      <c r="AR5" s="141"/>
      <c r="AS5" s="141"/>
      <c r="AT5" s="141"/>
      <c r="AU5" s="141"/>
      <c r="AV5" s="141" t="s">
        <v>757</v>
      </c>
      <c r="AW5" s="141"/>
      <c r="AX5" s="141"/>
      <c r="AY5" s="141" t="s">
        <v>757</v>
      </c>
    </row>
    <row r="6" spans="1:51" ht="45" customHeight="1">
      <c r="A6" s="153">
        <f t="shared" si="2"/>
        <v>3</v>
      </c>
      <c r="B6" s="153" t="s">
        <v>57</v>
      </c>
      <c r="C6" s="153" t="s">
        <v>65</v>
      </c>
      <c r="D6" s="28" t="s">
        <v>624</v>
      </c>
      <c r="E6" s="69"/>
      <c r="F6" s="39">
        <v>2</v>
      </c>
      <c r="G6" s="141" t="s">
        <v>123</v>
      </c>
      <c r="H6" s="141" t="s">
        <v>797</v>
      </c>
      <c r="I6" s="141"/>
      <c r="J6" s="141" t="s">
        <v>26</v>
      </c>
      <c r="K6" s="141"/>
      <c r="L6" s="69"/>
      <c r="M6" s="141"/>
      <c r="N6" s="59">
        <v>4</v>
      </c>
      <c r="O6" s="59">
        <v>4</v>
      </c>
      <c r="P6" s="105" t="s">
        <v>34</v>
      </c>
      <c r="Q6" s="105" t="s">
        <v>32</v>
      </c>
      <c r="R6" s="105" t="s">
        <v>987</v>
      </c>
      <c r="S6" s="105" t="s">
        <v>988</v>
      </c>
      <c r="T6" s="105" t="s">
        <v>123</v>
      </c>
      <c r="U6" s="90">
        <v>45959</v>
      </c>
      <c r="V6" s="90">
        <v>45965</v>
      </c>
      <c r="W6" s="93" t="s">
        <v>989</v>
      </c>
      <c r="X6" s="96" t="s">
        <v>990</v>
      </c>
      <c r="Y6" s="96" t="s">
        <v>991</v>
      </c>
      <c r="Z6" s="29">
        <v>0</v>
      </c>
      <c r="AA6" s="145">
        <v>0</v>
      </c>
      <c r="AB6" s="145">
        <v>0</v>
      </c>
      <c r="AC6" s="145">
        <v>0</v>
      </c>
      <c r="AD6" s="145">
        <v>0</v>
      </c>
      <c r="AE6" s="145">
        <v>0</v>
      </c>
      <c r="AF6" s="145">
        <v>0</v>
      </c>
      <c r="AG6" s="142">
        <f t="shared" si="3"/>
        <v>0</v>
      </c>
      <c r="AH6" s="141"/>
      <c r="AI6" s="67"/>
      <c r="AJ6" s="67"/>
      <c r="AK6" s="24"/>
      <c r="AL6" s="24"/>
      <c r="AM6" s="24"/>
      <c r="AN6" s="71"/>
      <c r="AO6" s="69" t="s">
        <v>809</v>
      </c>
      <c r="AP6" s="141">
        <v>16</v>
      </c>
      <c r="AQ6" s="141" t="s">
        <v>761</v>
      </c>
      <c r="AR6" s="141"/>
      <c r="AS6" s="141"/>
      <c r="AT6" s="141"/>
      <c r="AU6" s="141"/>
      <c r="AV6" s="141" t="s">
        <v>757</v>
      </c>
      <c r="AW6" s="141"/>
      <c r="AX6" s="141"/>
      <c r="AY6" s="141"/>
    </row>
    <row r="7" spans="1:51" ht="45" customHeight="1">
      <c r="A7" s="153">
        <f t="shared" si="2"/>
        <v>4</v>
      </c>
      <c r="B7" s="153" t="s">
        <v>57</v>
      </c>
      <c r="C7" s="153" t="s">
        <v>65</v>
      </c>
      <c r="D7" s="28" t="s">
        <v>620</v>
      </c>
      <c r="E7" s="69"/>
      <c r="F7" s="39">
        <v>1</v>
      </c>
      <c r="G7" s="141" t="s">
        <v>123</v>
      </c>
      <c r="H7" s="141" t="s">
        <v>811</v>
      </c>
      <c r="I7" s="141"/>
      <c r="J7" s="141" t="s">
        <v>26</v>
      </c>
      <c r="K7" s="141"/>
      <c r="L7" s="69"/>
      <c r="M7" s="141"/>
      <c r="N7" s="59">
        <v>4</v>
      </c>
      <c r="O7" s="59">
        <v>4</v>
      </c>
      <c r="P7" s="105" t="s">
        <v>34</v>
      </c>
      <c r="Q7" s="105" t="s">
        <v>32</v>
      </c>
      <c r="R7" s="105"/>
      <c r="S7" s="105"/>
      <c r="T7" s="105"/>
      <c r="U7" s="90">
        <v>45959</v>
      </c>
      <c r="V7" s="90">
        <v>45965</v>
      </c>
      <c r="W7" s="93" t="s">
        <v>992</v>
      </c>
      <c r="X7" s="122" t="s">
        <v>993</v>
      </c>
      <c r="Y7" s="96" t="s">
        <v>623</v>
      </c>
      <c r="Z7" s="29">
        <v>0</v>
      </c>
      <c r="AA7" s="145">
        <v>0</v>
      </c>
      <c r="AB7" s="145">
        <v>0</v>
      </c>
      <c r="AC7" s="145">
        <v>0</v>
      </c>
      <c r="AD7" s="145">
        <v>0</v>
      </c>
      <c r="AE7" s="145">
        <v>0</v>
      </c>
      <c r="AF7" s="145">
        <v>0</v>
      </c>
      <c r="AG7" s="142">
        <f t="shared" si="3"/>
        <v>0</v>
      </c>
      <c r="AH7" s="141"/>
      <c r="AI7" s="67"/>
      <c r="AJ7" s="67"/>
      <c r="AK7" s="24"/>
      <c r="AL7" s="24"/>
      <c r="AM7" s="24"/>
      <c r="AN7" s="71"/>
      <c r="AO7" s="69"/>
      <c r="AP7" s="141">
        <v>12</v>
      </c>
      <c r="AQ7" s="141" t="s">
        <v>812</v>
      </c>
      <c r="AR7" s="141"/>
      <c r="AS7" s="141">
        <v>100</v>
      </c>
      <c r="AT7" s="86">
        <v>45901</v>
      </c>
      <c r="AU7" s="141" t="s">
        <v>757</v>
      </c>
      <c r="AV7" s="141" t="s">
        <v>757</v>
      </c>
      <c r="AW7" s="141"/>
      <c r="AX7" s="141" t="s">
        <v>757</v>
      </c>
      <c r="AY7" s="141"/>
    </row>
    <row r="8" spans="1:51" ht="45" customHeight="1">
      <c r="A8" s="153">
        <f t="shared" si="2"/>
        <v>5</v>
      </c>
      <c r="B8" s="153" t="s">
        <v>57</v>
      </c>
      <c r="C8" s="153" t="s">
        <v>65</v>
      </c>
      <c r="D8" s="28" t="s">
        <v>605</v>
      </c>
      <c r="E8" s="69" t="s">
        <v>842</v>
      </c>
      <c r="F8" s="39">
        <v>2</v>
      </c>
      <c r="G8" s="141" t="s">
        <v>123</v>
      </c>
      <c r="H8" s="141" t="s">
        <v>811</v>
      </c>
      <c r="I8" s="141"/>
      <c r="J8" s="141" t="s">
        <v>6</v>
      </c>
      <c r="K8" s="21"/>
      <c r="L8" s="69"/>
      <c r="M8" s="141"/>
      <c r="N8" s="59"/>
      <c r="O8" s="59"/>
      <c r="P8" s="105"/>
      <c r="Q8" s="105" t="s">
        <v>31</v>
      </c>
      <c r="R8" s="105" t="s">
        <v>897</v>
      </c>
      <c r="S8" s="105"/>
      <c r="T8" s="105"/>
      <c r="U8" s="90"/>
      <c r="V8" s="90">
        <v>45992</v>
      </c>
      <c r="W8" s="93" t="s">
        <v>994</v>
      </c>
      <c r="X8" s="96" t="s">
        <v>898</v>
      </c>
      <c r="Y8" s="96"/>
      <c r="Z8" s="29">
        <v>0</v>
      </c>
      <c r="AA8" s="145">
        <v>0</v>
      </c>
      <c r="AB8" s="145">
        <v>0</v>
      </c>
      <c r="AC8" s="145">
        <v>0</v>
      </c>
      <c r="AD8" s="145">
        <v>0</v>
      </c>
      <c r="AE8" s="145">
        <v>0</v>
      </c>
      <c r="AF8" s="145">
        <v>0</v>
      </c>
      <c r="AG8" s="142">
        <f t="shared" si="3"/>
        <v>0</v>
      </c>
      <c r="AH8" s="141"/>
      <c r="AI8" s="67"/>
      <c r="AJ8" s="67"/>
      <c r="AK8" s="24"/>
      <c r="AL8" s="24"/>
      <c r="AM8" s="24"/>
      <c r="AN8" s="71"/>
      <c r="AO8" s="69" t="s">
        <v>843</v>
      </c>
      <c r="AP8" s="141"/>
      <c r="AQ8" s="141"/>
      <c r="AR8" s="141"/>
      <c r="AS8" s="141">
        <v>15</v>
      </c>
      <c r="AT8" s="86">
        <v>45901</v>
      </c>
      <c r="AU8" s="141" t="s">
        <v>757</v>
      </c>
      <c r="AV8" s="141"/>
      <c r="AW8" s="141"/>
      <c r="AX8" s="141"/>
      <c r="AY8" s="141"/>
    </row>
    <row r="9" spans="1:51" ht="45" customHeight="1">
      <c r="A9" s="153">
        <f t="shared" si="2"/>
        <v>6</v>
      </c>
      <c r="B9" s="153" t="s">
        <v>57</v>
      </c>
      <c r="C9" s="153" t="s">
        <v>65</v>
      </c>
      <c r="D9" s="28" t="s">
        <v>995</v>
      </c>
      <c r="E9" s="69"/>
      <c r="F9" s="39">
        <v>3</v>
      </c>
      <c r="G9" s="141" t="s">
        <v>123</v>
      </c>
      <c r="H9" s="141" t="s">
        <v>805</v>
      </c>
      <c r="I9" s="141"/>
      <c r="J9" s="141" t="s">
        <v>26</v>
      </c>
      <c r="K9" s="141" t="s">
        <v>45</v>
      </c>
      <c r="L9" s="69"/>
      <c r="M9" s="141"/>
      <c r="N9" s="59"/>
      <c r="O9" s="59"/>
      <c r="P9" s="105" t="s">
        <v>34</v>
      </c>
      <c r="Q9" s="105" t="s">
        <v>34</v>
      </c>
      <c r="R9" s="105"/>
      <c r="S9" s="105" t="s">
        <v>996</v>
      </c>
      <c r="T9" s="105" t="s">
        <v>123</v>
      </c>
      <c r="U9" s="90"/>
      <c r="V9" s="90"/>
      <c r="W9" s="93" t="s">
        <v>997</v>
      </c>
      <c r="X9" s="96" t="s">
        <v>998</v>
      </c>
      <c r="Y9" s="96" t="s">
        <v>999</v>
      </c>
      <c r="Z9" s="29">
        <v>0</v>
      </c>
      <c r="AA9" s="145">
        <v>0</v>
      </c>
      <c r="AB9" s="145">
        <v>0</v>
      </c>
      <c r="AC9" s="145">
        <v>0</v>
      </c>
      <c r="AD9" s="145">
        <v>0</v>
      </c>
      <c r="AE9" s="145">
        <v>0</v>
      </c>
      <c r="AF9" s="145">
        <v>0</v>
      </c>
      <c r="AG9" s="142">
        <f t="shared" si="3"/>
        <v>0</v>
      </c>
      <c r="AH9" s="141"/>
      <c r="AI9" s="67"/>
      <c r="AJ9" s="67"/>
      <c r="AK9" s="24"/>
      <c r="AL9" s="24"/>
      <c r="AM9" s="24"/>
      <c r="AN9" s="71"/>
      <c r="AO9" s="69" t="s">
        <v>818</v>
      </c>
      <c r="AP9" s="141">
        <v>2</v>
      </c>
      <c r="AQ9" s="141" t="s">
        <v>761</v>
      </c>
      <c r="AR9" s="141"/>
      <c r="AS9" s="141"/>
      <c r="AT9" s="141"/>
      <c r="AU9" s="141" t="s">
        <v>757</v>
      </c>
      <c r="AV9" s="141" t="s">
        <v>757</v>
      </c>
      <c r="AW9" s="141" t="s">
        <v>757</v>
      </c>
      <c r="AX9" s="141"/>
      <c r="AY9" s="141"/>
    </row>
    <row r="10" spans="1:51" ht="45" customHeight="1">
      <c r="A10" s="153">
        <f t="shared" si="2"/>
        <v>7</v>
      </c>
      <c r="B10" s="153" t="s">
        <v>57</v>
      </c>
      <c r="C10" s="153" t="s">
        <v>65</v>
      </c>
      <c r="D10" s="28" t="s">
        <v>658</v>
      </c>
      <c r="E10" s="69" t="s">
        <v>804</v>
      </c>
      <c r="F10" s="39">
        <v>2</v>
      </c>
      <c r="G10" s="141" t="s">
        <v>150</v>
      </c>
      <c r="H10" s="141" t="s">
        <v>805</v>
      </c>
      <c r="I10" s="141"/>
      <c r="J10" s="141" t="s">
        <v>6</v>
      </c>
      <c r="K10" s="141"/>
      <c r="L10" s="69"/>
      <c r="M10" s="141"/>
      <c r="N10" s="59">
        <v>4</v>
      </c>
      <c r="O10" s="59">
        <v>4</v>
      </c>
      <c r="P10" s="105" t="s">
        <v>34</v>
      </c>
      <c r="Q10" s="105" t="s">
        <v>34</v>
      </c>
      <c r="R10" s="105"/>
      <c r="S10" s="105" t="s">
        <v>1000</v>
      </c>
      <c r="T10" s="105" t="s">
        <v>150</v>
      </c>
      <c r="U10" s="90">
        <v>45933</v>
      </c>
      <c r="V10" s="90">
        <v>45958</v>
      </c>
      <c r="W10" s="93" t="s">
        <v>1001</v>
      </c>
      <c r="X10" s="96" t="s">
        <v>660</v>
      </c>
      <c r="Y10" s="96" t="s">
        <v>661</v>
      </c>
      <c r="Z10" s="29">
        <v>0</v>
      </c>
      <c r="AA10" s="145">
        <v>0</v>
      </c>
      <c r="AB10" s="145">
        <v>0</v>
      </c>
      <c r="AC10" s="145">
        <v>0</v>
      </c>
      <c r="AD10" s="145">
        <v>0</v>
      </c>
      <c r="AE10" s="145">
        <v>0</v>
      </c>
      <c r="AF10" s="145">
        <v>0</v>
      </c>
      <c r="AG10" s="142">
        <f t="shared" si="3"/>
        <v>0</v>
      </c>
      <c r="AH10" s="141"/>
      <c r="AI10" s="67"/>
      <c r="AJ10" s="67"/>
      <c r="AK10" s="24"/>
      <c r="AL10" s="24"/>
      <c r="AM10" s="24"/>
      <c r="AN10" s="71"/>
      <c r="AO10" s="69" t="s">
        <v>806</v>
      </c>
      <c r="AP10" s="141">
        <v>4</v>
      </c>
      <c r="AQ10" s="141" t="s">
        <v>761</v>
      </c>
      <c r="AR10" s="141"/>
      <c r="AS10" s="141"/>
      <c r="AT10" s="141"/>
      <c r="AU10" s="141"/>
      <c r="AV10" s="141" t="s">
        <v>757</v>
      </c>
      <c r="AW10" s="141"/>
      <c r="AX10" s="141" t="s">
        <v>757</v>
      </c>
      <c r="AY10" s="141"/>
    </row>
    <row r="11" spans="1:51" ht="45" customHeight="1">
      <c r="A11" s="153">
        <f t="shared" si="2"/>
        <v>8</v>
      </c>
      <c r="B11" s="153" t="s">
        <v>57</v>
      </c>
      <c r="C11" s="153" t="s">
        <v>65</v>
      </c>
      <c r="D11" s="28" t="s">
        <v>650</v>
      </c>
      <c r="E11" s="69" t="s">
        <v>827</v>
      </c>
      <c r="F11" s="39">
        <v>3</v>
      </c>
      <c r="G11" s="141" t="s">
        <v>150</v>
      </c>
      <c r="H11" s="141" t="s">
        <v>797</v>
      </c>
      <c r="I11" s="141"/>
      <c r="J11" s="141" t="s">
        <v>14</v>
      </c>
      <c r="K11" s="21"/>
      <c r="L11" s="69"/>
      <c r="M11" s="141"/>
      <c r="N11" s="59">
        <v>4</v>
      </c>
      <c r="O11" s="59">
        <v>4</v>
      </c>
      <c r="P11" s="105" t="s">
        <v>34</v>
      </c>
      <c r="Q11" s="105" t="s">
        <v>31</v>
      </c>
      <c r="R11" s="105"/>
      <c r="S11" s="105"/>
      <c r="T11" s="105"/>
      <c r="U11" s="90">
        <v>45937</v>
      </c>
      <c r="V11" s="90">
        <v>45965</v>
      </c>
      <c r="W11" s="93" t="s">
        <v>1002</v>
      </c>
      <c r="X11" s="96" t="s">
        <v>1003</v>
      </c>
      <c r="Y11" s="96"/>
      <c r="Z11" s="29">
        <v>0</v>
      </c>
      <c r="AA11" s="145">
        <v>0</v>
      </c>
      <c r="AB11" s="145">
        <v>0</v>
      </c>
      <c r="AC11" s="145">
        <v>0</v>
      </c>
      <c r="AD11" s="145">
        <v>0</v>
      </c>
      <c r="AE11" s="145">
        <v>0</v>
      </c>
      <c r="AF11" s="145">
        <v>0</v>
      </c>
      <c r="AG11" s="142">
        <f t="shared" si="3"/>
        <v>0</v>
      </c>
      <c r="AH11" s="141"/>
      <c r="AI11" s="67"/>
      <c r="AJ11" s="67"/>
      <c r="AK11" s="24"/>
      <c r="AL11" s="24"/>
      <c r="AM11" s="24"/>
      <c r="AN11" s="71"/>
      <c r="AO11" s="69" t="s">
        <v>828</v>
      </c>
      <c r="AP11" s="141"/>
      <c r="AQ11" s="141"/>
      <c r="AR11" s="141">
        <v>80</v>
      </c>
      <c r="AS11" s="141"/>
      <c r="AT11" s="141"/>
      <c r="AU11" s="141"/>
      <c r="AV11" s="141" t="s">
        <v>757</v>
      </c>
      <c r="AW11" s="141" t="s">
        <v>757</v>
      </c>
      <c r="AX11" s="141"/>
      <c r="AY11" s="141"/>
    </row>
    <row r="12" spans="1:51" ht="45" customHeight="1">
      <c r="A12" s="153">
        <f t="shared" si="2"/>
        <v>9</v>
      </c>
      <c r="B12" s="153" t="s">
        <v>57</v>
      </c>
      <c r="C12" s="153" t="s">
        <v>65</v>
      </c>
      <c r="D12" s="28" t="s">
        <v>690</v>
      </c>
      <c r="E12" s="69"/>
      <c r="F12" s="39">
        <v>3</v>
      </c>
      <c r="G12" s="141" t="s">
        <v>123</v>
      </c>
      <c r="H12" s="141" t="s">
        <v>816</v>
      </c>
      <c r="I12" s="141"/>
      <c r="J12" s="141"/>
      <c r="K12" s="141" t="s">
        <v>48</v>
      </c>
      <c r="L12" s="69"/>
      <c r="M12" s="141"/>
      <c r="N12" s="59">
        <v>4</v>
      </c>
      <c r="O12" s="59">
        <v>4</v>
      </c>
      <c r="P12" s="105" t="s">
        <v>34</v>
      </c>
      <c r="Q12" s="105" t="s">
        <v>34</v>
      </c>
      <c r="R12" s="105"/>
      <c r="S12" s="105"/>
      <c r="T12" s="105"/>
      <c r="U12" s="90">
        <v>45958</v>
      </c>
      <c r="V12" s="90">
        <v>45964</v>
      </c>
      <c r="W12" s="93" t="s">
        <v>1004</v>
      </c>
      <c r="X12" s="96" t="s">
        <v>1005</v>
      </c>
      <c r="Y12" s="96"/>
      <c r="Z12" s="29">
        <v>0</v>
      </c>
      <c r="AA12" s="145">
        <v>0</v>
      </c>
      <c r="AB12" s="145">
        <v>0</v>
      </c>
      <c r="AC12" s="145">
        <v>0</v>
      </c>
      <c r="AD12" s="145">
        <v>0</v>
      </c>
      <c r="AE12" s="145">
        <v>0</v>
      </c>
      <c r="AF12" s="145">
        <v>0</v>
      </c>
      <c r="AG12" s="142">
        <f t="shared" si="3"/>
        <v>0</v>
      </c>
      <c r="AH12" s="141"/>
      <c r="AI12" s="67"/>
      <c r="AJ12" s="67"/>
      <c r="AK12" s="24"/>
      <c r="AL12" s="24"/>
      <c r="AM12" s="24"/>
      <c r="AN12" s="71"/>
      <c r="AO12" s="69" t="s">
        <v>817</v>
      </c>
      <c r="AP12" s="141">
        <v>35</v>
      </c>
      <c r="AQ12" s="141" t="s">
        <v>756</v>
      </c>
      <c r="AR12" s="141"/>
      <c r="AS12" s="141"/>
      <c r="AT12" s="141"/>
      <c r="AU12" s="141"/>
      <c r="AV12" s="141" t="s">
        <v>757</v>
      </c>
      <c r="AW12" s="141"/>
      <c r="AX12" s="141"/>
      <c r="AY12" s="141" t="s">
        <v>757</v>
      </c>
    </row>
    <row r="13" spans="1:51" ht="45" customHeight="1">
      <c r="A13" s="153">
        <f t="shared" si="2"/>
        <v>10</v>
      </c>
      <c r="B13" s="153" t="s">
        <v>57</v>
      </c>
      <c r="C13" s="153" t="s">
        <v>65</v>
      </c>
      <c r="D13" s="28" t="s">
        <v>143</v>
      </c>
      <c r="E13" s="69" t="s">
        <v>820</v>
      </c>
      <c r="F13" s="39">
        <v>1</v>
      </c>
      <c r="G13" s="141" t="s">
        <v>794</v>
      </c>
      <c r="H13" s="141" t="s">
        <v>765</v>
      </c>
      <c r="I13" s="141"/>
      <c r="J13" s="141"/>
      <c r="K13" s="21"/>
      <c r="L13" s="69"/>
      <c r="M13" s="141"/>
      <c r="N13" s="59">
        <v>3</v>
      </c>
      <c r="O13" s="59">
        <v>3</v>
      </c>
      <c r="P13" s="105"/>
      <c r="Q13" s="105"/>
      <c r="R13" s="105"/>
      <c r="S13" s="105"/>
      <c r="T13" s="105"/>
      <c r="U13" s="90"/>
      <c r="V13" s="90"/>
      <c r="W13" s="93"/>
      <c r="X13" s="96"/>
      <c r="Y13" s="96"/>
      <c r="Z13" s="29">
        <v>0</v>
      </c>
      <c r="AA13" s="145">
        <v>0</v>
      </c>
      <c r="AB13" s="145">
        <v>0</v>
      </c>
      <c r="AC13" s="145">
        <v>0</v>
      </c>
      <c r="AD13" s="145">
        <v>0</v>
      </c>
      <c r="AE13" s="145">
        <v>0</v>
      </c>
      <c r="AF13" s="145">
        <v>0</v>
      </c>
      <c r="AG13" s="142">
        <f t="shared" si="3"/>
        <v>0</v>
      </c>
      <c r="AH13" s="141"/>
      <c r="AI13" s="67"/>
      <c r="AJ13" s="67"/>
      <c r="AK13" s="24"/>
      <c r="AL13" s="24"/>
      <c r="AM13" s="24"/>
      <c r="AN13" s="71"/>
      <c r="AO13" s="69" t="s">
        <v>821</v>
      </c>
      <c r="AP13" s="141">
        <v>2</v>
      </c>
      <c r="AQ13" s="141" t="s">
        <v>761</v>
      </c>
      <c r="AR13" s="141"/>
      <c r="AS13" s="141">
        <v>100</v>
      </c>
      <c r="AT13" s="86">
        <v>45931</v>
      </c>
      <c r="AU13" s="141" t="s">
        <v>757</v>
      </c>
      <c r="AV13" s="141" t="s">
        <v>757</v>
      </c>
      <c r="AW13" s="141"/>
      <c r="AX13" s="141"/>
      <c r="AY13" s="141" t="s">
        <v>757</v>
      </c>
    </row>
    <row r="14" spans="1:51" ht="45" customHeight="1">
      <c r="A14" s="153">
        <f t="shared" si="2"/>
        <v>11</v>
      </c>
      <c r="B14" s="153" t="s">
        <v>57</v>
      </c>
      <c r="C14" s="153" t="s">
        <v>65</v>
      </c>
      <c r="D14" s="28" t="s">
        <v>655</v>
      </c>
      <c r="E14" s="69" t="s">
        <v>824</v>
      </c>
      <c r="F14" s="39">
        <v>2</v>
      </c>
      <c r="G14" s="141" t="s">
        <v>123</v>
      </c>
      <c r="H14" s="141" t="s">
        <v>811</v>
      </c>
      <c r="I14" s="141"/>
      <c r="J14" s="141"/>
      <c r="K14" s="141"/>
      <c r="L14" s="69"/>
      <c r="M14" s="141"/>
      <c r="N14" s="59">
        <v>5</v>
      </c>
      <c r="O14" s="59">
        <v>5</v>
      </c>
      <c r="P14" s="105" t="s">
        <v>33</v>
      </c>
      <c r="Q14" s="105" t="s">
        <v>31</v>
      </c>
      <c r="R14" s="105"/>
      <c r="S14" s="105" t="s">
        <v>1006</v>
      </c>
      <c r="T14" s="105" t="s">
        <v>1007</v>
      </c>
      <c r="U14" s="90">
        <v>45953</v>
      </c>
      <c r="V14" s="90">
        <v>45973</v>
      </c>
      <c r="W14" s="93" t="s">
        <v>1008</v>
      </c>
      <c r="X14" s="96" t="s">
        <v>657</v>
      </c>
      <c r="Y14" s="96" t="s">
        <v>1009</v>
      </c>
      <c r="Z14" s="29">
        <v>0</v>
      </c>
      <c r="AA14" s="145">
        <v>0</v>
      </c>
      <c r="AB14" s="145">
        <v>0</v>
      </c>
      <c r="AC14" s="145">
        <v>0</v>
      </c>
      <c r="AD14" s="145">
        <v>0</v>
      </c>
      <c r="AE14" s="145">
        <v>0</v>
      </c>
      <c r="AF14" s="145">
        <v>0</v>
      </c>
      <c r="AG14" s="142">
        <f t="shared" si="3"/>
        <v>0</v>
      </c>
      <c r="AH14" s="141"/>
      <c r="AI14" s="67"/>
      <c r="AJ14" s="67"/>
      <c r="AK14" s="24"/>
      <c r="AL14" s="24"/>
      <c r="AM14" s="24"/>
      <c r="AN14" s="71"/>
      <c r="AO14" s="69" t="s">
        <v>825</v>
      </c>
      <c r="AP14" s="141">
        <v>4</v>
      </c>
      <c r="AQ14" s="141" t="s">
        <v>756</v>
      </c>
      <c r="AR14" s="141"/>
      <c r="AS14" s="141"/>
      <c r="AT14" s="141"/>
      <c r="AU14" s="141" t="s">
        <v>757</v>
      </c>
      <c r="AV14" s="141" t="s">
        <v>757</v>
      </c>
      <c r="AW14" s="141"/>
      <c r="AX14" s="141"/>
      <c r="AY14" s="141" t="s">
        <v>757</v>
      </c>
    </row>
    <row r="15" spans="1:51" ht="45" customHeight="1">
      <c r="A15" s="153">
        <f t="shared" si="2"/>
        <v>12</v>
      </c>
      <c r="B15" s="153" t="s">
        <v>57</v>
      </c>
      <c r="C15" s="153" t="s">
        <v>65</v>
      </c>
      <c r="D15" s="28" t="s">
        <v>707</v>
      </c>
      <c r="E15" s="69" t="s">
        <v>829</v>
      </c>
      <c r="F15" s="39">
        <v>1</v>
      </c>
      <c r="G15" s="141" t="s">
        <v>794</v>
      </c>
      <c r="H15" s="141" t="s">
        <v>797</v>
      </c>
      <c r="I15" s="141"/>
      <c r="J15" s="141"/>
      <c r="K15" s="141"/>
      <c r="L15" s="69"/>
      <c r="M15" s="141">
        <v>300</v>
      </c>
      <c r="N15" s="59"/>
      <c r="O15" s="59"/>
      <c r="P15" s="105"/>
      <c r="Q15" s="105"/>
      <c r="R15" s="105"/>
      <c r="S15" s="105"/>
      <c r="T15" s="105"/>
      <c r="U15" s="90"/>
      <c r="V15" s="90"/>
      <c r="W15" s="93"/>
      <c r="X15" s="96"/>
      <c r="Y15" s="96"/>
      <c r="Z15" s="29">
        <v>0</v>
      </c>
      <c r="AA15" s="145">
        <v>0</v>
      </c>
      <c r="AB15" s="145">
        <v>0</v>
      </c>
      <c r="AC15" s="145">
        <v>0</v>
      </c>
      <c r="AD15" s="145">
        <v>0</v>
      </c>
      <c r="AE15" s="145">
        <v>0</v>
      </c>
      <c r="AF15" s="145">
        <v>0</v>
      </c>
      <c r="AG15" s="142">
        <f t="shared" si="3"/>
        <v>0</v>
      </c>
      <c r="AH15" s="141"/>
      <c r="AI15" s="67"/>
      <c r="AJ15" s="67"/>
      <c r="AK15" s="24"/>
      <c r="AL15" s="24"/>
      <c r="AM15" s="24"/>
      <c r="AN15" s="71"/>
      <c r="AO15" s="69" t="s">
        <v>830</v>
      </c>
      <c r="AP15" s="141">
        <v>10</v>
      </c>
      <c r="AQ15" s="141" t="s">
        <v>756</v>
      </c>
      <c r="AR15" s="141">
        <v>300</v>
      </c>
      <c r="AS15" s="141"/>
      <c r="AT15" s="86">
        <v>45901</v>
      </c>
      <c r="AU15" s="141" t="s">
        <v>757</v>
      </c>
      <c r="AV15" s="141"/>
      <c r="AW15" s="141"/>
      <c r="AX15" s="141"/>
      <c r="AY15" s="141"/>
    </row>
    <row r="16" spans="1:51" ht="45" customHeight="1">
      <c r="A16" s="153">
        <f t="shared" si="2"/>
        <v>13</v>
      </c>
      <c r="B16" s="153" t="s">
        <v>57</v>
      </c>
      <c r="C16" s="153" t="s">
        <v>65</v>
      </c>
      <c r="D16" s="28" t="s">
        <v>688</v>
      </c>
      <c r="E16" s="69" t="s">
        <v>832</v>
      </c>
      <c r="F16" s="39">
        <v>1</v>
      </c>
      <c r="G16" s="141" t="s">
        <v>123</v>
      </c>
      <c r="H16" s="141" t="s">
        <v>805</v>
      </c>
      <c r="I16" s="141"/>
      <c r="J16" s="141"/>
      <c r="K16" s="141"/>
      <c r="L16" s="69"/>
      <c r="M16" s="141"/>
      <c r="N16" s="59"/>
      <c r="O16" s="59"/>
      <c r="P16" s="105"/>
      <c r="Q16" s="105"/>
      <c r="R16" s="105"/>
      <c r="S16" s="105" t="s">
        <v>1010</v>
      </c>
      <c r="T16" s="105" t="s">
        <v>123</v>
      </c>
      <c r="U16" s="90">
        <v>45936</v>
      </c>
      <c r="V16" s="90">
        <v>45998</v>
      </c>
      <c r="W16" s="93" t="s">
        <v>689</v>
      </c>
      <c r="X16" s="126"/>
      <c r="Y16" s="96"/>
      <c r="Z16" s="29">
        <v>0</v>
      </c>
      <c r="AA16" s="145">
        <v>0</v>
      </c>
      <c r="AB16" s="145">
        <v>0</v>
      </c>
      <c r="AC16" s="145">
        <v>0</v>
      </c>
      <c r="AD16" s="145">
        <v>0</v>
      </c>
      <c r="AE16" s="145">
        <v>0</v>
      </c>
      <c r="AF16" s="145">
        <v>0</v>
      </c>
      <c r="AG16" s="142">
        <f t="shared" si="3"/>
        <v>0</v>
      </c>
      <c r="AH16" s="141"/>
      <c r="AI16" s="67"/>
      <c r="AJ16" s="67"/>
      <c r="AK16" s="24"/>
      <c r="AL16" s="24"/>
      <c r="AM16" s="24"/>
      <c r="AN16" s="71"/>
      <c r="AO16" s="69" t="s">
        <v>833</v>
      </c>
      <c r="AP16" s="141"/>
      <c r="AQ16" s="141"/>
      <c r="AR16" s="141"/>
      <c r="AS16" s="141">
        <v>400</v>
      </c>
      <c r="AT16" s="86">
        <v>45931</v>
      </c>
      <c r="AU16" s="141" t="s">
        <v>757</v>
      </c>
      <c r="AV16" s="141" t="s">
        <v>757</v>
      </c>
      <c r="AW16" s="141"/>
      <c r="AX16" s="141"/>
      <c r="AY16" s="141" t="s">
        <v>757</v>
      </c>
    </row>
    <row r="17" spans="1:51" ht="45" customHeight="1">
      <c r="A17" s="153">
        <f t="shared" si="2"/>
        <v>14</v>
      </c>
      <c r="B17" s="153" t="s">
        <v>57</v>
      </c>
      <c r="C17" s="153" t="s">
        <v>65</v>
      </c>
      <c r="D17" s="28" t="s">
        <v>696</v>
      </c>
      <c r="E17" s="69" t="s">
        <v>834</v>
      </c>
      <c r="F17" s="39">
        <v>2</v>
      </c>
      <c r="G17" s="141" t="s">
        <v>835</v>
      </c>
      <c r="H17" s="141" t="s">
        <v>811</v>
      </c>
      <c r="I17" s="141"/>
      <c r="J17" s="141"/>
      <c r="K17" s="141"/>
      <c r="L17" s="69"/>
      <c r="M17" s="141"/>
      <c r="N17" s="59"/>
      <c r="O17" s="59"/>
      <c r="P17" s="105"/>
      <c r="Q17" s="105"/>
      <c r="R17" s="105"/>
      <c r="S17" s="105"/>
      <c r="T17" s="105"/>
      <c r="U17" s="90"/>
      <c r="V17" s="90"/>
      <c r="W17" s="93"/>
      <c r="X17" s="96"/>
      <c r="Y17" s="96"/>
      <c r="Z17" s="29">
        <v>0</v>
      </c>
      <c r="AA17" s="145">
        <v>0</v>
      </c>
      <c r="AB17" s="145">
        <v>0</v>
      </c>
      <c r="AC17" s="145">
        <v>0</v>
      </c>
      <c r="AD17" s="145">
        <v>0</v>
      </c>
      <c r="AE17" s="145">
        <v>0</v>
      </c>
      <c r="AF17" s="145">
        <v>0</v>
      </c>
      <c r="AG17" s="142">
        <f t="shared" si="3"/>
        <v>0</v>
      </c>
      <c r="AH17" s="141"/>
      <c r="AI17" s="67"/>
      <c r="AJ17" s="67"/>
      <c r="AK17" s="24"/>
      <c r="AL17" s="24"/>
      <c r="AM17" s="24"/>
      <c r="AN17" s="71"/>
      <c r="AO17" s="69" t="s">
        <v>836</v>
      </c>
      <c r="AP17" s="141"/>
      <c r="AQ17" s="141"/>
      <c r="AR17" s="141"/>
      <c r="AS17" s="141">
        <v>100</v>
      </c>
      <c r="AT17" s="86">
        <v>45931</v>
      </c>
      <c r="AU17" s="141"/>
      <c r="AV17" s="141" t="s">
        <v>757</v>
      </c>
      <c r="AW17" s="141"/>
      <c r="AX17" s="141"/>
      <c r="AY17" s="141" t="s">
        <v>757</v>
      </c>
    </row>
    <row r="18" spans="1:51" ht="45" customHeight="1">
      <c r="A18" s="153">
        <f t="shared" si="2"/>
        <v>15</v>
      </c>
      <c r="B18" s="153" t="s">
        <v>57</v>
      </c>
      <c r="C18" s="153" t="s">
        <v>65</v>
      </c>
      <c r="D18" s="28" t="s">
        <v>671</v>
      </c>
      <c r="E18" s="69" t="s">
        <v>837</v>
      </c>
      <c r="F18" s="39">
        <v>2</v>
      </c>
      <c r="G18" s="141" t="s">
        <v>753</v>
      </c>
      <c r="H18" s="141" t="s">
        <v>805</v>
      </c>
      <c r="I18" s="141"/>
      <c r="J18" s="141"/>
      <c r="K18" s="141"/>
      <c r="L18" s="69"/>
      <c r="M18" s="141"/>
      <c r="N18" s="59">
        <v>3</v>
      </c>
      <c r="O18" s="59">
        <v>3</v>
      </c>
      <c r="P18" s="105" t="s">
        <v>35</v>
      </c>
      <c r="Q18" s="105" t="s">
        <v>35</v>
      </c>
      <c r="R18" s="105"/>
      <c r="S18" s="105"/>
      <c r="T18" s="105"/>
      <c r="U18" s="90"/>
      <c r="V18" s="90"/>
      <c r="W18" s="93" t="s">
        <v>672</v>
      </c>
      <c r="X18" s="96" t="s">
        <v>1011</v>
      </c>
      <c r="Y18" s="96"/>
      <c r="Z18" s="29">
        <v>0</v>
      </c>
      <c r="AA18" s="145">
        <v>0</v>
      </c>
      <c r="AB18" s="145">
        <v>0</v>
      </c>
      <c r="AC18" s="145">
        <v>0</v>
      </c>
      <c r="AD18" s="145">
        <v>0</v>
      </c>
      <c r="AE18" s="145">
        <v>0</v>
      </c>
      <c r="AF18" s="145">
        <v>0</v>
      </c>
      <c r="AG18" s="142">
        <f t="shared" si="3"/>
        <v>0</v>
      </c>
      <c r="AH18" s="141"/>
      <c r="AI18" s="67"/>
      <c r="AJ18" s="67"/>
      <c r="AK18" s="24"/>
      <c r="AL18" s="24"/>
      <c r="AM18" s="24"/>
      <c r="AN18" s="71"/>
      <c r="AO18" s="69" t="s">
        <v>838</v>
      </c>
      <c r="AP18" s="141"/>
      <c r="AQ18" s="141"/>
      <c r="AR18" s="141"/>
      <c r="AS18" s="141">
        <v>60</v>
      </c>
      <c r="AT18" s="86">
        <v>45962</v>
      </c>
      <c r="AU18" s="141" t="s">
        <v>757</v>
      </c>
      <c r="AV18" s="141" t="s">
        <v>757</v>
      </c>
      <c r="AW18" s="141"/>
      <c r="AX18" s="141"/>
      <c r="AY18" s="141"/>
    </row>
    <row r="19" spans="1:51" ht="45" customHeight="1">
      <c r="A19" s="153">
        <f t="shared" si="2"/>
        <v>16</v>
      </c>
      <c r="B19" s="153" t="s">
        <v>57</v>
      </c>
      <c r="C19" s="153" t="s">
        <v>65</v>
      </c>
      <c r="D19" s="28" t="s">
        <v>909</v>
      </c>
      <c r="E19" s="69" t="s">
        <v>910</v>
      </c>
      <c r="F19" s="39">
        <v>1</v>
      </c>
      <c r="G19" s="141" t="s">
        <v>123</v>
      </c>
      <c r="H19" s="141" t="s">
        <v>911</v>
      </c>
      <c r="I19" s="141"/>
      <c r="J19" s="141" t="s">
        <v>10</v>
      </c>
      <c r="K19" s="141"/>
      <c r="L19" s="69"/>
      <c r="M19" s="141"/>
      <c r="N19" s="59"/>
      <c r="O19" s="59"/>
      <c r="P19" s="105"/>
      <c r="Q19" s="105" t="s">
        <v>31</v>
      </c>
      <c r="R19" s="105" t="s">
        <v>1012</v>
      </c>
      <c r="S19" s="105"/>
      <c r="T19" s="105"/>
      <c r="U19" s="90">
        <v>45957</v>
      </c>
      <c r="V19" s="90" t="s">
        <v>1013</v>
      </c>
      <c r="W19" s="93" t="s">
        <v>1014</v>
      </c>
      <c r="X19" s="96" t="s">
        <v>913</v>
      </c>
      <c r="Y19" s="96" t="s">
        <v>1015</v>
      </c>
      <c r="Z19" s="29"/>
      <c r="AA19" s="145"/>
      <c r="AB19" s="145"/>
      <c r="AC19" s="145"/>
      <c r="AD19" s="145"/>
      <c r="AE19" s="145"/>
      <c r="AF19" s="145"/>
      <c r="AG19" s="142"/>
      <c r="AH19" s="141"/>
      <c r="AI19" s="67"/>
      <c r="AJ19" s="67"/>
      <c r="AK19" s="24"/>
      <c r="AL19" s="24"/>
      <c r="AM19" s="24"/>
      <c r="AN19" s="71"/>
      <c r="AO19" s="69" t="s">
        <v>914</v>
      </c>
      <c r="AP19" s="141"/>
      <c r="AQ19" s="141"/>
      <c r="AR19" s="141"/>
      <c r="AS19" s="141"/>
      <c r="AT19" s="86"/>
      <c r="AU19" s="141"/>
      <c r="AV19" s="141"/>
      <c r="AW19" s="141"/>
      <c r="AX19" s="141"/>
      <c r="AY19" s="141"/>
    </row>
    <row r="20" spans="1:51" ht="45" customHeight="1">
      <c r="A20" s="153">
        <f t="shared" si="2"/>
        <v>17</v>
      </c>
      <c r="B20" s="153" t="s">
        <v>57</v>
      </c>
      <c r="C20" s="153" t="s">
        <v>65</v>
      </c>
      <c r="D20" s="28" t="s">
        <v>915</v>
      </c>
      <c r="E20" s="69" t="s">
        <v>916</v>
      </c>
      <c r="F20" s="39"/>
      <c r="G20" s="141" t="s">
        <v>123</v>
      </c>
      <c r="H20" s="141"/>
      <c r="I20" s="141"/>
      <c r="J20" s="141"/>
      <c r="K20" s="141"/>
      <c r="L20" s="69"/>
      <c r="M20" s="141"/>
      <c r="N20" s="59"/>
      <c r="O20" s="59"/>
      <c r="P20" s="105"/>
      <c r="Q20" s="105"/>
      <c r="R20" s="105"/>
      <c r="S20" s="105" t="s">
        <v>1016</v>
      </c>
      <c r="T20" s="105" t="s">
        <v>123</v>
      </c>
      <c r="U20" s="90">
        <v>45952</v>
      </c>
      <c r="V20" s="90">
        <v>45976</v>
      </c>
      <c r="W20" s="93" t="s">
        <v>917</v>
      </c>
      <c r="X20" s="96" t="s">
        <v>918</v>
      </c>
      <c r="Y20" s="96"/>
      <c r="Z20" s="29"/>
      <c r="AA20" s="145"/>
      <c r="AB20" s="145"/>
      <c r="AC20" s="145"/>
      <c r="AD20" s="145"/>
      <c r="AE20" s="145"/>
      <c r="AF20" s="145"/>
      <c r="AG20" s="142"/>
      <c r="AH20" s="141"/>
      <c r="AI20" s="67"/>
      <c r="AJ20" s="67"/>
      <c r="AK20" s="24"/>
      <c r="AL20" s="24"/>
      <c r="AM20" s="24"/>
      <c r="AN20" s="71"/>
      <c r="AO20" s="69" t="s">
        <v>919</v>
      </c>
      <c r="AP20" s="141"/>
      <c r="AQ20" s="141"/>
      <c r="AR20" s="141"/>
      <c r="AS20" s="141"/>
      <c r="AT20" s="86"/>
      <c r="AU20" s="141"/>
      <c r="AV20" s="141"/>
      <c r="AW20" s="141"/>
      <c r="AX20" s="141"/>
      <c r="AY20" s="141"/>
    </row>
    <row r="21" spans="1:51" ht="45" customHeight="1">
      <c r="A21" s="153">
        <f t="shared" si="2"/>
        <v>18</v>
      </c>
      <c r="B21" s="153" t="s">
        <v>57</v>
      </c>
      <c r="C21" s="153" t="s">
        <v>65</v>
      </c>
      <c r="D21" s="28" t="s">
        <v>667</v>
      </c>
      <c r="E21" s="69" t="s">
        <v>839</v>
      </c>
      <c r="F21" s="39">
        <v>2</v>
      </c>
      <c r="G21" s="141" t="s">
        <v>123</v>
      </c>
      <c r="H21" s="141" t="s">
        <v>797</v>
      </c>
      <c r="I21" s="141"/>
      <c r="J21" s="141"/>
      <c r="K21" s="141"/>
      <c r="L21" s="69"/>
      <c r="M21" s="141"/>
      <c r="N21" s="59">
        <v>4</v>
      </c>
      <c r="O21" s="59">
        <v>4</v>
      </c>
      <c r="P21" s="105" t="s">
        <v>33</v>
      </c>
      <c r="Q21" s="105" t="s">
        <v>33</v>
      </c>
      <c r="R21" s="105"/>
      <c r="S21" s="105" t="s">
        <v>1017</v>
      </c>
      <c r="T21" s="105" t="s">
        <v>123</v>
      </c>
      <c r="U21" s="90">
        <v>45936</v>
      </c>
      <c r="V21" s="90">
        <v>45966</v>
      </c>
      <c r="W21" s="93" t="s">
        <v>1018</v>
      </c>
      <c r="X21" s="96" t="s">
        <v>1019</v>
      </c>
      <c r="Y21" s="96"/>
      <c r="Z21" s="29">
        <v>0</v>
      </c>
      <c r="AA21" s="145">
        <v>0</v>
      </c>
      <c r="AB21" s="145">
        <v>0</v>
      </c>
      <c r="AC21" s="145">
        <v>0</v>
      </c>
      <c r="AD21" s="145">
        <v>0</v>
      </c>
      <c r="AE21" s="145">
        <v>0</v>
      </c>
      <c r="AF21" s="145">
        <v>0</v>
      </c>
      <c r="AG21" s="142">
        <f t="shared" ref="AG21:AG29" si="4">AVERAGE(Z21:AF21)</f>
        <v>0</v>
      </c>
      <c r="AH21" s="141"/>
      <c r="AI21" s="67"/>
      <c r="AJ21" s="67"/>
      <c r="AK21" s="24"/>
      <c r="AL21" s="24"/>
      <c r="AM21" s="24"/>
      <c r="AN21" s="71"/>
      <c r="AO21" s="69" t="s">
        <v>840</v>
      </c>
      <c r="AP21" s="141"/>
      <c r="AQ21" s="141"/>
      <c r="AR21" s="141"/>
      <c r="AS21" s="141">
        <v>15</v>
      </c>
      <c r="AT21" s="86">
        <v>45992</v>
      </c>
      <c r="AU21" s="141" t="s">
        <v>757</v>
      </c>
      <c r="AV21" s="141"/>
      <c r="AW21" s="141"/>
      <c r="AX21" s="141"/>
      <c r="AY21" s="141"/>
    </row>
    <row r="22" spans="1:51" ht="45" customHeight="1">
      <c r="A22" s="153">
        <f t="shared" si="2"/>
        <v>19</v>
      </c>
      <c r="B22" s="153" t="s">
        <v>57</v>
      </c>
      <c r="C22" s="153" t="s">
        <v>65</v>
      </c>
      <c r="D22" s="28" t="s">
        <v>662</v>
      </c>
      <c r="E22" s="69"/>
      <c r="F22" s="39">
        <v>0</v>
      </c>
      <c r="G22" s="141" t="s">
        <v>150</v>
      </c>
      <c r="H22" s="141" t="s">
        <v>805</v>
      </c>
      <c r="I22" s="141"/>
      <c r="J22" s="141"/>
      <c r="K22" s="21" t="s">
        <v>44</v>
      </c>
      <c r="L22" s="69"/>
      <c r="M22" s="141"/>
      <c r="N22" s="59"/>
      <c r="O22" s="59"/>
      <c r="P22" s="105" t="s">
        <v>35</v>
      </c>
      <c r="Q22" s="105" t="s">
        <v>35</v>
      </c>
      <c r="R22" s="105"/>
      <c r="S22" s="105"/>
      <c r="T22" s="105"/>
      <c r="U22" s="90">
        <v>45940</v>
      </c>
      <c r="V22" s="90">
        <v>45947</v>
      </c>
      <c r="W22" s="93" t="s">
        <v>663</v>
      </c>
      <c r="X22" s="96" t="s">
        <v>664</v>
      </c>
      <c r="Y22" s="96"/>
      <c r="Z22" s="29">
        <v>0</v>
      </c>
      <c r="AA22" s="145">
        <v>0</v>
      </c>
      <c r="AB22" s="145">
        <v>0</v>
      </c>
      <c r="AC22" s="145">
        <v>0</v>
      </c>
      <c r="AD22" s="145">
        <v>0</v>
      </c>
      <c r="AE22" s="145">
        <v>0</v>
      </c>
      <c r="AF22" s="145">
        <v>0</v>
      </c>
      <c r="AG22" s="142">
        <f t="shared" si="4"/>
        <v>0</v>
      </c>
      <c r="AH22" s="141"/>
      <c r="AI22" s="67"/>
      <c r="AJ22" s="67"/>
      <c r="AK22" s="24"/>
      <c r="AL22" s="24"/>
      <c r="AM22" s="24"/>
      <c r="AN22" s="71"/>
      <c r="AO22" s="69"/>
      <c r="AP22" s="141"/>
      <c r="AQ22" s="141"/>
      <c r="AR22" s="141"/>
      <c r="AS22" s="141"/>
      <c r="AT22" s="141"/>
      <c r="AU22" s="141"/>
      <c r="AV22" s="141"/>
      <c r="AW22" s="141"/>
      <c r="AX22" s="141"/>
      <c r="AY22" s="141"/>
    </row>
    <row r="23" spans="1:51" ht="45" customHeight="1">
      <c r="A23" s="153">
        <f t="shared" si="2"/>
        <v>20</v>
      </c>
      <c r="B23" s="153" t="s">
        <v>57</v>
      </c>
      <c r="C23" s="153" t="s">
        <v>61</v>
      </c>
      <c r="D23" s="28" t="s">
        <v>653</v>
      </c>
      <c r="E23" s="69" t="s">
        <v>752</v>
      </c>
      <c r="F23" s="39">
        <v>2</v>
      </c>
      <c r="G23" s="141" t="s">
        <v>753</v>
      </c>
      <c r="H23" s="141" t="s">
        <v>754</v>
      </c>
      <c r="I23" s="141"/>
      <c r="J23" s="141" t="s">
        <v>26</v>
      </c>
      <c r="K23" s="141" t="s">
        <v>48</v>
      </c>
      <c r="L23" s="69"/>
      <c r="M23" s="141"/>
      <c r="N23" s="59">
        <v>4.5</v>
      </c>
      <c r="O23" s="59">
        <v>4.5</v>
      </c>
      <c r="P23" s="105" t="s">
        <v>34</v>
      </c>
      <c r="Q23" s="105" t="s">
        <v>34</v>
      </c>
      <c r="R23" s="105"/>
      <c r="S23" s="105"/>
      <c r="T23" s="105"/>
      <c r="U23" s="90">
        <v>45952</v>
      </c>
      <c r="V23" s="90">
        <v>45959</v>
      </c>
      <c r="W23" s="93" t="s">
        <v>654</v>
      </c>
      <c r="X23" s="96"/>
      <c r="Y23" s="96"/>
      <c r="Z23" s="29">
        <v>0</v>
      </c>
      <c r="AA23" s="145">
        <v>0</v>
      </c>
      <c r="AB23" s="145">
        <v>0</v>
      </c>
      <c r="AC23" s="145">
        <v>0</v>
      </c>
      <c r="AD23" s="145">
        <v>0</v>
      </c>
      <c r="AE23" s="145">
        <v>0</v>
      </c>
      <c r="AF23" s="145">
        <v>0</v>
      </c>
      <c r="AG23" s="142">
        <f t="shared" si="4"/>
        <v>0</v>
      </c>
      <c r="AH23" s="141"/>
      <c r="AI23" s="67"/>
      <c r="AJ23" s="67"/>
      <c r="AK23" s="24"/>
      <c r="AL23" s="24"/>
      <c r="AM23" s="24"/>
      <c r="AN23" s="71"/>
      <c r="AO23" s="69" t="s">
        <v>755</v>
      </c>
      <c r="AP23" s="141">
        <v>5</v>
      </c>
      <c r="AQ23" s="141" t="s">
        <v>756</v>
      </c>
      <c r="AR23" s="141"/>
      <c r="AS23" s="141"/>
      <c r="AT23" s="141"/>
      <c r="AU23" s="141"/>
      <c r="AV23" s="141" t="s">
        <v>757</v>
      </c>
      <c r="AW23" s="141"/>
      <c r="AX23" s="141"/>
      <c r="AY23" s="141"/>
    </row>
    <row r="24" spans="1:51" ht="45" customHeight="1">
      <c r="A24" s="153">
        <f t="shared" si="2"/>
        <v>21</v>
      </c>
      <c r="B24" s="153" t="s">
        <v>57</v>
      </c>
      <c r="C24" s="153" t="s">
        <v>61</v>
      </c>
      <c r="D24" s="28" t="s">
        <v>708</v>
      </c>
      <c r="E24" s="69" t="s">
        <v>758</v>
      </c>
      <c r="F24" s="39">
        <v>2</v>
      </c>
      <c r="G24" s="141" t="s">
        <v>753</v>
      </c>
      <c r="H24" s="141" t="s">
        <v>759</v>
      </c>
      <c r="I24" s="141"/>
      <c r="J24" s="141" t="s">
        <v>26</v>
      </c>
      <c r="K24" s="21"/>
      <c r="L24" s="69"/>
      <c r="M24" s="141"/>
      <c r="N24" s="59">
        <v>2.5</v>
      </c>
      <c r="O24" s="59">
        <v>5</v>
      </c>
      <c r="P24" s="105" t="s">
        <v>33</v>
      </c>
      <c r="Q24" s="105" t="s">
        <v>33</v>
      </c>
      <c r="R24" s="105"/>
      <c r="S24" s="105"/>
      <c r="T24" s="105"/>
      <c r="U24" s="90">
        <v>45950</v>
      </c>
      <c r="V24" s="90">
        <v>45953</v>
      </c>
      <c r="W24" s="93" t="s">
        <v>709</v>
      </c>
      <c r="X24" s="96" t="s">
        <v>710</v>
      </c>
      <c r="Y24" s="96"/>
      <c r="Z24" s="29">
        <v>0</v>
      </c>
      <c r="AA24" s="145">
        <v>0</v>
      </c>
      <c r="AB24" s="145">
        <v>0</v>
      </c>
      <c r="AC24" s="145">
        <v>0</v>
      </c>
      <c r="AD24" s="145">
        <v>0</v>
      </c>
      <c r="AE24" s="145">
        <v>0</v>
      </c>
      <c r="AF24" s="145">
        <v>0</v>
      </c>
      <c r="AG24" s="142">
        <f t="shared" si="4"/>
        <v>0</v>
      </c>
      <c r="AH24" s="141"/>
      <c r="AI24" s="67"/>
      <c r="AJ24" s="67"/>
      <c r="AK24" s="24"/>
      <c r="AL24" s="24"/>
      <c r="AM24" s="24"/>
      <c r="AN24" s="71"/>
      <c r="AO24" s="69" t="s">
        <v>760</v>
      </c>
      <c r="AP24" s="141">
        <v>5</v>
      </c>
      <c r="AQ24" s="141" t="s">
        <v>761</v>
      </c>
      <c r="AR24" s="141"/>
      <c r="AS24" s="141"/>
      <c r="AT24" s="141"/>
      <c r="AU24" s="141" t="s">
        <v>757</v>
      </c>
      <c r="AV24" s="141" t="s">
        <v>757</v>
      </c>
      <c r="AW24" s="141" t="s">
        <v>757</v>
      </c>
      <c r="AX24" s="141"/>
      <c r="AY24" s="141"/>
    </row>
    <row r="25" spans="1:51" ht="45" customHeight="1">
      <c r="A25" s="153">
        <f t="shared" si="2"/>
        <v>22</v>
      </c>
      <c r="B25" s="153" t="s">
        <v>57</v>
      </c>
      <c r="C25" s="153" t="s">
        <v>61</v>
      </c>
      <c r="D25" s="28" t="s">
        <v>670</v>
      </c>
      <c r="E25" s="69" t="s">
        <v>763</v>
      </c>
      <c r="F25" s="39">
        <v>2</v>
      </c>
      <c r="G25" s="141" t="s">
        <v>764</v>
      </c>
      <c r="H25" s="141" t="s">
        <v>765</v>
      </c>
      <c r="I25" s="141"/>
      <c r="J25" s="141" t="s">
        <v>22</v>
      </c>
      <c r="K25" s="141"/>
      <c r="L25" s="69"/>
      <c r="M25" s="141"/>
      <c r="N25" s="59">
        <v>1</v>
      </c>
      <c r="O25" s="59">
        <v>4</v>
      </c>
      <c r="P25" s="105" t="s">
        <v>34</v>
      </c>
      <c r="Q25" s="105" t="s">
        <v>34</v>
      </c>
      <c r="R25" s="105"/>
      <c r="S25" s="105"/>
      <c r="T25" s="105"/>
      <c r="U25" s="90"/>
      <c r="V25" s="90"/>
      <c r="W25" s="93"/>
      <c r="X25" s="96"/>
      <c r="Y25" s="96"/>
      <c r="Z25" s="29">
        <v>0</v>
      </c>
      <c r="AA25" s="145">
        <v>0</v>
      </c>
      <c r="AB25" s="145">
        <v>0</v>
      </c>
      <c r="AC25" s="145">
        <v>0</v>
      </c>
      <c r="AD25" s="145">
        <v>0</v>
      </c>
      <c r="AE25" s="145">
        <v>0</v>
      </c>
      <c r="AF25" s="145">
        <v>0</v>
      </c>
      <c r="AG25" s="142">
        <f t="shared" si="4"/>
        <v>0</v>
      </c>
      <c r="AH25" s="141"/>
      <c r="AI25" s="67"/>
      <c r="AJ25" s="67"/>
      <c r="AK25" s="24"/>
      <c r="AL25" s="24"/>
      <c r="AM25" s="24"/>
      <c r="AN25" s="71"/>
      <c r="AO25" s="69" t="s">
        <v>766</v>
      </c>
      <c r="AP25" s="141">
        <v>5</v>
      </c>
      <c r="AQ25" s="141" t="s">
        <v>756</v>
      </c>
      <c r="AR25" s="141"/>
      <c r="AS25" s="141"/>
      <c r="AT25" s="141"/>
      <c r="AU25" s="141" t="s">
        <v>757</v>
      </c>
      <c r="AV25" s="141" t="s">
        <v>757</v>
      </c>
      <c r="AW25" s="141"/>
      <c r="AX25" s="141"/>
      <c r="AY25" s="141"/>
    </row>
    <row r="26" spans="1:51" ht="45" customHeight="1">
      <c r="A26" s="153">
        <f t="shared" si="2"/>
        <v>23</v>
      </c>
      <c r="B26" s="153" t="s">
        <v>57</v>
      </c>
      <c r="C26" s="153" t="s">
        <v>61</v>
      </c>
      <c r="D26" s="28" t="s">
        <v>611</v>
      </c>
      <c r="E26" s="69" t="s">
        <v>772</v>
      </c>
      <c r="F26" s="39">
        <v>2</v>
      </c>
      <c r="G26" s="141" t="s">
        <v>753</v>
      </c>
      <c r="H26" s="141" t="s">
        <v>770</v>
      </c>
      <c r="I26" s="141"/>
      <c r="J26" s="141" t="s">
        <v>26</v>
      </c>
      <c r="K26" s="141"/>
      <c r="L26" s="69"/>
      <c r="M26" s="141"/>
      <c r="N26" s="59">
        <v>4.5</v>
      </c>
      <c r="O26" s="59">
        <v>4.5</v>
      </c>
      <c r="P26" s="105" t="s">
        <v>34</v>
      </c>
      <c r="Q26" s="105" t="s">
        <v>34</v>
      </c>
      <c r="R26" s="105"/>
      <c r="S26" s="105"/>
      <c r="T26" s="105"/>
      <c r="U26" s="90">
        <v>45909</v>
      </c>
      <c r="V26" s="90">
        <v>45965</v>
      </c>
      <c r="W26" s="93" t="s">
        <v>612</v>
      </c>
      <c r="X26" s="96" t="s">
        <v>613</v>
      </c>
      <c r="Y26" s="96" t="s">
        <v>614</v>
      </c>
      <c r="Z26" s="29">
        <v>0</v>
      </c>
      <c r="AA26" s="145">
        <v>0</v>
      </c>
      <c r="AB26" s="145">
        <v>0</v>
      </c>
      <c r="AC26" s="145">
        <v>0</v>
      </c>
      <c r="AD26" s="145">
        <v>0</v>
      </c>
      <c r="AE26" s="145">
        <v>0</v>
      </c>
      <c r="AF26" s="145">
        <v>0</v>
      </c>
      <c r="AG26" s="142">
        <f t="shared" si="4"/>
        <v>0</v>
      </c>
      <c r="AH26" s="141"/>
      <c r="AI26" s="67"/>
      <c r="AJ26" s="67"/>
      <c r="AK26" s="24"/>
      <c r="AL26" s="24"/>
      <c r="AM26" s="24"/>
      <c r="AN26" s="71"/>
      <c r="AO26" s="69" t="s">
        <v>773</v>
      </c>
      <c r="AP26" s="141">
        <v>2</v>
      </c>
      <c r="AQ26" s="141" t="s">
        <v>756</v>
      </c>
      <c r="AR26" s="141"/>
      <c r="AS26" s="141"/>
      <c r="AT26" s="141"/>
      <c r="AU26" s="141" t="s">
        <v>757</v>
      </c>
      <c r="AV26" s="141" t="s">
        <v>757</v>
      </c>
      <c r="AW26" s="141"/>
      <c r="AX26" s="141"/>
      <c r="AY26" s="141" t="s">
        <v>757</v>
      </c>
    </row>
    <row r="27" spans="1:51" ht="45" customHeight="1">
      <c r="A27" s="153">
        <f t="shared" si="2"/>
        <v>24</v>
      </c>
      <c r="B27" s="153" t="s">
        <v>57</v>
      </c>
      <c r="C27" s="153" t="s">
        <v>61</v>
      </c>
      <c r="D27" s="28" t="s">
        <v>615</v>
      </c>
      <c r="E27" s="69" t="s">
        <v>780</v>
      </c>
      <c r="F27" s="39">
        <v>3</v>
      </c>
      <c r="G27" s="141" t="s">
        <v>764</v>
      </c>
      <c r="H27" s="141" t="s">
        <v>770</v>
      </c>
      <c r="I27" s="141"/>
      <c r="J27" s="141" t="s">
        <v>14</v>
      </c>
      <c r="K27" s="141"/>
      <c r="L27" s="69"/>
      <c r="M27" s="141"/>
      <c r="N27" s="59">
        <v>5</v>
      </c>
      <c r="O27" s="59">
        <v>5</v>
      </c>
      <c r="P27" s="105" t="s">
        <v>34</v>
      </c>
      <c r="Q27" s="105" t="s">
        <v>34</v>
      </c>
      <c r="R27" s="105"/>
      <c r="S27" s="105"/>
      <c r="T27" s="105"/>
      <c r="U27" s="90">
        <v>45954</v>
      </c>
      <c r="V27" s="90">
        <v>45968</v>
      </c>
      <c r="W27" s="93" t="s">
        <v>1020</v>
      </c>
      <c r="X27" s="96"/>
      <c r="Y27" s="96" t="s">
        <v>1021</v>
      </c>
      <c r="Z27" s="29">
        <v>0</v>
      </c>
      <c r="AA27" s="145">
        <v>0</v>
      </c>
      <c r="AB27" s="145">
        <v>0</v>
      </c>
      <c r="AC27" s="145">
        <v>0</v>
      </c>
      <c r="AD27" s="145">
        <v>0</v>
      </c>
      <c r="AE27" s="145">
        <v>0</v>
      </c>
      <c r="AF27" s="145">
        <v>0</v>
      </c>
      <c r="AG27" s="142">
        <f t="shared" si="4"/>
        <v>0</v>
      </c>
      <c r="AH27" s="141"/>
      <c r="AI27" s="67"/>
      <c r="AJ27" s="67"/>
      <c r="AK27" s="24"/>
      <c r="AL27" s="24"/>
      <c r="AM27" s="24"/>
      <c r="AN27" s="71"/>
      <c r="AO27" s="69" t="s">
        <v>781</v>
      </c>
      <c r="AP27" s="141"/>
      <c r="AQ27" s="141"/>
      <c r="AR27" s="141">
        <v>150</v>
      </c>
      <c r="AS27" s="141"/>
      <c r="AT27" s="141"/>
      <c r="AU27" s="141"/>
      <c r="AV27" s="141" t="s">
        <v>757</v>
      </c>
      <c r="AW27" s="141" t="s">
        <v>757</v>
      </c>
      <c r="AX27" s="141" t="s">
        <v>757</v>
      </c>
      <c r="AY27" s="141"/>
    </row>
    <row r="28" spans="1:51" ht="45" customHeight="1">
      <c r="A28" s="153">
        <f t="shared" si="2"/>
        <v>25</v>
      </c>
      <c r="B28" s="153" t="s">
        <v>57</v>
      </c>
      <c r="C28" s="153" t="s">
        <v>61</v>
      </c>
      <c r="D28" s="28" t="s">
        <v>643</v>
      </c>
      <c r="E28" s="69" t="s">
        <v>789</v>
      </c>
      <c r="F28" s="39">
        <v>2</v>
      </c>
      <c r="G28" s="141" t="s">
        <v>764</v>
      </c>
      <c r="H28" s="141" t="s">
        <v>770</v>
      </c>
      <c r="I28" s="141"/>
      <c r="J28" s="141" t="s">
        <v>6</v>
      </c>
      <c r="K28" s="141"/>
      <c r="L28" s="69"/>
      <c r="M28" s="141" t="s">
        <v>880</v>
      </c>
      <c r="N28" s="59">
        <v>3</v>
      </c>
      <c r="O28" s="59">
        <v>3</v>
      </c>
      <c r="P28" s="105" t="s">
        <v>33</v>
      </c>
      <c r="Q28" s="105" t="s">
        <v>33</v>
      </c>
      <c r="R28" s="105"/>
      <c r="S28" s="105" t="s">
        <v>1022</v>
      </c>
      <c r="T28" s="105" t="s">
        <v>1023</v>
      </c>
      <c r="U28" s="90">
        <v>45954</v>
      </c>
      <c r="V28" s="90">
        <v>45961</v>
      </c>
      <c r="W28" s="93" t="s">
        <v>893</v>
      </c>
      <c r="X28" s="96" t="s">
        <v>894</v>
      </c>
      <c r="Y28" s="96" t="s">
        <v>895</v>
      </c>
      <c r="Z28" s="29">
        <v>0</v>
      </c>
      <c r="AA28" s="145">
        <v>0</v>
      </c>
      <c r="AB28" s="145">
        <v>0</v>
      </c>
      <c r="AC28" s="145">
        <v>0</v>
      </c>
      <c r="AD28" s="145">
        <v>0</v>
      </c>
      <c r="AE28" s="145">
        <v>0</v>
      </c>
      <c r="AF28" s="145">
        <v>0</v>
      </c>
      <c r="AG28" s="142">
        <f t="shared" si="4"/>
        <v>0</v>
      </c>
      <c r="AH28" s="141"/>
      <c r="AI28" s="67"/>
      <c r="AJ28" s="67"/>
      <c r="AK28" s="24"/>
      <c r="AL28" s="24"/>
      <c r="AM28" s="24"/>
      <c r="AN28" s="71"/>
      <c r="AO28" s="69" t="s">
        <v>790</v>
      </c>
      <c r="AP28" s="141"/>
      <c r="AQ28" s="141"/>
      <c r="AR28" s="141"/>
      <c r="AS28" s="141">
        <v>35</v>
      </c>
      <c r="AT28" s="86">
        <v>45931</v>
      </c>
      <c r="AU28" s="141" t="s">
        <v>757</v>
      </c>
      <c r="AV28" s="141" t="s">
        <v>757</v>
      </c>
      <c r="AW28" s="141" t="s">
        <v>757</v>
      </c>
      <c r="AX28" s="141" t="s">
        <v>757</v>
      </c>
      <c r="AY28" s="141"/>
    </row>
    <row r="29" spans="1:51" ht="45" customHeight="1">
      <c r="A29" s="153">
        <f t="shared" si="2"/>
        <v>26</v>
      </c>
      <c r="B29" s="153" t="s">
        <v>57</v>
      </c>
      <c r="C29" s="153" t="s">
        <v>61</v>
      </c>
      <c r="D29" s="28" t="s">
        <v>703</v>
      </c>
      <c r="E29" s="69" t="s">
        <v>791</v>
      </c>
      <c r="F29" s="39">
        <v>2</v>
      </c>
      <c r="G29" s="141" t="s">
        <v>764</v>
      </c>
      <c r="H29" s="141" t="s">
        <v>770</v>
      </c>
      <c r="I29" s="141"/>
      <c r="J29" s="141" t="s">
        <v>6</v>
      </c>
      <c r="K29" s="141"/>
      <c r="L29" s="69"/>
      <c r="M29" s="141"/>
      <c r="N29" s="59">
        <v>2</v>
      </c>
      <c r="O29" s="59">
        <v>2</v>
      </c>
      <c r="P29" s="105"/>
      <c r="Q29" s="105"/>
      <c r="R29" s="105"/>
      <c r="S29" s="105"/>
      <c r="T29" s="105"/>
      <c r="U29" s="90">
        <v>45915</v>
      </c>
      <c r="V29" s="90">
        <v>45952</v>
      </c>
      <c r="W29" s="93"/>
      <c r="X29" s="96" t="s">
        <v>704</v>
      </c>
      <c r="Y29" s="96"/>
      <c r="Z29" s="29">
        <v>0</v>
      </c>
      <c r="AA29" s="145">
        <v>0</v>
      </c>
      <c r="AB29" s="145">
        <v>0</v>
      </c>
      <c r="AC29" s="145">
        <v>0</v>
      </c>
      <c r="AD29" s="145">
        <v>0</v>
      </c>
      <c r="AE29" s="145">
        <v>0</v>
      </c>
      <c r="AF29" s="145">
        <v>0</v>
      </c>
      <c r="AG29" s="142">
        <f t="shared" si="4"/>
        <v>0</v>
      </c>
      <c r="AH29" s="141"/>
      <c r="AI29" s="67"/>
      <c r="AJ29" s="67"/>
      <c r="AK29" s="24"/>
      <c r="AL29" s="24"/>
      <c r="AM29" s="24"/>
      <c r="AN29" s="71"/>
      <c r="AO29" s="69" t="s">
        <v>792</v>
      </c>
      <c r="AP29" s="141"/>
      <c r="AQ29" s="141"/>
      <c r="AR29" s="141"/>
      <c r="AS29" s="141">
        <v>35</v>
      </c>
      <c r="AT29" s="86">
        <v>46023</v>
      </c>
      <c r="AU29" s="141" t="s">
        <v>757</v>
      </c>
      <c r="AV29" s="141" t="s">
        <v>757</v>
      </c>
      <c r="AW29" s="141" t="s">
        <v>757</v>
      </c>
      <c r="AX29" s="141"/>
      <c r="AY29" s="141"/>
    </row>
    <row r="30" spans="1:51" ht="45" customHeight="1">
      <c r="A30" s="153">
        <f t="shared" si="2"/>
        <v>27</v>
      </c>
      <c r="B30" s="153" t="s">
        <v>57</v>
      </c>
      <c r="C30" s="153" t="s">
        <v>61</v>
      </c>
      <c r="D30" s="28" t="s">
        <v>711</v>
      </c>
      <c r="E30" s="69" t="s">
        <v>711</v>
      </c>
      <c r="F30" s="39">
        <v>3</v>
      </c>
      <c r="G30" s="141" t="s">
        <v>764</v>
      </c>
      <c r="H30" s="141" t="s">
        <v>765</v>
      </c>
      <c r="I30" s="141"/>
      <c r="J30" s="141" t="s">
        <v>6</v>
      </c>
      <c r="K30" s="141"/>
      <c r="L30" s="69"/>
      <c r="M30" s="141"/>
      <c r="N30" s="59"/>
      <c r="O30" s="59"/>
      <c r="P30" s="105"/>
      <c r="Q30" s="105"/>
      <c r="R30" s="105"/>
      <c r="S30" s="105"/>
      <c r="T30" s="105"/>
      <c r="U30" s="90">
        <v>45937</v>
      </c>
      <c r="V30" s="90"/>
      <c r="W30" s="93" t="s">
        <v>1024</v>
      </c>
      <c r="X30" s="125" t="s">
        <v>896</v>
      </c>
      <c r="Y30" s="96"/>
      <c r="Z30" s="29"/>
      <c r="AA30" s="145"/>
      <c r="AB30" s="145"/>
      <c r="AC30" s="145"/>
      <c r="AD30" s="145"/>
      <c r="AE30" s="145"/>
      <c r="AF30" s="145"/>
      <c r="AG30" s="142"/>
      <c r="AH30" s="141"/>
      <c r="AI30" s="67"/>
      <c r="AJ30" s="67"/>
      <c r="AK30" s="24"/>
      <c r="AL30" s="24"/>
      <c r="AM30" s="24"/>
      <c r="AN30" s="71"/>
      <c r="AO30" s="69"/>
      <c r="AP30" s="141">
        <v>5</v>
      </c>
      <c r="AQ30" s="141"/>
      <c r="AR30" s="141"/>
      <c r="AS30" s="141"/>
      <c r="AT30" s="86"/>
      <c r="AU30" s="141" t="s">
        <v>757</v>
      </c>
      <c r="AV30" s="141" t="s">
        <v>757</v>
      </c>
      <c r="AW30" s="141"/>
      <c r="AX30" s="141"/>
      <c r="AY30" s="141" t="s">
        <v>757</v>
      </c>
    </row>
    <row r="31" spans="1:51" ht="45" customHeight="1">
      <c r="A31" s="153">
        <f t="shared" si="2"/>
        <v>28</v>
      </c>
      <c r="B31" s="153" t="s">
        <v>57</v>
      </c>
      <c r="C31" s="153" t="s">
        <v>61</v>
      </c>
      <c r="D31" s="28" t="s">
        <v>639</v>
      </c>
      <c r="E31" s="69" t="s">
        <v>796</v>
      </c>
      <c r="F31" s="39">
        <v>3</v>
      </c>
      <c r="G31" s="141" t="s">
        <v>794</v>
      </c>
      <c r="H31" s="141" t="s">
        <v>797</v>
      </c>
      <c r="I31" s="141"/>
      <c r="J31" s="141" t="s">
        <v>6</v>
      </c>
      <c r="K31" s="21"/>
      <c r="L31" s="69"/>
      <c r="M31" s="141"/>
      <c r="N31" s="59"/>
      <c r="O31" s="59"/>
      <c r="P31" s="105"/>
      <c r="Q31" s="105"/>
      <c r="R31" s="105"/>
      <c r="S31" s="105"/>
      <c r="T31" s="105"/>
      <c r="U31" s="90"/>
      <c r="V31" s="90"/>
      <c r="W31" s="93"/>
      <c r="X31" s="96"/>
      <c r="Y31" s="96"/>
      <c r="Z31" s="29">
        <v>0</v>
      </c>
      <c r="AA31" s="145">
        <v>0</v>
      </c>
      <c r="AB31" s="145">
        <v>0</v>
      </c>
      <c r="AC31" s="145">
        <v>0</v>
      </c>
      <c r="AD31" s="145">
        <v>0</v>
      </c>
      <c r="AE31" s="145">
        <v>0</v>
      </c>
      <c r="AF31" s="145">
        <v>0</v>
      </c>
      <c r="AG31" s="142">
        <f>AVERAGE(Z31:AF31)</f>
        <v>0</v>
      </c>
      <c r="AH31" s="141"/>
      <c r="AI31" s="67"/>
      <c r="AJ31" s="67"/>
      <c r="AK31" s="24"/>
      <c r="AL31" s="24"/>
      <c r="AM31" s="24"/>
      <c r="AN31" s="71"/>
      <c r="AO31" s="69" t="s">
        <v>798</v>
      </c>
      <c r="AP31" s="141"/>
      <c r="AQ31" s="141"/>
      <c r="AR31" s="141"/>
      <c r="AS31" s="141">
        <v>40</v>
      </c>
      <c r="AT31" s="86">
        <v>45962</v>
      </c>
      <c r="AU31" s="141" t="s">
        <v>757</v>
      </c>
      <c r="AV31" s="141"/>
      <c r="AW31" s="141"/>
      <c r="AX31" s="141"/>
      <c r="AY31" s="141" t="s">
        <v>757</v>
      </c>
    </row>
    <row r="32" spans="1:51" ht="45" customHeight="1">
      <c r="A32" s="153">
        <f t="shared" si="2"/>
        <v>29</v>
      </c>
      <c r="B32" s="153" t="s">
        <v>57</v>
      </c>
      <c r="C32" s="153" t="s">
        <v>61</v>
      </c>
      <c r="D32" s="28" t="s">
        <v>697</v>
      </c>
      <c r="E32" s="69" t="s">
        <v>800</v>
      </c>
      <c r="F32" s="39">
        <v>2</v>
      </c>
      <c r="G32" s="141" t="s">
        <v>764</v>
      </c>
      <c r="H32" s="141" t="s">
        <v>770</v>
      </c>
      <c r="I32" s="141"/>
      <c r="J32" s="141" t="s">
        <v>6</v>
      </c>
      <c r="K32" s="21"/>
      <c r="L32" s="69"/>
      <c r="M32" s="141"/>
      <c r="N32" s="59">
        <v>1</v>
      </c>
      <c r="O32" s="59">
        <v>4</v>
      </c>
      <c r="P32" s="105"/>
      <c r="Q32" s="105"/>
      <c r="R32" s="105"/>
      <c r="S32" s="105"/>
      <c r="T32" s="105"/>
      <c r="U32" s="90">
        <v>45778</v>
      </c>
      <c r="V32" s="90">
        <v>45986</v>
      </c>
      <c r="W32" s="93" t="s">
        <v>899</v>
      </c>
      <c r="X32" s="96" t="s">
        <v>699</v>
      </c>
      <c r="Y32" s="96"/>
      <c r="Z32" s="29">
        <v>0</v>
      </c>
      <c r="AA32" s="145">
        <v>0</v>
      </c>
      <c r="AB32" s="145">
        <v>0</v>
      </c>
      <c r="AC32" s="145">
        <v>0</v>
      </c>
      <c r="AD32" s="145">
        <v>0</v>
      </c>
      <c r="AE32" s="145">
        <v>0</v>
      </c>
      <c r="AF32" s="145">
        <v>0</v>
      </c>
      <c r="AG32" s="142">
        <f>AVERAGE(Z32:AF32)</f>
        <v>0</v>
      </c>
      <c r="AH32" s="141"/>
      <c r="AI32" s="67"/>
      <c r="AJ32" s="67"/>
      <c r="AK32" s="24"/>
      <c r="AL32" s="24"/>
      <c r="AM32" s="24"/>
      <c r="AN32" s="71"/>
      <c r="AO32" s="69" t="s">
        <v>801</v>
      </c>
      <c r="AP32" s="141"/>
      <c r="AQ32" s="141"/>
      <c r="AR32" s="141"/>
      <c r="AS32" s="141">
        <v>100</v>
      </c>
      <c r="AT32" s="86">
        <v>46023</v>
      </c>
      <c r="AU32" s="141" t="s">
        <v>757</v>
      </c>
      <c r="AV32" s="141" t="s">
        <v>757</v>
      </c>
      <c r="AW32" s="141"/>
      <c r="AX32" s="141"/>
      <c r="AY32" s="141"/>
    </row>
    <row r="33" spans="1:51" ht="45" customHeight="1">
      <c r="A33" s="153">
        <f t="shared" si="2"/>
        <v>30</v>
      </c>
      <c r="B33" s="153" t="s">
        <v>57</v>
      </c>
      <c r="C33" s="153" t="s">
        <v>61</v>
      </c>
      <c r="D33" s="28" t="s">
        <v>693</v>
      </c>
      <c r="E33" s="69" t="s">
        <v>775</v>
      </c>
      <c r="F33" s="39">
        <v>2</v>
      </c>
      <c r="G33" s="141" t="s">
        <v>764</v>
      </c>
      <c r="H33" s="141" t="s">
        <v>770</v>
      </c>
      <c r="I33" s="141"/>
      <c r="J33" s="141" t="s">
        <v>26</v>
      </c>
      <c r="K33" s="141"/>
      <c r="L33" s="69"/>
      <c r="M33" s="141"/>
      <c r="N33" s="59">
        <v>3</v>
      </c>
      <c r="O33" s="59">
        <v>4</v>
      </c>
      <c r="P33" s="105" t="s">
        <v>34</v>
      </c>
      <c r="Q33" s="105" t="s">
        <v>32</v>
      </c>
      <c r="R33" s="105"/>
      <c r="S33" s="105"/>
      <c r="T33" s="105"/>
      <c r="U33" s="90">
        <v>45958</v>
      </c>
      <c r="V33" s="90">
        <v>45966</v>
      </c>
      <c r="W33" s="93" t="s">
        <v>1025</v>
      </c>
      <c r="X33" s="96" t="s">
        <v>695</v>
      </c>
      <c r="Y33" s="96"/>
      <c r="Z33" s="29">
        <v>0</v>
      </c>
      <c r="AA33" s="145">
        <v>0</v>
      </c>
      <c r="AB33" s="145">
        <v>0</v>
      </c>
      <c r="AC33" s="145">
        <v>0</v>
      </c>
      <c r="AD33" s="145">
        <v>0</v>
      </c>
      <c r="AE33" s="145">
        <v>0</v>
      </c>
      <c r="AF33" s="145">
        <v>0</v>
      </c>
      <c r="AG33" s="142">
        <f>AVERAGE(Z33:AF33)</f>
        <v>0</v>
      </c>
      <c r="AH33" s="141"/>
      <c r="AI33" s="67"/>
      <c r="AJ33" s="67"/>
      <c r="AK33" s="24"/>
      <c r="AL33" s="24"/>
      <c r="AM33" s="24"/>
      <c r="AN33" s="71"/>
      <c r="AO33" s="69" t="s">
        <v>776</v>
      </c>
      <c r="AP33" s="141">
        <v>5</v>
      </c>
      <c r="AQ33" s="141" t="s">
        <v>761</v>
      </c>
      <c r="AR33" s="141"/>
      <c r="AS33" s="141"/>
      <c r="AT33" s="141"/>
      <c r="AU33" s="141" t="s">
        <v>757</v>
      </c>
      <c r="AV33" s="141" t="s">
        <v>757</v>
      </c>
      <c r="AW33" s="141"/>
      <c r="AX33" s="141"/>
      <c r="AY33" s="141" t="s">
        <v>757</v>
      </c>
    </row>
    <row r="34" spans="1:51" ht="45" customHeight="1">
      <c r="A34" s="153">
        <f t="shared" si="2"/>
        <v>31</v>
      </c>
      <c r="B34" s="153" t="s">
        <v>57</v>
      </c>
      <c r="C34" s="153" t="s">
        <v>61</v>
      </c>
      <c r="D34" s="28" t="s">
        <v>617</v>
      </c>
      <c r="E34" s="69" t="s">
        <v>775</v>
      </c>
      <c r="F34" s="39">
        <v>2</v>
      </c>
      <c r="G34" s="141" t="s">
        <v>150</v>
      </c>
      <c r="H34" s="141" t="s">
        <v>764</v>
      </c>
      <c r="I34" s="141"/>
      <c r="J34" s="141" t="s">
        <v>26</v>
      </c>
      <c r="K34" s="141"/>
      <c r="L34" s="69"/>
      <c r="M34" s="141"/>
      <c r="N34" s="59">
        <v>4</v>
      </c>
      <c r="O34" s="59">
        <v>3.5</v>
      </c>
      <c r="P34" s="105" t="s">
        <v>32</v>
      </c>
      <c r="Q34" s="105" t="s">
        <v>31</v>
      </c>
      <c r="R34" s="105" t="s">
        <v>879</v>
      </c>
      <c r="S34" s="105"/>
      <c r="T34" s="105"/>
      <c r="U34" s="90">
        <v>45947</v>
      </c>
      <c r="V34" s="90">
        <v>45960</v>
      </c>
      <c r="W34" s="93" t="s">
        <v>1026</v>
      </c>
      <c r="X34" s="96" t="s">
        <v>619</v>
      </c>
      <c r="Y34" s="96"/>
      <c r="Z34" s="29">
        <v>0</v>
      </c>
      <c r="AA34" s="145">
        <v>0</v>
      </c>
      <c r="AB34" s="145">
        <v>0</v>
      </c>
      <c r="AC34" s="145">
        <v>0</v>
      </c>
      <c r="AD34" s="145">
        <v>0</v>
      </c>
      <c r="AE34" s="145">
        <v>0</v>
      </c>
      <c r="AF34" s="145">
        <v>0</v>
      </c>
      <c r="AG34" s="142">
        <f>AVERAGE(Z34:AF34)</f>
        <v>0</v>
      </c>
      <c r="AH34" s="141"/>
      <c r="AI34" s="67"/>
      <c r="AJ34" s="67"/>
      <c r="AK34" s="24"/>
      <c r="AL34" s="24"/>
      <c r="AM34" s="24"/>
      <c r="AN34" s="71"/>
      <c r="AO34" s="69" t="s">
        <v>778</v>
      </c>
      <c r="AP34" s="141">
        <v>5</v>
      </c>
      <c r="AQ34" s="141" t="s">
        <v>761</v>
      </c>
      <c r="AR34" s="141"/>
      <c r="AS34" s="141"/>
      <c r="AT34" s="141"/>
      <c r="AU34" s="141"/>
      <c r="AV34" s="141" t="s">
        <v>757</v>
      </c>
      <c r="AW34" s="141"/>
      <c r="AX34" s="141"/>
      <c r="AY34" s="141" t="s">
        <v>757</v>
      </c>
    </row>
    <row r="35" spans="1:51" ht="45" customHeight="1">
      <c r="A35" s="153">
        <f t="shared" si="2"/>
        <v>32</v>
      </c>
      <c r="B35" s="153" t="s">
        <v>57</v>
      </c>
      <c r="C35" s="153" t="s">
        <v>61</v>
      </c>
      <c r="D35" s="28" t="s">
        <v>633</v>
      </c>
      <c r="E35" s="69" t="s">
        <v>787</v>
      </c>
      <c r="F35" s="39">
        <v>3</v>
      </c>
      <c r="G35" s="141" t="s">
        <v>764</v>
      </c>
      <c r="H35" s="141" t="s">
        <v>770</v>
      </c>
      <c r="I35" s="141"/>
      <c r="J35" s="141" t="s">
        <v>14</v>
      </c>
      <c r="K35" s="141"/>
      <c r="L35" s="69"/>
      <c r="M35" s="141"/>
      <c r="N35" s="59">
        <v>4</v>
      </c>
      <c r="O35" s="59">
        <v>2</v>
      </c>
      <c r="P35" s="105" t="s">
        <v>34</v>
      </c>
      <c r="Q35" s="105" t="s">
        <v>31</v>
      </c>
      <c r="R35" s="105" t="s">
        <v>902</v>
      </c>
      <c r="S35" s="105"/>
      <c r="T35" s="105"/>
      <c r="U35" s="90">
        <v>45951</v>
      </c>
      <c r="V35" s="90">
        <v>45958</v>
      </c>
      <c r="W35" s="93" t="s">
        <v>903</v>
      </c>
      <c r="X35" s="96" t="s">
        <v>1027</v>
      </c>
      <c r="Y35" s="96"/>
      <c r="Z35" s="29">
        <v>0</v>
      </c>
      <c r="AA35" s="145">
        <v>0</v>
      </c>
      <c r="AB35" s="145">
        <v>0</v>
      </c>
      <c r="AC35" s="145">
        <v>0</v>
      </c>
      <c r="AD35" s="145">
        <v>0</v>
      </c>
      <c r="AE35" s="145">
        <v>0</v>
      </c>
      <c r="AF35" s="145">
        <v>0</v>
      </c>
      <c r="AG35" s="142">
        <f>AVERAGE(Z35:AF35)</f>
        <v>0</v>
      </c>
      <c r="AH35" s="141"/>
      <c r="AI35" s="67"/>
      <c r="AJ35" s="67"/>
      <c r="AK35" s="24"/>
      <c r="AL35" s="24"/>
      <c r="AM35" s="24"/>
      <c r="AN35" s="71"/>
      <c r="AO35" s="69" t="s">
        <v>788</v>
      </c>
      <c r="AP35" s="141"/>
      <c r="AQ35" s="141"/>
      <c r="AR35" s="141">
        <v>35</v>
      </c>
      <c r="AS35" s="141"/>
      <c r="AT35" s="141"/>
      <c r="AU35" s="141"/>
      <c r="AV35" s="141" t="s">
        <v>757</v>
      </c>
      <c r="AW35" s="141" t="s">
        <v>757</v>
      </c>
      <c r="AX35" s="141" t="s">
        <v>757</v>
      </c>
      <c r="AY35" s="141"/>
    </row>
    <row r="36" spans="1:51" ht="45" customHeight="1">
      <c r="A36" s="153">
        <f t="shared" ref="A36:A67" si="5">A35+1</f>
        <v>33</v>
      </c>
      <c r="B36" s="153" t="s">
        <v>57</v>
      </c>
      <c r="C36" s="153" t="s">
        <v>61</v>
      </c>
      <c r="D36" s="28" t="s">
        <v>904</v>
      </c>
      <c r="E36" s="69" t="s">
        <v>905</v>
      </c>
      <c r="F36" s="39">
        <v>1</v>
      </c>
      <c r="G36" s="141" t="s">
        <v>753</v>
      </c>
      <c r="H36" s="141" t="s">
        <v>754</v>
      </c>
      <c r="I36" s="141"/>
      <c r="J36" s="141"/>
      <c r="K36" s="141"/>
      <c r="L36" s="69"/>
      <c r="M36" s="141"/>
      <c r="N36" s="59"/>
      <c r="O36" s="59"/>
      <c r="P36" s="105" t="s">
        <v>34</v>
      </c>
      <c r="Q36" s="105" t="s">
        <v>34</v>
      </c>
      <c r="R36" s="105"/>
      <c r="S36" s="105"/>
      <c r="T36" s="105"/>
      <c r="U36" s="90"/>
      <c r="V36" s="90">
        <v>45982</v>
      </c>
      <c r="W36" s="93"/>
      <c r="X36" s="96"/>
      <c r="Y36" s="96"/>
      <c r="Z36" s="29"/>
      <c r="AA36" s="145"/>
      <c r="AB36" s="145"/>
      <c r="AC36" s="145"/>
      <c r="AD36" s="145"/>
      <c r="AE36" s="145"/>
      <c r="AF36" s="145"/>
      <c r="AG36" s="142"/>
      <c r="AH36" s="141"/>
      <c r="AI36" s="67"/>
      <c r="AJ36" s="67"/>
      <c r="AK36" s="24"/>
      <c r="AL36" s="24"/>
      <c r="AM36" s="24"/>
      <c r="AN36" s="71"/>
      <c r="AO36" s="69"/>
      <c r="AP36" s="141"/>
      <c r="AQ36" s="141"/>
      <c r="AR36" s="141"/>
      <c r="AS36" s="141"/>
      <c r="AT36" s="141"/>
      <c r="AU36" s="141"/>
      <c r="AV36" s="141"/>
      <c r="AW36" s="141"/>
      <c r="AX36" s="141"/>
      <c r="AY36" s="141"/>
    </row>
    <row r="37" spans="1:51" ht="45" customHeight="1">
      <c r="A37" s="153">
        <f t="shared" si="5"/>
        <v>34</v>
      </c>
      <c r="B37" s="153" t="s">
        <v>57</v>
      </c>
      <c r="C37" s="153" t="s">
        <v>61</v>
      </c>
      <c r="D37" s="28" t="s">
        <v>906</v>
      </c>
      <c r="E37" s="69" t="s">
        <v>907</v>
      </c>
      <c r="F37" s="39">
        <v>1</v>
      </c>
      <c r="G37" s="141" t="s">
        <v>764</v>
      </c>
      <c r="H37" s="141"/>
      <c r="I37" s="141"/>
      <c r="J37" s="141"/>
      <c r="K37" s="141"/>
      <c r="L37" s="69"/>
      <c r="M37" s="141"/>
      <c r="N37" s="59"/>
      <c r="O37" s="59"/>
      <c r="P37" s="105"/>
      <c r="Q37" s="105"/>
      <c r="R37" s="105"/>
      <c r="S37" s="105"/>
      <c r="T37" s="105"/>
      <c r="U37" s="90"/>
      <c r="V37" s="90">
        <v>45976</v>
      </c>
      <c r="W37" s="93"/>
      <c r="X37" s="96" t="s">
        <v>908</v>
      </c>
      <c r="Y37" s="96"/>
      <c r="Z37" s="29"/>
      <c r="AA37" s="145"/>
      <c r="AB37" s="145"/>
      <c r="AC37" s="145"/>
      <c r="AD37" s="145"/>
      <c r="AE37" s="145"/>
      <c r="AF37" s="145"/>
      <c r="AG37" s="142"/>
      <c r="AH37" s="141"/>
      <c r="AI37" s="67"/>
      <c r="AJ37" s="67"/>
      <c r="AK37" s="24"/>
      <c r="AL37" s="24"/>
      <c r="AM37" s="24"/>
      <c r="AN37" s="71"/>
      <c r="AO37" s="69"/>
      <c r="AP37" s="141"/>
      <c r="AQ37" s="141"/>
      <c r="AR37" s="141"/>
      <c r="AS37" s="141"/>
      <c r="AT37" s="141"/>
      <c r="AU37" s="141"/>
      <c r="AV37" s="141"/>
      <c r="AW37" s="141"/>
      <c r="AX37" s="141"/>
      <c r="AY37" s="141"/>
    </row>
    <row r="38" spans="1:51" ht="45" customHeight="1">
      <c r="A38" s="153">
        <f t="shared" si="5"/>
        <v>35</v>
      </c>
      <c r="B38" s="153" t="s">
        <v>57</v>
      </c>
      <c r="C38" s="153" t="s">
        <v>61</v>
      </c>
      <c r="D38" s="28" t="s">
        <v>630</v>
      </c>
      <c r="E38" s="69" t="s">
        <v>793</v>
      </c>
      <c r="F38" s="39">
        <v>1</v>
      </c>
      <c r="G38" s="141" t="s">
        <v>794</v>
      </c>
      <c r="H38" s="141" t="s">
        <v>765</v>
      </c>
      <c r="I38" s="141"/>
      <c r="J38" s="141" t="s">
        <v>6</v>
      </c>
      <c r="K38" s="21"/>
      <c r="L38" s="69"/>
      <c r="M38" s="141"/>
      <c r="N38" s="59">
        <v>2</v>
      </c>
      <c r="O38" s="59">
        <v>4</v>
      </c>
      <c r="P38" s="105" t="s">
        <v>32</v>
      </c>
      <c r="Q38" s="105" t="s">
        <v>32</v>
      </c>
      <c r="R38" s="105"/>
      <c r="S38" s="105"/>
      <c r="T38" s="105"/>
      <c r="U38" s="90">
        <v>45952</v>
      </c>
      <c r="V38" s="90">
        <v>45952</v>
      </c>
      <c r="W38" s="93" t="s">
        <v>631</v>
      </c>
      <c r="X38" s="93" t="s">
        <v>632</v>
      </c>
      <c r="Y38" s="96"/>
      <c r="Z38" s="29">
        <v>0</v>
      </c>
      <c r="AA38" s="145">
        <v>0</v>
      </c>
      <c r="AB38" s="145">
        <v>0</v>
      </c>
      <c r="AC38" s="145">
        <v>0</v>
      </c>
      <c r="AD38" s="145">
        <v>0</v>
      </c>
      <c r="AE38" s="145">
        <v>0</v>
      </c>
      <c r="AF38" s="145">
        <v>0</v>
      </c>
      <c r="AG38" s="142">
        <f t="shared" ref="AG38:AG69" si="6">AVERAGE(Z38:AF38)</f>
        <v>0</v>
      </c>
      <c r="AH38" s="141"/>
      <c r="AI38" s="67"/>
      <c r="AJ38" s="67"/>
      <c r="AK38" s="24"/>
      <c r="AL38" s="24"/>
      <c r="AM38" s="24"/>
      <c r="AN38" s="71"/>
      <c r="AO38" s="69" t="s">
        <v>795</v>
      </c>
      <c r="AP38" s="141"/>
      <c r="AQ38" s="141"/>
      <c r="AR38" s="141"/>
      <c r="AS38" s="141">
        <v>40</v>
      </c>
      <c r="AT38" s="86">
        <v>45931</v>
      </c>
      <c r="AU38" s="141" t="s">
        <v>757</v>
      </c>
      <c r="AV38" s="141"/>
      <c r="AW38" s="141"/>
      <c r="AX38" s="141"/>
      <c r="AY38" s="141" t="s">
        <v>757</v>
      </c>
    </row>
    <row r="39" spans="1:51" ht="45" customHeight="1">
      <c r="A39" s="153">
        <f t="shared" si="5"/>
        <v>36</v>
      </c>
      <c r="B39" s="153" t="s">
        <v>57</v>
      </c>
      <c r="C39" s="153" t="s">
        <v>61</v>
      </c>
      <c r="D39" s="28" t="s">
        <v>677</v>
      </c>
      <c r="E39" s="69" t="s">
        <v>769</v>
      </c>
      <c r="F39" s="39">
        <v>2</v>
      </c>
      <c r="G39" s="141" t="s">
        <v>764</v>
      </c>
      <c r="H39" s="141" t="s">
        <v>770</v>
      </c>
      <c r="I39" s="141"/>
      <c r="J39" s="141" t="s">
        <v>26</v>
      </c>
      <c r="K39" s="141"/>
      <c r="L39" s="69"/>
      <c r="M39" s="141"/>
      <c r="N39" s="59">
        <v>2</v>
      </c>
      <c r="O39" s="59">
        <v>2</v>
      </c>
      <c r="P39" s="105" t="s">
        <v>31</v>
      </c>
      <c r="Q39" s="105" t="s">
        <v>31</v>
      </c>
      <c r="R39" s="105" t="s">
        <v>881</v>
      </c>
      <c r="S39" s="105" t="s">
        <v>1028</v>
      </c>
      <c r="T39" s="105"/>
      <c r="U39" s="90">
        <v>45922</v>
      </c>
      <c r="V39" s="90"/>
      <c r="W39" s="93" t="s">
        <v>1029</v>
      </c>
      <c r="X39" s="96" t="s">
        <v>679</v>
      </c>
      <c r="Y39" s="96"/>
      <c r="Z39" s="29">
        <v>0</v>
      </c>
      <c r="AA39" s="145">
        <v>0</v>
      </c>
      <c r="AB39" s="145">
        <v>0</v>
      </c>
      <c r="AC39" s="145">
        <v>0</v>
      </c>
      <c r="AD39" s="145">
        <v>0</v>
      </c>
      <c r="AE39" s="145">
        <v>0</v>
      </c>
      <c r="AF39" s="145">
        <v>0</v>
      </c>
      <c r="AG39" s="142">
        <f t="shared" si="6"/>
        <v>0</v>
      </c>
      <c r="AH39" s="141"/>
      <c r="AI39" s="67"/>
      <c r="AJ39" s="67"/>
      <c r="AK39" s="24"/>
      <c r="AL39" s="24"/>
      <c r="AM39" s="24"/>
      <c r="AN39" s="71"/>
      <c r="AO39" s="69" t="s">
        <v>771</v>
      </c>
      <c r="AP39" s="141">
        <v>5</v>
      </c>
      <c r="AQ39" s="141" t="s">
        <v>761</v>
      </c>
      <c r="AR39" s="141"/>
      <c r="AS39" s="141"/>
      <c r="AT39" s="141"/>
      <c r="AU39" s="141" t="s">
        <v>757</v>
      </c>
      <c r="AV39" s="141" t="s">
        <v>757</v>
      </c>
      <c r="AW39" s="141"/>
      <c r="AX39" s="141"/>
      <c r="AY39" s="141"/>
    </row>
    <row r="40" spans="1:51" ht="45" customHeight="1">
      <c r="A40" s="153">
        <f t="shared" si="5"/>
        <v>37</v>
      </c>
      <c r="B40" s="153" t="s">
        <v>57</v>
      </c>
      <c r="C40" s="153" t="s">
        <v>61</v>
      </c>
      <c r="D40" s="28" t="s">
        <v>246</v>
      </c>
      <c r="E40" s="69" t="s">
        <v>784</v>
      </c>
      <c r="F40" s="39">
        <v>2</v>
      </c>
      <c r="G40" s="141" t="s">
        <v>150</v>
      </c>
      <c r="H40" s="141" t="s">
        <v>753</v>
      </c>
      <c r="I40" s="141"/>
      <c r="J40" s="141" t="s">
        <v>14</v>
      </c>
      <c r="K40" s="141"/>
      <c r="L40" s="69"/>
      <c r="M40" s="141"/>
      <c r="N40" s="59">
        <v>1</v>
      </c>
      <c r="O40" s="59">
        <v>1</v>
      </c>
      <c r="P40" s="105" t="s">
        <v>31</v>
      </c>
      <c r="Q40" s="105" t="s">
        <v>31</v>
      </c>
      <c r="R40" s="105" t="s">
        <v>882</v>
      </c>
      <c r="S40" s="105"/>
      <c r="T40" s="105"/>
      <c r="U40" s="90">
        <v>45952</v>
      </c>
      <c r="V40" s="90">
        <v>45954</v>
      </c>
      <c r="W40" s="93" t="s">
        <v>700</v>
      </c>
      <c r="X40" s="96" t="s">
        <v>701</v>
      </c>
      <c r="Y40" s="96" t="s">
        <v>702</v>
      </c>
      <c r="Z40" s="29">
        <v>0</v>
      </c>
      <c r="AA40" s="145">
        <v>0</v>
      </c>
      <c r="AB40" s="145">
        <v>0</v>
      </c>
      <c r="AC40" s="145">
        <v>0</v>
      </c>
      <c r="AD40" s="145">
        <v>0</v>
      </c>
      <c r="AE40" s="145">
        <v>0</v>
      </c>
      <c r="AF40" s="145">
        <v>0</v>
      </c>
      <c r="AG40" s="142">
        <f t="shared" si="6"/>
        <v>0</v>
      </c>
      <c r="AH40" s="141"/>
      <c r="AI40" s="67"/>
      <c r="AJ40" s="67"/>
      <c r="AK40" s="24"/>
      <c r="AL40" s="24"/>
      <c r="AM40" s="24"/>
      <c r="AN40" s="71"/>
      <c r="AO40" s="69" t="s">
        <v>785</v>
      </c>
      <c r="AP40" s="141"/>
      <c r="AQ40" s="141"/>
      <c r="AR40" s="141">
        <v>5</v>
      </c>
      <c r="AS40" s="141">
        <v>10</v>
      </c>
      <c r="AT40" s="141"/>
      <c r="AU40" s="141"/>
      <c r="AV40" s="141" t="s">
        <v>757</v>
      </c>
      <c r="AW40" s="141"/>
      <c r="AX40" s="141" t="s">
        <v>757</v>
      </c>
      <c r="AY40" s="141" t="s">
        <v>757</v>
      </c>
    </row>
    <row r="41" spans="1:51" ht="45" customHeight="1">
      <c r="A41" s="153">
        <f t="shared" si="5"/>
        <v>38</v>
      </c>
      <c r="B41" s="153" t="s">
        <v>57</v>
      </c>
      <c r="C41" s="153" t="s">
        <v>63</v>
      </c>
      <c r="D41" s="28" t="s">
        <v>152</v>
      </c>
      <c r="E41" s="69" t="s">
        <v>845</v>
      </c>
      <c r="F41" s="39">
        <v>3</v>
      </c>
      <c r="G41" s="141" t="s">
        <v>753</v>
      </c>
      <c r="H41" s="141" t="s">
        <v>210</v>
      </c>
      <c r="I41" s="141"/>
      <c r="J41" s="141"/>
      <c r="K41" s="141"/>
      <c r="L41" s="69"/>
      <c r="M41" s="141"/>
      <c r="N41" s="59">
        <v>2</v>
      </c>
      <c r="O41" s="59">
        <v>4</v>
      </c>
      <c r="P41" s="105" t="s">
        <v>35</v>
      </c>
      <c r="Q41" s="105" t="s">
        <v>35</v>
      </c>
      <c r="R41" s="105"/>
      <c r="S41" s="105" t="s">
        <v>1030</v>
      </c>
      <c r="T41" s="105"/>
      <c r="U41" s="90">
        <v>45951</v>
      </c>
      <c r="V41" s="90">
        <v>45960</v>
      </c>
      <c r="W41" s="93" t="s">
        <v>686</v>
      </c>
      <c r="X41" s="93" t="s">
        <v>687</v>
      </c>
      <c r="Y41" s="96"/>
      <c r="Z41" s="29">
        <v>0</v>
      </c>
      <c r="AA41" s="145">
        <v>0</v>
      </c>
      <c r="AB41" s="145">
        <v>0</v>
      </c>
      <c r="AC41" s="145">
        <v>0</v>
      </c>
      <c r="AD41" s="145">
        <v>0</v>
      </c>
      <c r="AE41" s="145">
        <v>0</v>
      </c>
      <c r="AF41" s="145">
        <v>0</v>
      </c>
      <c r="AG41" s="142">
        <f t="shared" si="6"/>
        <v>0</v>
      </c>
      <c r="AH41" s="141"/>
      <c r="AI41" s="67"/>
      <c r="AJ41" s="67"/>
      <c r="AK41" s="24"/>
      <c r="AL41" s="24"/>
      <c r="AM41" s="24"/>
      <c r="AN41" s="71"/>
      <c r="AO41" s="69" t="s">
        <v>846</v>
      </c>
      <c r="AP41" s="141">
        <v>15</v>
      </c>
      <c r="AQ41" s="141" t="s">
        <v>761</v>
      </c>
      <c r="AR41" s="141"/>
      <c r="AS41" s="141"/>
      <c r="AT41" s="141"/>
      <c r="AU41" s="141"/>
      <c r="AV41" s="141" t="s">
        <v>757</v>
      </c>
      <c r="AW41" s="141"/>
      <c r="AX41" s="141"/>
      <c r="AY41" s="141"/>
    </row>
    <row r="42" spans="1:51" ht="45" customHeight="1">
      <c r="A42" s="153">
        <f t="shared" si="5"/>
        <v>39</v>
      </c>
      <c r="B42" s="153" t="s">
        <v>57</v>
      </c>
      <c r="C42" s="153" t="s">
        <v>63</v>
      </c>
      <c r="D42" s="28" t="s">
        <v>674</v>
      </c>
      <c r="E42" s="69"/>
      <c r="F42" s="39">
        <v>3</v>
      </c>
      <c r="G42" s="141" t="s">
        <v>150</v>
      </c>
      <c r="H42" s="141" t="s">
        <v>805</v>
      </c>
      <c r="I42" s="141"/>
      <c r="J42" s="141"/>
      <c r="K42" s="21"/>
      <c r="L42" s="69"/>
      <c r="M42" s="141"/>
      <c r="N42" s="59">
        <v>4</v>
      </c>
      <c r="O42" s="59">
        <v>4</v>
      </c>
      <c r="P42" s="105" t="s">
        <v>34</v>
      </c>
      <c r="Q42" s="105" t="s">
        <v>34</v>
      </c>
      <c r="R42" s="105" t="s">
        <v>1031</v>
      </c>
      <c r="S42" s="105" t="s">
        <v>1032</v>
      </c>
      <c r="T42" s="105"/>
      <c r="U42" s="90">
        <v>45946</v>
      </c>
      <c r="V42" s="90">
        <v>45947</v>
      </c>
      <c r="W42" s="93" t="s">
        <v>1033</v>
      </c>
      <c r="X42" s="96" t="s">
        <v>676</v>
      </c>
      <c r="Y42" s="96"/>
      <c r="Z42" s="29">
        <v>0</v>
      </c>
      <c r="AA42" s="145">
        <v>0</v>
      </c>
      <c r="AB42" s="145">
        <v>0</v>
      </c>
      <c r="AC42" s="145">
        <v>0</v>
      </c>
      <c r="AD42" s="145">
        <v>0</v>
      </c>
      <c r="AE42" s="145">
        <v>0</v>
      </c>
      <c r="AF42" s="145">
        <v>0</v>
      </c>
      <c r="AG42" s="142">
        <f t="shared" si="6"/>
        <v>0</v>
      </c>
      <c r="AH42" s="141"/>
      <c r="AI42" s="67"/>
      <c r="AJ42" s="67"/>
      <c r="AK42" s="24"/>
      <c r="AL42" s="24"/>
      <c r="AM42" s="24"/>
      <c r="AN42" s="71"/>
      <c r="AO42" s="69" t="s">
        <v>849</v>
      </c>
      <c r="AP42" s="141">
        <v>4</v>
      </c>
      <c r="AQ42" s="141" t="s">
        <v>756</v>
      </c>
      <c r="AR42" s="141"/>
      <c r="AS42" s="141">
        <v>100</v>
      </c>
      <c r="AT42" s="86">
        <v>45901</v>
      </c>
      <c r="AU42" s="141" t="s">
        <v>757</v>
      </c>
      <c r="AV42" s="141" t="s">
        <v>757</v>
      </c>
      <c r="AW42" s="141" t="s">
        <v>757</v>
      </c>
      <c r="AX42" s="141" t="s">
        <v>757</v>
      </c>
      <c r="AY42" s="141" t="s">
        <v>757</v>
      </c>
    </row>
    <row r="43" spans="1:51" ht="45" customHeight="1">
      <c r="A43" s="153">
        <f t="shared" si="5"/>
        <v>40</v>
      </c>
      <c r="B43" s="153" t="s">
        <v>57</v>
      </c>
      <c r="C43" s="153" t="s">
        <v>63</v>
      </c>
      <c r="D43" s="28" t="s">
        <v>154</v>
      </c>
      <c r="E43" s="69" t="s">
        <v>851</v>
      </c>
      <c r="F43" s="39">
        <v>1</v>
      </c>
      <c r="G43" s="141" t="s">
        <v>150</v>
      </c>
      <c r="H43" s="141" t="s">
        <v>765</v>
      </c>
      <c r="I43" s="141"/>
      <c r="J43" s="141"/>
      <c r="K43" s="141"/>
      <c r="L43" s="69"/>
      <c r="M43" s="141"/>
      <c r="N43" s="59">
        <v>5</v>
      </c>
      <c r="O43" s="59">
        <v>5</v>
      </c>
      <c r="P43" s="105" t="s">
        <v>34</v>
      </c>
      <c r="Q43" s="105" t="s">
        <v>34</v>
      </c>
      <c r="R43" s="105"/>
      <c r="S43" s="105" t="s">
        <v>1034</v>
      </c>
      <c r="T43" s="105" t="s">
        <v>150</v>
      </c>
      <c r="U43" s="90">
        <v>45936</v>
      </c>
      <c r="V43" s="90">
        <v>45968</v>
      </c>
      <c r="W43" s="93" t="s">
        <v>1035</v>
      </c>
      <c r="X43" s="96" t="s">
        <v>1036</v>
      </c>
      <c r="Y43" s="96" t="s">
        <v>920</v>
      </c>
      <c r="Z43" s="29">
        <v>0</v>
      </c>
      <c r="AA43" s="145">
        <v>0</v>
      </c>
      <c r="AB43" s="145">
        <v>0</v>
      </c>
      <c r="AC43" s="145">
        <v>0</v>
      </c>
      <c r="AD43" s="145">
        <v>0</v>
      </c>
      <c r="AE43" s="145">
        <v>0</v>
      </c>
      <c r="AF43" s="145">
        <v>0</v>
      </c>
      <c r="AG43" s="142">
        <f t="shared" si="6"/>
        <v>0</v>
      </c>
      <c r="AH43" s="141"/>
      <c r="AI43" s="67"/>
      <c r="AJ43" s="67"/>
      <c r="AK43" s="24"/>
      <c r="AL43" s="24"/>
      <c r="AM43" s="24"/>
      <c r="AN43" s="71"/>
      <c r="AO43" s="69" t="s">
        <v>852</v>
      </c>
      <c r="AP43" s="141">
        <v>5</v>
      </c>
      <c r="AQ43" s="141" t="s">
        <v>756</v>
      </c>
      <c r="AR43" s="141"/>
      <c r="AS43" s="141"/>
      <c r="AT43" s="141"/>
      <c r="AU43" s="141" t="s">
        <v>757</v>
      </c>
      <c r="AV43" s="141" t="s">
        <v>757</v>
      </c>
      <c r="AW43" s="141" t="s">
        <v>757</v>
      </c>
      <c r="AX43" s="141"/>
      <c r="AY43" s="141" t="s">
        <v>757</v>
      </c>
    </row>
    <row r="44" spans="1:51" ht="45" customHeight="1">
      <c r="A44" s="153">
        <f t="shared" si="5"/>
        <v>41</v>
      </c>
      <c r="B44" s="153" t="s">
        <v>57</v>
      </c>
      <c r="C44" s="153" t="s">
        <v>63</v>
      </c>
      <c r="D44" s="28" t="s">
        <v>141</v>
      </c>
      <c r="E44" s="69"/>
      <c r="F44" s="39">
        <v>1</v>
      </c>
      <c r="G44" s="141" t="s">
        <v>150</v>
      </c>
      <c r="H44" s="141" t="s">
        <v>210</v>
      </c>
      <c r="I44" s="141"/>
      <c r="J44" s="141" t="s">
        <v>26</v>
      </c>
      <c r="K44" s="141"/>
      <c r="L44" s="69"/>
      <c r="M44" s="141"/>
      <c r="N44" s="59">
        <v>0</v>
      </c>
      <c r="O44" s="59">
        <v>0</v>
      </c>
      <c r="P44" s="105" t="s">
        <v>31</v>
      </c>
      <c r="Q44" s="105" t="s">
        <v>31</v>
      </c>
      <c r="R44" s="105" t="s">
        <v>1037</v>
      </c>
      <c r="S44" s="105"/>
      <c r="T44" s="105"/>
      <c r="U44" s="90">
        <v>45945</v>
      </c>
      <c r="V44" s="90">
        <v>45961</v>
      </c>
      <c r="W44" s="93" t="s">
        <v>1038</v>
      </c>
      <c r="X44" s="96" t="s">
        <v>638</v>
      </c>
      <c r="Y44" s="96" t="s">
        <v>922</v>
      </c>
      <c r="Z44" s="29">
        <v>0</v>
      </c>
      <c r="AA44" s="145">
        <v>0</v>
      </c>
      <c r="AB44" s="145">
        <v>0</v>
      </c>
      <c r="AC44" s="145">
        <v>0</v>
      </c>
      <c r="AD44" s="145">
        <v>0</v>
      </c>
      <c r="AE44" s="145">
        <v>0</v>
      </c>
      <c r="AF44" s="145">
        <v>0</v>
      </c>
      <c r="AG44" s="142">
        <f t="shared" si="6"/>
        <v>0</v>
      </c>
      <c r="AH44" s="141"/>
      <c r="AI44" s="67"/>
      <c r="AJ44" s="67"/>
      <c r="AK44" s="24"/>
      <c r="AL44" s="24"/>
      <c r="AM44" s="24"/>
      <c r="AN44" s="71"/>
      <c r="AO44" s="69" t="s">
        <v>854</v>
      </c>
      <c r="AP44" s="141">
        <v>2</v>
      </c>
      <c r="AQ44" s="141" t="s">
        <v>855</v>
      </c>
      <c r="AR44" s="141"/>
      <c r="AS44" s="141">
        <v>50</v>
      </c>
      <c r="AT44" s="86">
        <v>45962</v>
      </c>
      <c r="AU44" s="141" t="s">
        <v>757</v>
      </c>
      <c r="AV44" s="141" t="s">
        <v>757</v>
      </c>
      <c r="AW44" s="141" t="s">
        <v>757</v>
      </c>
      <c r="AX44" s="141"/>
      <c r="AY44" s="141"/>
    </row>
    <row r="45" spans="1:51" ht="45" customHeight="1">
      <c r="A45" s="153">
        <f t="shared" si="5"/>
        <v>42</v>
      </c>
      <c r="B45" s="153" t="s">
        <v>57</v>
      </c>
      <c r="C45" s="153" t="s">
        <v>63</v>
      </c>
      <c r="D45" s="28" t="s">
        <v>608</v>
      </c>
      <c r="E45" s="69"/>
      <c r="F45" s="39">
        <v>1</v>
      </c>
      <c r="G45" s="141" t="s">
        <v>150</v>
      </c>
      <c r="H45" s="141" t="s">
        <v>765</v>
      </c>
      <c r="I45" s="141"/>
      <c r="J45" s="141" t="s">
        <v>26</v>
      </c>
      <c r="K45" s="141"/>
      <c r="L45" s="69"/>
      <c r="M45" s="141"/>
      <c r="N45" s="59">
        <v>0</v>
      </c>
      <c r="O45" s="59">
        <v>0</v>
      </c>
      <c r="P45" s="105" t="s">
        <v>31</v>
      </c>
      <c r="Q45" s="105" t="s">
        <v>31</v>
      </c>
      <c r="R45" s="105" t="s">
        <v>1039</v>
      </c>
      <c r="S45" s="105"/>
      <c r="T45" s="105"/>
      <c r="U45" s="90">
        <v>45938</v>
      </c>
      <c r="V45" s="90">
        <v>45967</v>
      </c>
      <c r="W45" s="93" t="s">
        <v>1040</v>
      </c>
      <c r="X45" s="96" t="s">
        <v>1041</v>
      </c>
      <c r="Y45" s="96"/>
      <c r="Z45" s="29">
        <v>0</v>
      </c>
      <c r="AA45" s="145">
        <v>0</v>
      </c>
      <c r="AB45" s="145">
        <v>0</v>
      </c>
      <c r="AC45" s="145">
        <v>0</v>
      </c>
      <c r="AD45" s="145">
        <v>0</v>
      </c>
      <c r="AE45" s="145">
        <v>0</v>
      </c>
      <c r="AF45" s="145">
        <v>0</v>
      </c>
      <c r="AG45" s="142">
        <f t="shared" si="6"/>
        <v>0</v>
      </c>
      <c r="AH45" s="141"/>
      <c r="AI45" s="67"/>
      <c r="AJ45" s="67"/>
      <c r="AK45" s="24"/>
      <c r="AL45" s="24"/>
      <c r="AM45" s="24"/>
      <c r="AN45" s="71"/>
      <c r="AO45" s="69" t="s">
        <v>857</v>
      </c>
      <c r="AP45" s="141">
        <v>5</v>
      </c>
      <c r="AQ45" s="141" t="s">
        <v>761</v>
      </c>
      <c r="AR45" s="141"/>
      <c r="AS45" s="141">
        <v>80</v>
      </c>
      <c r="AT45" s="86">
        <v>45931</v>
      </c>
      <c r="AU45" s="141" t="s">
        <v>757</v>
      </c>
      <c r="AV45" s="141" t="s">
        <v>757</v>
      </c>
      <c r="AW45" s="141"/>
      <c r="AX45" s="141"/>
      <c r="AY45" s="141" t="s">
        <v>757</v>
      </c>
    </row>
    <row r="46" spans="1:51" ht="45" customHeight="1">
      <c r="A46" s="153">
        <f t="shared" si="5"/>
        <v>43</v>
      </c>
      <c r="B46" s="153" t="s">
        <v>57</v>
      </c>
      <c r="C46" s="153" t="s">
        <v>63</v>
      </c>
      <c r="D46" s="28" t="s">
        <v>683</v>
      </c>
      <c r="E46" s="69"/>
      <c r="F46" s="39">
        <v>1</v>
      </c>
      <c r="G46" s="141" t="s">
        <v>150</v>
      </c>
      <c r="H46" s="141" t="s">
        <v>765</v>
      </c>
      <c r="I46" s="141"/>
      <c r="J46" s="141"/>
      <c r="K46" s="141"/>
      <c r="L46" s="69"/>
      <c r="M46" s="141"/>
      <c r="N46" s="59">
        <v>5</v>
      </c>
      <c r="O46" s="59">
        <v>5</v>
      </c>
      <c r="P46" s="105" t="s">
        <v>34</v>
      </c>
      <c r="Q46" s="105" t="s">
        <v>34</v>
      </c>
      <c r="R46" s="105"/>
      <c r="S46" s="105"/>
      <c r="T46" s="105"/>
      <c r="U46" s="90"/>
      <c r="V46" s="90"/>
      <c r="W46" s="93"/>
      <c r="X46" s="95" t="s">
        <v>684</v>
      </c>
      <c r="Y46" s="95" t="s">
        <v>685</v>
      </c>
      <c r="Z46" s="29">
        <v>0</v>
      </c>
      <c r="AA46" s="145">
        <v>0</v>
      </c>
      <c r="AB46" s="145">
        <v>0</v>
      </c>
      <c r="AC46" s="145">
        <v>0</v>
      </c>
      <c r="AD46" s="145">
        <v>0</v>
      </c>
      <c r="AE46" s="145">
        <v>0</v>
      </c>
      <c r="AF46" s="145">
        <v>0</v>
      </c>
      <c r="AG46" s="142">
        <f t="shared" si="6"/>
        <v>0</v>
      </c>
      <c r="AH46" s="141"/>
      <c r="AI46" s="67"/>
      <c r="AJ46" s="67"/>
      <c r="AK46" s="24"/>
      <c r="AL46" s="24"/>
      <c r="AM46" s="24"/>
      <c r="AN46" s="71"/>
      <c r="AO46" s="69" t="s">
        <v>858</v>
      </c>
      <c r="AP46" s="141">
        <v>5</v>
      </c>
      <c r="AQ46" s="141" t="s">
        <v>756</v>
      </c>
      <c r="AR46" s="141"/>
      <c r="AS46" s="141">
        <v>250</v>
      </c>
      <c r="AT46" s="86">
        <v>45931</v>
      </c>
      <c r="AU46" s="141" t="s">
        <v>757</v>
      </c>
      <c r="AV46" s="141" t="s">
        <v>757</v>
      </c>
      <c r="AW46" s="141"/>
      <c r="AX46" s="141"/>
      <c r="AY46" s="141"/>
    </row>
    <row r="47" spans="1:51" ht="45" customHeight="1">
      <c r="A47" s="153">
        <f t="shared" si="5"/>
        <v>44</v>
      </c>
      <c r="B47" s="153" t="s">
        <v>57</v>
      </c>
      <c r="C47" s="153" t="s">
        <v>63</v>
      </c>
      <c r="D47" s="28" t="s">
        <v>680</v>
      </c>
      <c r="E47" s="69"/>
      <c r="F47" s="39">
        <v>1</v>
      </c>
      <c r="G47" s="141" t="s">
        <v>150</v>
      </c>
      <c r="H47" s="141" t="s">
        <v>765</v>
      </c>
      <c r="I47" s="141"/>
      <c r="J47" s="141"/>
      <c r="K47" s="141"/>
      <c r="L47" s="69"/>
      <c r="M47" s="141"/>
      <c r="N47" s="59">
        <v>5</v>
      </c>
      <c r="O47" s="59">
        <v>5</v>
      </c>
      <c r="P47" s="105" t="s">
        <v>34</v>
      </c>
      <c r="Q47" s="105" t="s">
        <v>34</v>
      </c>
      <c r="R47" s="105"/>
      <c r="S47" s="105"/>
      <c r="T47" s="105"/>
      <c r="U47" s="90">
        <v>45957</v>
      </c>
      <c r="V47" s="90">
        <v>45968</v>
      </c>
      <c r="W47" s="93" t="s">
        <v>681</v>
      </c>
      <c r="X47" s="96" t="s">
        <v>1042</v>
      </c>
      <c r="Y47" s="96"/>
      <c r="Z47" s="29">
        <v>0</v>
      </c>
      <c r="AA47" s="145">
        <v>0</v>
      </c>
      <c r="AB47" s="145">
        <v>0</v>
      </c>
      <c r="AC47" s="145">
        <v>0</v>
      </c>
      <c r="AD47" s="145">
        <v>0</v>
      </c>
      <c r="AE47" s="145">
        <v>0</v>
      </c>
      <c r="AF47" s="145">
        <v>0</v>
      </c>
      <c r="AG47" s="142">
        <f t="shared" si="6"/>
        <v>0</v>
      </c>
      <c r="AH47" s="141"/>
      <c r="AI47" s="67"/>
      <c r="AJ47" s="67"/>
      <c r="AK47" s="24"/>
      <c r="AL47" s="24"/>
      <c r="AM47" s="24"/>
      <c r="AN47" s="71"/>
      <c r="AO47" s="69" t="s">
        <v>860</v>
      </c>
      <c r="AP47" s="141">
        <v>5</v>
      </c>
      <c r="AQ47" s="141" t="s">
        <v>756</v>
      </c>
      <c r="AR47" s="141"/>
      <c r="AS47" s="141"/>
      <c r="AT47" s="141"/>
      <c r="AU47" s="141"/>
      <c r="AV47" s="141"/>
      <c r="AW47" s="141"/>
      <c r="AX47" s="141"/>
      <c r="AY47" s="141" t="s">
        <v>757</v>
      </c>
    </row>
    <row r="48" spans="1:51" ht="45" customHeight="1">
      <c r="A48" s="153">
        <f t="shared" si="5"/>
        <v>45</v>
      </c>
      <c r="B48" s="153" t="s">
        <v>57</v>
      </c>
      <c r="C48" s="153" t="s">
        <v>63</v>
      </c>
      <c r="D48" s="28" t="s">
        <v>705</v>
      </c>
      <c r="E48" s="69"/>
      <c r="F48" s="39">
        <v>2</v>
      </c>
      <c r="G48" s="141" t="s">
        <v>409</v>
      </c>
      <c r="H48" s="141" t="s">
        <v>861</v>
      </c>
      <c r="I48" s="141"/>
      <c r="J48" s="141"/>
      <c r="K48" s="141"/>
      <c r="L48" s="69"/>
      <c r="M48" s="141"/>
      <c r="N48" s="59"/>
      <c r="O48" s="59"/>
      <c r="P48" s="105" t="s">
        <v>33</v>
      </c>
      <c r="Q48" s="105" t="s">
        <v>33</v>
      </c>
      <c r="R48" s="105"/>
      <c r="S48" s="105"/>
      <c r="T48" s="105"/>
      <c r="U48" s="90"/>
      <c r="V48" s="90"/>
      <c r="W48" s="93" t="s">
        <v>1043</v>
      </c>
      <c r="X48" s="96" t="s">
        <v>706</v>
      </c>
      <c r="Y48" s="96"/>
      <c r="Z48" s="29">
        <v>0</v>
      </c>
      <c r="AA48" s="145">
        <v>0</v>
      </c>
      <c r="AB48" s="145">
        <v>0</v>
      </c>
      <c r="AC48" s="145">
        <v>0</v>
      </c>
      <c r="AD48" s="145">
        <v>0</v>
      </c>
      <c r="AE48" s="145">
        <v>0</v>
      </c>
      <c r="AF48" s="145">
        <v>0</v>
      </c>
      <c r="AG48" s="142">
        <f t="shared" si="6"/>
        <v>0</v>
      </c>
      <c r="AH48" s="141"/>
      <c r="AI48" s="67"/>
      <c r="AJ48" s="67"/>
      <c r="AK48" s="24"/>
      <c r="AL48" s="24"/>
      <c r="AM48" s="24"/>
      <c r="AN48" s="71"/>
      <c r="AO48" s="69" t="s">
        <v>862</v>
      </c>
      <c r="AP48" s="141">
        <v>10</v>
      </c>
      <c r="AQ48" s="141" t="s">
        <v>761</v>
      </c>
      <c r="AR48" s="141"/>
      <c r="AS48" s="141"/>
      <c r="AT48" s="141"/>
      <c r="AU48" s="141" t="s">
        <v>757</v>
      </c>
      <c r="AV48" s="141" t="s">
        <v>757</v>
      </c>
      <c r="AW48" s="141" t="s">
        <v>757</v>
      </c>
      <c r="AX48" s="141"/>
      <c r="AY48" s="141"/>
    </row>
    <row r="49" spans="1:51" ht="45" customHeight="1">
      <c r="A49" s="153">
        <f t="shared" si="5"/>
        <v>46</v>
      </c>
      <c r="B49" s="153" t="s">
        <v>57</v>
      </c>
      <c r="C49" s="153" t="s">
        <v>63</v>
      </c>
      <c r="D49" s="28" t="s">
        <v>713</v>
      </c>
      <c r="E49" s="69"/>
      <c r="F49" s="39">
        <v>1</v>
      </c>
      <c r="G49" s="141" t="s">
        <v>150</v>
      </c>
      <c r="H49" s="141" t="s">
        <v>764</v>
      </c>
      <c r="I49" s="141"/>
      <c r="J49" s="141" t="s">
        <v>26</v>
      </c>
      <c r="K49" s="141"/>
      <c r="L49" s="69"/>
      <c r="M49" s="141"/>
      <c r="N49" s="59">
        <v>4</v>
      </c>
      <c r="O49" s="59">
        <v>4</v>
      </c>
      <c r="P49" s="105" t="s">
        <v>34</v>
      </c>
      <c r="Q49" s="105" t="s">
        <v>32</v>
      </c>
      <c r="R49" s="105"/>
      <c r="S49" s="105"/>
      <c r="T49" s="105"/>
      <c r="U49" s="90"/>
      <c r="V49" s="90">
        <v>45925</v>
      </c>
      <c r="W49" s="93" t="s">
        <v>714</v>
      </c>
      <c r="X49" s="96" t="s">
        <v>715</v>
      </c>
      <c r="Y49" s="96"/>
      <c r="Z49" s="29">
        <v>0</v>
      </c>
      <c r="AA49" s="145">
        <v>0</v>
      </c>
      <c r="AB49" s="145">
        <v>0</v>
      </c>
      <c r="AC49" s="145">
        <v>0</v>
      </c>
      <c r="AD49" s="145">
        <v>0</v>
      </c>
      <c r="AE49" s="145">
        <v>0</v>
      </c>
      <c r="AF49" s="145">
        <v>0</v>
      </c>
      <c r="AG49" s="142">
        <f t="shared" si="6"/>
        <v>0</v>
      </c>
      <c r="AH49" s="141"/>
      <c r="AI49" s="67"/>
      <c r="AJ49" s="67"/>
      <c r="AK49" s="24"/>
      <c r="AL49" s="24"/>
      <c r="AM49" s="24"/>
      <c r="AN49" s="71"/>
      <c r="AO49" s="69" t="s">
        <v>864</v>
      </c>
      <c r="AP49" s="141"/>
      <c r="AQ49" s="141"/>
      <c r="AR49" s="141"/>
      <c r="AS49" s="141">
        <v>50</v>
      </c>
      <c r="AT49" s="86">
        <v>45901</v>
      </c>
      <c r="AU49" s="141" t="s">
        <v>757</v>
      </c>
      <c r="AV49" s="141" t="s">
        <v>757</v>
      </c>
      <c r="AW49" s="141"/>
      <c r="AX49" s="141"/>
      <c r="AY49" s="141" t="s">
        <v>757</v>
      </c>
    </row>
    <row r="50" spans="1:51" ht="45" customHeight="1">
      <c r="A50" s="153">
        <f t="shared" si="5"/>
        <v>47</v>
      </c>
      <c r="B50" s="153" t="s">
        <v>57</v>
      </c>
      <c r="C50" s="153" t="s">
        <v>63</v>
      </c>
      <c r="D50" s="28" t="s">
        <v>648</v>
      </c>
      <c r="E50" s="69"/>
      <c r="F50" s="39">
        <v>2</v>
      </c>
      <c r="G50" s="141" t="s">
        <v>150</v>
      </c>
      <c r="H50" s="141" t="s">
        <v>805</v>
      </c>
      <c r="I50" s="141"/>
      <c r="J50" s="141"/>
      <c r="K50" s="141"/>
      <c r="L50" s="69"/>
      <c r="M50" s="141"/>
      <c r="N50" s="59"/>
      <c r="O50" s="59"/>
      <c r="P50" s="105" t="s">
        <v>33</v>
      </c>
      <c r="Q50" s="105" t="s">
        <v>33</v>
      </c>
      <c r="R50" s="105"/>
      <c r="S50" s="105"/>
      <c r="T50" s="105"/>
      <c r="U50" s="90">
        <v>45925</v>
      </c>
      <c r="V50" s="90">
        <v>45925</v>
      </c>
      <c r="W50" s="93"/>
      <c r="X50" s="96" t="s">
        <v>649</v>
      </c>
      <c r="Y50" s="96"/>
      <c r="Z50" s="29">
        <v>0</v>
      </c>
      <c r="AA50" s="145">
        <v>0</v>
      </c>
      <c r="AB50" s="145">
        <v>0</v>
      </c>
      <c r="AC50" s="145">
        <v>0</v>
      </c>
      <c r="AD50" s="145">
        <v>0</v>
      </c>
      <c r="AE50" s="145">
        <v>0</v>
      </c>
      <c r="AF50" s="145">
        <v>0</v>
      </c>
      <c r="AG50" s="142">
        <f t="shared" si="6"/>
        <v>0</v>
      </c>
      <c r="AH50" s="141"/>
      <c r="AI50" s="67"/>
      <c r="AJ50" s="67"/>
      <c r="AK50" s="24"/>
      <c r="AL50" s="24"/>
      <c r="AM50" s="24"/>
      <c r="AN50" s="71"/>
      <c r="AO50" s="69" t="s">
        <v>866</v>
      </c>
      <c r="AP50" s="141"/>
      <c r="AQ50" s="141"/>
      <c r="AR50" s="141"/>
      <c r="AS50" s="141">
        <v>30</v>
      </c>
      <c r="AT50" s="86">
        <v>45901</v>
      </c>
      <c r="AU50" s="141" t="s">
        <v>757</v>
      </c>
      <c r="AV50" s="141" t="s">
        <v>757</v>
      </c>
      <c r="AW50" s="141" t="s">
        <v>757</v>
      </c>
      <c r="AX50" s="141"/>
      <c r="AY50" s="141"/>
    </row>
    <row r="51" spans="1:51" ht="45" customHeight="1">
      <c r="A51" s="153">
        <f t="shared" si="5"/>
        <v>48</v>
      </c>
      <c r="B51" s="153" t="s">
        <v>57</v>
      </c>
      <c r="C51" s="153" t="s">
        <v>63</v>
      </c>
      <c r="D51" s="28" t="s">
        <v>628</v>
      </c>
      <c r="E51" s="69"/>
      <c r="F51" s="39">
        <v>2</v>
      </c>
      <c r="G51" s="141" t="s">
        <v>150</v>
      </c>
      <c r="H51" s="141" t="s">
        <v>797</v>
      </c>
      <c r="I51" s="141"/>
      <c r="J51" s="141"/>
      <c r="K51" s="141"/>
      <c r="L51" s="69"/>
      <c r="M51" s="141"/>
      <c r="N51" s="59"/>
      <c r="O51" s="59"/>
      <c r="P51" s="105" t="s">
        <v>33</v>
      </c>
      <c r="Q51" s="105" t="s">
        <v>33</v>
      </c>
      <c r="R51" s="105"/>
      <c r="S51" s="105"/>
      <c r="T51" s="105"/>
      <c r="U51" s="90"/>
      <c r="V51" s="90"/>
      <c r="W51" s="93" t="s">
        <v>629</v>
      </c>
      <c r="X51" s="96"/>
      <c r="Y51" s="96"/>
      <c r="Z51" s="29">
        <v>0</v>
      </c>
      <c r="AA51" s="145">
        <v>0</v>
      </c>
      <c r="AB51" s="145">
        <v>0</v>
      </c>
      <c r="AC51" s="145">
        <v>0</v>
      </c>
      <c r="AD51" s="145">
        <v>0</v>
      </c>
      <c r="AE51" s="145">
        <v>0</v>
      </c>
      <c r="AF51" s="145">
        <v>0</v>
      </c>
      <c r="AG51" s="142">
        <f t="shared" si="6"/>
        <v>0</v>
      </c>
      <c r="AH51" s="141"/>
      <c r="AI51" s="67"/>
      <c r="AJ51" s="67"/>
      <c r="AK51" s="24"/>
      <c r="AL51" s="24"/>
      <c r="AM51" s="24"/>
      <c r="AN51" s="71"/>
      <c r="AO51" s="69" t="s">
        <v>868</v>
      </c>
      <c r="AP51" s="141"/>
      <c r="AQ51" s="141"/>
      <c r="AR51" s="141"/>
      <c r="AS51" s="141">
        <v>60</v>
      </c>
      <c r="AT51" s="86">
        <v>45962</v>
      </c>
      <c r="AU51" s="141" t="s">
        <v>757</v>
      </c>
      <c r="AV51" s="141" t="s">
        <v>757</v>
      </c>
      <c r="AW51" s="141"/>
      <c r="AX51" s="141"/>
      <c r="AY51" s="141" t="s">
        <v>757</v>
      </c>
    </row>
    <row r="52" spans="1:51" ht="45" customHeight="1">
      <c r="A52" s="153">
        <f t="shared" si="5"/>
        <v>49</v>
      </c>
      <c r="B52" s="153" t="s">
        <v>57</v>
      </c>
      <c r="C52" s="153"/>
      <c r="D52" s="28"/>
      <c r="E52" s="69"/>
      <c r="F52" s="39">
        <v>0</v>
      </c>
      <c r="G52" s="141"/>
      <c r="H52" s="141"/>
      <c r="I52" s="141"/>
      <c r="J52" s="141"/>
      <c r="K52" s="141"/>
      <c r="L52" s="69"/>
      <c r="M52" s="141"/>
      <c r="N52" s="59"/>
      <c r="O52" s="59"/>
      <c r="P52" s="105"/>
      <c r="Q52" s="105"/>
      <c r="R52" s="105"/>
      <c r="S52" s="105"/>
      <c r="T52" s="105"/>
      <c r="U52" s="90"/>
      <c r="V52" s="90"/>
      <c r="W52" s="93"/>
      <c r="X52" s="96"/>
      <c r="Y52" s="96"/>
      <c r="Z52" s="29">
        <v>0</v>
      </c>
      <c r="AA52" s="145">
        <v>0</v>
      </c>
      <c r="AB52" s="145">
        <v>0</v>
      </c>
      <c r="AC52" s="145">
        <v>0</v>
      </c>
      <c r="AD52" s="145">
        <v>0</v>
      </c>
      <c r="AE52" s="145">
        <v>0</v>
      </c>
      <c r="AF52" s="145">
        <v>0</v>
      </c>
      <c r="AG52" s="142">
        <f t="shared" si="6"/>
        <v>0</v>
      </c>
      <c r="AH52" s="141"/>
      <c r="AI52" s="67"/>
      <c r="AJ52" s="67"/>
      <c r="AK52" s="24"/>
      <c r="AL52" s="24"/>
      <c r="AM52" s="24"/>
      <c r="AN52" s="71"/>
      <c r="AO52" s="69"/>
      <c r="AP52" s="141"/>
      <c r="AQ52" s="141"/>
      <c r="AR52" s="141"/>
      <c r="AS52" s="141"/>
      <c r="AT52" s="141"/>
      <c r="AU52" s="141"/>
      <c r="AV52" s="141"/>
      <c r="AW52" s="141"/>
      <c r="AX52" s="141"/>
      <c r="AY52" s="141"/>
    </row>
    <row r="53" spans="1:51" ht="45" customHeight="1">
      <c r="A53" s="153">
        <f t="shared" si="5"/>
        <v>50</v>
      </c>
      <c r="B53" s="153" t="s">
        <v>57</v>
      </c>
      <c r="C53" s="153"/>
      <c r="D53" s="28"/>
      <c r="E53" s="69"/>
      <c r="F53" s="39">
        <v>0</v>
      </c>
      <c r="G53" s="141"/>
      <c r="H53" s="141"/>
      <c r="I53" s="141"/>
      <c r="J53" s="141"/>
      <c r="K53" s="141"/>
      <c r="L53" s="69"/>
      <c r="M53" s="141"/>
      <c r="N53" s="59"/>
      <c r="O53" s="59"/>
      <c r="P53" s="105"/>
      <c r="Q53" s="105"/>
      <c r="R53" s="105"/>
      <c r="S53" s="105"/>
      <c r="T53" s="105"/>
      <c r="U53" s="90"/>
      <c r="V53" s="90"/>
      <c r="W53" s="93"/>
      <c r="X53" s="96"/>
      <c r="Y53" s="96"/>
      <c r="Z53" s="29">
        <v>0</v>
      </c>
      <c r="AA53" s="145">
        <v>0</v>
      </c>
      <c r="AB53" s="145">
        <v>0</v>
      </c>
      <c r="AC53" s="145">
        <v>0</v>
      </c>
      <c r="AD53" s="145">
        <v>0</v>
      </c>
      <c r="AE53" s="145">
        <v>0</v>
      </c>
      <c r="AF53" s="145">
        <v>0</v>
      </c>
      <c r="AG53" s="142">
        <f t="shared" si="6"/>
        <v>0</v>
      </c>
      <c r="AH53" s="141"/>
      <c r="AI53" s="67"/>
      <c r="AJ53" s="67"/>
      <c r="AK53" s="24"/>
      <c r="AL53" s="24"/>
      <c r="AM53" s="24"/>
      <c r="AN53" s="71"/>
      <c r="AO53" s="69"/>
      <c r="AP53" s="141"/>
      <c r="AQ53" s="141"/>
      <c r="AR53" s="141"/>
      <c r="AS53" s="141"/>
      <c r="AT53" s="141"/>
      <c r="AU53" s="141"/>
      <c r="AV53" s="141"/>
      <c r="AW53" s="141"/>
      <c r="AX53" s="141"/>
      <c r="AY53" s="141"/>
    </row>
    <row r="54" spans="1:51" ht="45" customHeight="1">
      <c r="A54" s="153">
        <f t="shared" si="5"/>
        <v>51</v>
      </c>
      <c r="B54" s="153" t="s">
        <v>57</v>
      </c>
      <c r="C54" s="153"/>
      <c r="D54" s="28"/>
      <c r="E54" s="69"/>
      <c r="F54" s="39">
        <v>0</v>
      </c>
      <c r="G54" s="141"/>
      <c r="H54" s="141"/>
      <c r="I54" s="141"/>
      <c r="J54" s="141"/>
      <c r="K54" s="141"/>
      <c r="L54" s="69"/>
      <c r="M54" s="141"/>
      <c r="N54" s="59"/>
      <c r="O54" s="59"/>
      <c r="P54" s="105"/>
      <c r="Q54" s="105"/>
      <c r="R54" s="105"/>
      <c r="S54" s="105"/>
      <c r="T54" s="105"/>
      <c r="U54" s="90"/>
      <c r="V54" s="90"/>
      <c r="W54" s="93"/>
      <c r="X54" s="96"/>
      <c r="Y54" s="96"/>
      <c r="Z54" s="29">
        <v>0</v>
      </c>
      <c r="AA54" s="145">
        <v>0</v>
      </c>
      <c r="AB54" s="145">
        <v>0</v>
      </c>
      <c r="AC54" s="145">
        <v>0</v>
      </c>
      <c r="AD54" s="145">
        <v>0</v>
      </c>
      <c r="AE54" s="145">
        <v>0</v>
      </c>
      <c r="AF54" s="145">
        <v>0</v>
      </c>
      <c r="AG54" s="142">
        <f t="shared" si="6"/>
        <v>0</v>
      </c>
      <c r="AH54" s="141"/>
      <c r="AI54" s="67"/>
      <c r="AJ54" s="67"/>
      <c r="AK54" s="24"/>
      <c r="AL54" s="24"/>
      <c r="AM54" s="24"/>
      <c r="AN54" s="71"/>
      <c r="AO54" s="69"/>
      <c r="AP54" s="141"/>
      <c r="AQ54" s="141"/>
      <c r="AR54" s="141"/>
      <c r="AS54" s="141"/>
      <c r="AT54" s="141"/>
      <c r="AU54" s="141"/>
      <c r="AV54" s="141"/>
      <c r="AW54" s="141"/>
      <c r="AX54" s="141"/>
      <c r="AY54" s="141"/>
    </row>
    <row r="55" spans="1:51" ht="45" customHeight="1">
      <c r="A55" s="153">
        <f t="shared" si="5"/>
        <v>52</v>
      </c>
      <c r="B55" s="153" t="s">
        <v>57</v>
      </c>
      <c r="C55" s="153"/>
      <c r="D55" s="28"/>
      <c r="E55" s="69"/>
      <c r="F55" s="39">
        <v>0</v>
      </c>
      <c r="G55" s="141"/>
      <c r="H55" s="141"/>
      <c r="I55" s="141"/>
      <c r="J55" s="141"/>
      <c r="K55" s="141"/>
      <c r="L55" s="69"/>
      <c r="M55" s="141"/>
      <c r="N55" s="59"/>
      <c r="O55" s="59"/>
      <c r="P55" s="105"/>
      <c r="Q55" s="105"/>
      <c r="R55" s="105"/>
      <c r="S55" s="105"/>
      <c r="T55" s="105"/>
      <c r="U55" s="90"/>
      <c r="V55" s="90"/>
      <c r="W55" s="93"/>
      <c r="X55" s="96"/>
      <c r="Y55" s="96"/>
      <c r="Z55" s="29">
        <v>0</v>
      </c>
      <c r="AA55" s="145">
        <v>0</v>
      </c>
      <c r="AB55" s="145">
        <v>0</v>
      </c>
      <c r="AC55" s="145">
        <v>0</v>
      </c>
      <c r="AD55" s="145">
        <v>0</v>
      </c>
      <c r="AE55" s="145">
        <v>0</v>
      </c>
      <c r="AF55" s="145">
        <v>0</v>
      </c>
      <c r="AG55" s="142">
        <f t="shared" si="6"/>
        <v>0</v>
      </c>
      <c r="AH55" s="141"/>
      <c r="AI55" s="67"/>
      <c r="AJ55" s="67"/>
      <c r="AK55" s="24"/>
      <c r="AL55" s="24"/>
      <c r="AM55" s="24"/>
      <c r="AN55" s="71"/>
      <c r="AO55" s="69"/>
      <c r="AP55" s="141"/>
      <c r="AQ55" s="141"/>
      <c r="AR55" s="141"/>
      <c r="AS55" s="141"/>
      <c r="AT55" s="141"/>
      <c r="AU55" s="141"/>
      <c r="AV55" s="141"/>
      <c r="AW55" s="141"/>
      <c r="AX55" s="141"/>
      <c r="AY55" s="141"/>
    </row>
    <row r="56" spans="1:51" ht="45" customHeight="1">
      <c r="A56" s="153">
        <f t="shared" si="5"/>
        <v>53</v>
      </c>
      <c r="B56" s="153" t="s">
        <v>57</v>
      </c>
      <c r="C56" s="153"/>
      <c r="D56" s="28"/>
      <c r="E56" s="69"/>
      <c r="F56" s="39">
        <v>0</v>
      </c>
      <c r="G56" s="141"/>
      <c r="H56" s="141"/>
      <c r="I56" s="141"/>
      <c r="J56" s="141"/>
      <c r="K56" s="141"/>
      <c r="L56" s="69"/>
      <c r="M56" s="141"/>
      <c r="N56" s="59"/>
      <c r="O56" s="59"/>
      <c r="P56" s="105"/>
      <c r="Q56" s="105"/>
      <c r="R56" s="105"/>
      <c r="S56" s="105"/>
      <c r="T56" s="105"/>
      <c r="U56" s="90"/>
      <c r="V56" s="90"/>
      <c r="W56" s="93"/>
      <c r="X56" s="96"/>
      <c r="Y56" s="96"/>
      <c r="Z56" s="29">
        <v>0</v>
      </c>
      <c r="AA56" s="145">
        <v>0</v>
      </c>
      <c r="AB56" s="145">
        <v>0</v>
      </c>
      <c r="AC56" s="145">
        <v>0</v>
      </c>
      <c r="AD56" s="145">
        <v>0</v>
      </c>
      <c r="AE56" s="145">
        <v>0</v>
      </c>
      <c r="AF56" s="145">
        <v>0</v>
      </c>
      <c r="AG56" s="142">
        <f t="shared" si="6"/>
        <v>0</v>
      </c>
      <c r="AH56" s="141"/>
      <c r="AI56" s="67"/>
      <c r="AJ56" s="67"/>
      <c r="AK56" s="24"/>
      <c r="AL56" s="24"/>
      <c r="AM56" s="24"/>
      <c r="AN56" s="71"/>
      <c r="AO56" s="69"/>
      <c r="AP56" s="141"/>
      <c r="AQ56" s="141"/>
      <c r="AR56" s="141"/>
      <c r="AS56" s="141"/>
      <c r="AT56" s="141"/>
      <c r="AU56" s="141"/>
      <c r="AV56" s="141"/>
      <c r="AW56" s="141"/>
      <c r="AX56" s="141"/>
      <c r="AY56" s="141"/>
    </row>
    <row r="57" spans="1:51" ht="45" customHeight="1">
      <c r="A57" s="153">
        <f t="shared" si="5"/>
        <v>54</v>
      </c>
      <c r="B57" s="153" t="s">
        <v>57</v>
      </c>
      <c r="C57" s="153"/>
      <c r="D57" s="28"/>
      <c r="E57" s="69"/>
      <c r="F57" s="39">
        <v>0</v>
      </c>
      <c r="G57" s="141"/>
      <c r="H57" s="141"/>
      <c r="I57" s="141"/>
      <c r="J57" s="141"/>
      <c r="K57" s="141"/>
      <c r="L57" s="69"/>
      <c r="M57" s="141"/>
      <c r="N57" s="59"/>
      <c r="O57" s="59"/>
      <c r="P57" s="105"/>
      <c r="Q57" s="105"/>
      <c r="R57" s="105"/>
      <c r="S57" s="105"/>
      <c r="T57" s="105"/>
      <c r="U57" s="90"/>
      <c r="V57" s="90"/>
      <c r="W57" s="93"/>
      <c r="X57" s="96"/>
      <c r="Y57" s="96"/>
      <c r="Z57" s="29">
        <v>0</v>
      </c>
      <c r="AA57" s="145">
        <v>0</v>
      </c>
      <c r="AB57" s="145">
        <v>0</v>
      </c>
      <c r="AC57" s="145">
        <v>0</v>
      </c>
      <c r="AD57" s="145">
        <v>0</v>
      </c>
      <c r="AE57" s="145">
        <v>0</v>
      </c>
      <c r="AF57" s="145">
        <v>0</v>
      </c>
      <c r="AG57" s="142">
        <f t="shared" si="6"/>
        <v>0</v>
      </c>
      <c r="AH57" s="141"/>
      <c r="AI57" s="67"/>
      <c r="AJ57" s="67"/>
      <c r="AK57" s="24"/>
      <c r="AL57" s="24"/>
      <c r="AM57" s="24"/>
      <c r="AN57" s="71"/>
      <c r="AO57" s="69"/>
      <c r="AP57" s="141"/>
      <c r="AQ57" s="141"/>
      <c r="AR57" s="141"/>
      <c r="AS57" s="141"/>
      <c r="AT57" s="141"/>
      <c r="AU57" s="141"/>
      <c r="AV57" s="141"/>
      <c r="AW57" s="141"/>
      <c r="AX57" s="141"/>
      <c r="AY57" s="141"/>
    </row>
    <row r="58" spans="1:51" ht="45" customHeight="1">
      <c r="A58" s="153">
        <f t="shared" si="5"/>
        <v>55</v>
      </c>
      <c r="B58" s="153" t="s">
        <v>57</v>
      </c>
      <c r="C58" s="153"/>
      <c r="D58" s="28"/>
      <c r="E58" s="69"/>
      <c r="F58" s="39">
        <v>0</v>
      </c>
      <c r="G58" s="141"/>
      <c r="H58" s="141"/>
      <c r="I58" s="141"/>
      <c r="J58" s="141"/>
      <c r="K58" s="141"/>
      <c r="L58" s="69"/>
      <c r="M58" s="141"/>
      <c r="N58" s="59"/>
      <c r="O58" s="59"/>
      <c r="P58" s="105"/>
      <c r="Q58" s="105"/>
      <c r="R58" s="105"/>
      <c r="S58" s="105"/>
      <c r="T58" s="105"/>
      <c r="U58" s="90"/>
      <c r="V58" s="90"/>
      <c r="W58" s="93"/>
      <c r="X58" s="94"/>
      <c r="Y58" s="94"/>
      <c r="Z58" s="29">
        <v>0</v>
      </c>
      <c r="AA58" s="145">
        <v>0</v>
      </c>
      <c r="AB58" s="145">
        <v>0</v>
      </c>
      <c r="AC58" s="145">
        <v>0</v>
      </c>
      <c r="AD58" s="145">
        <v>0</v>
      </c>
      <c r="AE58" s="145">
        <v>0</v>
      </c>
      <c r="AF58" s="145">
        <v>0</v>
      </c>
      <c r="AG58" s="142">
        <f t="shared" si="6"/>
        <v>0</v>
      </c>
      <c r="AH58" s="141"/>
      <c r="AI58" s="67"/>
      <c r="AJ58" s="67"/>
      <c r="AK58" s="24"/>
      <c r="AL58" s="24"/>
      <c r="AM58" s="24"/>
      <c r="AN58" s="71"/>
      <c r="AO58" s="69"/>
      <c r="AP58" s="141"/>
      <c r="AQ58" s="141"/>
      <c r="AR58" s="141"/>
      <c r="AS58" s="141"/>
      <c r="AT58" s="141"/>
      <c r="AU58" s="141"/>
      <c r="AV58" s="141"/>
      <c r="AW58" s="141"/>
      <c r="AX58" s="141"/>
      <c r="AY58" s="141"/>
    </row>
    <row r="59" spans="1:51" ht="45" customHeight="1">
      <c r="A59" s="153">
        <f t="shared" si="5"/>
        <v>56</v>
      </c>
      <c r="B59" s="153" t="s">
        <v>57</v>
      </c>
      <c r="C59" s="153"/>
      <c r="D59" s="28"/>
      <c r="E59" s="69"/>
      <c r="F59" s="39">
        <v>0</v>
      </c>
      <c r="G59" s="141"/>
      <c r="H59" s="141"/>
      <c r="I59" s="141"/>
      <c r="J59" s="141"/>
      <c r="K59" s="141"/>
      <c r="L59" s="69"/>
      <c r="M59" s="141"/>
      <c r="N59" s="59"/>
      <c r="O59" s="59"/>
      <c r="P59" s="105"/>
      <c r="Q59" s="105"/>
      <c r="R59" s="105"/>
      <c r="S59" s="105"/>
      <c r="T59" s="105"/>
      <c r="U59" s="90"/>
      <c r="V59" s="90"/>
      <c r="W59" s="93"/>
      <c r="X59" s="96"/>
      <c r="Y59" s="96"/>
      <c r="Z59" s="29">
        <v>0</v>
      </c>
      <c r="AA59" s="145">
        <v>0</v>
      </c>
      <c r="AB59" s="145">
        <v>0</v>
      </c>
      <c r="AC59" s="145">
        <v>0</v>
      </c>
      <c r="AD59" s="145">
        <v>0</v>
      </c>
      <c r="AE59" s="145">
        <v>0</v>
      </c>
      <c r="AF59" s="145">
        <v>0</v>
      </c>
      <c r="AG59" s="142">
        <f t="shared" si="6"/>
        <v>0</v>
      </c>
      <c r="AH59" s="141"/>
      <c r="AI59" s="67"/>
      <c r="AJ59" s="67"/>
      <c r="AK59" s="24"/>
      <c r="AL59" s="24"/>
      <c r="AM59" s="24"/>
      <c r="AN59" s="71"/>
      <c r="AO59" s="69"/>
      <c r="AP59" s="141"/>
      <c r="AQ59" s="141"/>
      <c r="AR59" s="141"/>
      <c r="AS59" s="141"/>
      <c r="AT59" s="141"/>
      <c r="AU59" s="141"/>
      <c r="AV59" s="141"/>
      <c r="AW59" s="141"/>
      <c r="AX59" s="141"/>
      <c r="AY59" s="141"/>
    </row>
    <row r="60" spans="1:51" ht="45" customHeight="1">
      <c r="A60" s="153">
        <f t="shared" si="5"/>
        <v>57</v>
      </c>
      <c r="B60" s="153" t="s">
        <v>57</v>
      </c>
      <c r="C60" s="28"/>
      <c r="D60" s="28"/>
      <c r="E60" s="69"/>
      <c r="F60" s="39">
        <v>0</v>
      </c>
      <c r="G60" s="141"/>
      <c r="H60" s="141"/>
      <c r="I60" s="141"/>
      <c r="J60" s="141"/>
      <c r="K60" s="141"/>
      <c r="L60" s="69"/>
      <c r="M60" s="141"/>
      <c r="N60" s="59"/>
      <c r="O60" s="59"/>
      <c r="P60" s="105"/>
      <c r="Q60" s="105"/>
      <c r="R60" s="105"/>
      <c r="S60" s="105"/>
      <c r="T60" s="105"/>
      <c r="U60" s="90"/>
      <c r="V60" s="90"/>
      <c r="W60" s="93"/>
      <c r="X60" s="96"/>
      <c r="Y60" s="96"/>
      <c r="Z60" s="29">
        <v>0</v>
      </c>
      <c r="AA60" s="145">
        <v>0</v>
      </c>
      <c r="AB60" s="145">
        <v>0</v>
      </c>
      <c r="AC60" s="145">
        <v>0</v>
      </c>
      <c r="AD60" s="145">
        <v>0</v>
      </c>
      <c r="AE60" s="145">
        <v>0</v>
      </c>
      <c r="AF60" s="145">
        <v>0</v>
      </c>
      <c r="AG60" s="142">
        <f t="shared" si="6"/>
        <v>0</v>
      </c>
      <c r="AH60" s="141"/>
      <c r="AI60" s="67"/>
      <c r="AJ60" s="67"/>
      <c r="AK60" s="24"/>
      <c r="AL60" s="24"/>
      <c r="AM60" s="24"/>
      <c r="AN60" s="71"/>
      <c r="AO60" s="69"/>
      <c r="AP60" s="141"/>
      <c r="AQ60" s="141"/>
      <c r="AR60" s="141"/>
      <c r="AS60" s="141"/>
      <c r="AT60" s="141"/>
      <c r="AU60" s="141"/>
      <c r="AV60" s="141"/>
      <c r="AW60" s="141"/>
      <c r="AX60" s="141"/>
      <c r="AY60" s="141"/>
    </row>
    <row r="61" spans="1:51" ht="45" customHeight="1">
      <c r="A61" s="153">
        <f t="shared" si="5"/>
        <v>58</v>
      </c>
      <c r="B61" s="153" t="s">
        <v>57</v>
      </c>
      <c r="C61" s="140"/>
      <c r="D61" s="28"/>
      <c r="E61" s="69"/>
      <c r="F61" s="39">
        <v>0</v>
      </c>
      <c r="G61" s="141"/>
      <c r="H61" s="141"/>
      <c r="I61" s="141"/>
      <c r="J61" s="141"/>
      <c r="K61" s="141"/>
      <c r="L61" s="69"/>
      <c r="M61" s="141"/>
      <c r="N61" s="59"/>
      <c r="O61" s="59"/>
      <c r="P61" s="105"/>
      <c r="Q61" s="105"/>
      <c r="R61" s="105"/>
      <c r="S61" s="105"/>
      <c r="T61" s="105"/>
      <c r="U61" s="90"/>
      <c r="V61" s="90"/>
      <c r="W61" s="93"/>
      <c r="X61" s="96"/>
      <c r="Y61" s="96"/>
      <c r="Z61" s="29">
        <v>0</v>
      </c>
      <c r="AA61" s="145">
        <v>0</v>
      </c>
      <c r="AB61" s="145">
        <v>0</v>
      </c>
      <c r="AC61" s="145">
        <v>0</v>
      </c>
      <c r="AD61" s="145">
        <v>0</v>
      </c>
      <c r="AE61" s="145">
        <v>0</v>
      </c>
      <c r="AF61" s="145">
        <v>0</v>
      </c>
      <c r="AG61" s="142">
        <f t="shared" si="6"/>
        <v>0</v>
      </c>
      <c r="AH61" s="141"/>
      <c r="AI61" s="67"/>
      <c r="AJ61" s="67"/>
      <c r="AK61" s="24"/>
      <c r="AL61" s="24"/>
      <c r="AM61" s="24"/>
      <c r="AN61" s="71"/>
      <c r="AO61" s="69"/>
      <c r="AP61" s="141"/>
      <c r="AQ61" s="141"/>
      <c r="AR61" s="141"/>
      <c r="AS61" s="141"/>
      <c r="AT61" s="141"/>
      <c r="AU61" s="141"/>
      <c r="AV61" s="141"/>
      <c r="AW61" s="141"/>
      <c r="AX61" s="141"/>
      <c r="AY61" s="141"/>
    </row>
    <row r="62" spans="1:51" ht="45" customHeight="1">
      <c r="A62" s="153">
        <f t="shared" si="5"/>
        <v>59</v>
      </c>
      <c r="B62" s="153" t="s">
        <v>57</v>
      </c>
      <c r="C62" s="140"/>
      <c r="D62" s="28"/>
      <c r="E62" s="69"/>
      <c r="F62" s="39">
        <v>0</v>
      </c>
      <c r="G62" s="141"/>
      <c r="H62" s="141"/>
      <c r="I62" s="141"/>
      <c r="J62" s="141"/>
      <c r="K62" s="21"/>
      <c r="L62" s="69"/>
      <c r="M62" s="141"/>
      <c r="N62" s="59"/>
      <c r="O62" s="59"/>
      <c r="P62" s="105"/>
      <c r="Q62" s="105"/>
      <c r="R62" s="105"/>
      <c r="S62" s="105"/>
      <c r="T62" s="105"/>
      <c r="U62" s="90"/>
      <c r="V62" s="90"/>
      <c r="W62" s="93"/>
      <c r="X62" s="96"/>
      <c r="Y62" s="96"/>
      <c r="Z62" s="29">
        <v>0</v>
      </c>
      <c r="AA62" s="145">
        <v>0</v>
      </c>
      <c r="AB62" s="145">
        <v>0</v>
      </c>
      <c r="AC62" s="145">
        <v>0</v>
      </c>
      <c r="AD62" s="145">
        <v>0</v>
      </c>
      <c r="AE62" s="145">
        <v>0</v>
      </c>
      <c r="AF62" s="145">
        <v>0</v>
      </c>
      <c r="AG62" s="142">
        <f t="shared" si="6"/>
        <v>0</v>
      </c>
      <c r="AH62" s="141"/>
      <c r="AI62" s="67"/>
      <c r="AJ62" s="67"/>
      <c r="AK62" s="24"/>
      <c r="AL62" s="24"/>
      <c r="AM62" s="24"/>
      <c r="AN62" s="71"/>
      <c r="AO62" s="69"/>
      <c r="AP62" s="141"/>
      <c r="AQ62" s="141"/>
      <c r="AR62" s="141"/>
      <c r="AS62" s="141"/>
      <c r="AT62" s="141"/>
      <c r="AU62" s="141"/>
      <c r="AV62" s="141"/>
      <c r="AW62" s="141"/>
      <c r="AX62" s="141"/>
      <c r="AY62" s="141"/>
    </row>
    <row r="63" spans="1:51" ht="45" customHeight="1">
      <c r="A63" s="153">
        <f t="shared" si="5"/>
        <v>60</v>
      </c>
      <c r="B63" s="153" t="s">
        <v>57</v>
      </c>
      <c r="C63" s="140"/>
      <c r="D63" s="28"/>
      <c r="E63" s="69"/>
      <c r="F63" s="39">
        <v>0</v>
      </c>
      <c r="G63" s="141"/>
      <c r="H63" s="141"/>
      <c r="I63" s="141"/>
      <c r="J63" s="141"/>
      <c r="K63" s="141"/>
      <c r="L63" s="69"/>
      <c r="M63" s="141"/>
      <c r="N63" s="59"/>
      <c r="O63" s="59"/>
      <c r="P63" s="105"/>
      <c r="Q63" s="105"/>
      <c r="R63" s="105"/>
      <c r="S63" s="105"/>
      <c r="T63" s="105"/>
      <c r="U63" s="90"/>
      <c r="V63" s="90"/>
      <c r="W63" s="93"/>
      <c r="X63" s="96"/>
      <c r="Y63" s="96"/>
      <c r="Z63" s="29">
        <v>0</v>
      </c>
      <c r="AA63" s="145">
        <v>0</v>
      </c>
      <c r="AB63" s="145">
        <v>0</v>
      </c>
      <c r="AC63" s="145">
        <v>0</v>
      </c>
      <c r="AD63" s="145">
        <v>0</v>
      </c>
      <c r="AE63" s="145">
        <v>0</v>
      </c>
      <c r="AF63" s="145">
        <v>0</v>
      </c>
      <c r="AG63" s="142">
        <f t="shared" si="6"/>
        <v>0</v>
      </c>
      <c r="AH63" s="141"/>
      <c r="AI63" s="67"/>
      <c r="AJ63" s="67"/>
      <c r="AK63" s="24"/>
      <c r="AL63" s="24"/>
      <c r="AM63" s="24"/>
      <c r="AN63" s="71"/>
      <c r="AO63" s="69"/>
      <c r="AP63" s="141"/>
      <c r="AQ63" s="141"/>
      <c r="AR63" s="141"/>
      <c r="AS63" s="141"/>
      <c r="AT63" s="141"/>
      <c r="AU63" s="141"/>
      <c r="AV63" s="141"/>
      <c r="AW63" s="141"/>
      <c r="AX63" s="141"/>
      <c r="AY63" s="141"/>
    </row>
    <row r="64" spans="1:51" ht="45" customHeight="1">
      <c r="A64" s="153">
        <f t="shared" si="5"/>
        <v>61</v>
      </c>
      <c r="B64" s="153" t="s">
        <v>57</v>
      </c>
      <c r="C64" s="140"/>
      <c r="D64" s="28"/>
      <c r="E64" s="69"/>
      <c r="F64" s="39">
        <v>0</v>
      </c>
      <c r="G64" s="141"/>
      <c r="H64" s="141"/>
      <c r="I64" s="141"/>
      <c r="J64" s="141"/>
      <c r="K64" s="141"/>
      <c r="L64" s="69"/>
      <c r="M64" s="141"/>
      <c r="N64" s="59"/>
      <c r="O64" s="59"/>
      <c r="P64" s="105"/>
      <c r="Q64" s="105"/>
      <c r="R64" s="105"/>
      <c r="S64" s="105"/>
      <c r="T64" s="105"/>
      <c r="U64" s="90"/>
      <c r="V64" s="90"/>
      <c r="W64" s="93"/>
      <c r="X64" s="96"/>
      <c r="Y64" s="96"/>
      <c r="Z64" s="29">
        <v>0</v>
      </c>
      <c r="AA64" s="145">
        <v>0</v>
      </c>
      <c r="AB64" s="145">
        <v>0</v>
      </c>
      <c r="AC64" s="145">
        <v>0</v>
      </c>
      <c r="AD64" s="145">
        <v>0</v>
      </c>
      <c r="AE64" s="145">
        <v>0</v>
      </c>
      <c r="AF64" s="145">
        <v>0</v>
      </c>
      <c r="AG64" s="142">
        <f t="shared" si="6"/>
        <v>0</v>
      </c>
      <c r="AH64" s="141"/>
      <c r="AI64" s="67"/>
      <c r="AJ64" s="67"/>
      <c r="AK64" s="24"/>
      <c r="AL64" s="24"/>
      <c r="AM64" s="24"/>
      <c r="AN64" s="71"/>
      <c r="AO64" s="69"/>
      <c r="AP64" s="141"/>
      <c r="AQ64" s="141"/>
      <c r="AR64" s="141"/>
      <c r="AS64" s="141"/>
      <c r="AT64" s="141"/>
      <c r="AU64" s="141"/>
      <c r="AV64" s="141"/>
      <c r="AW64" s="141"/>
      <c r="AX64" s="141"/>
      <c r="AY64" s="141"/>
    </row>
    <row r="65" spans="1:51" ht="45" customHeight="1">
      <c r="A65" s="153">
        <f t="shared" si="5"/>
        <v>62</v>
      </c>
      <c r="B65" s="153" t="s">
        <v>57</v>
      </c>
      <c r="C65" s="58"/>
      <c r="D65" s="28"/>
      <c r="E65" s="69"/>
      <c r="F65" s="39">
        <v>0</v>
      </c>
      <c r="G65" s="141"/>
      <c r="H65" s="141"/>
      <c r="I65" s="141"/>
      <c r="J65" s="141"/>
      <c r="K65" s="141"/>
      <c r="L65" s="69"/>
      <c r="M65" s="141"/>
      <c r="N65" s="59"/>
      <c r="O65" s="59"/>
      <c r="P65" s="105"/>
      <c r="Q65" s="105"/>
      <c r="R65" s="105"/>
      <c r="S65" s="105"/>
      <c r="T65" s="105"/>
      <c r="U65" s="90"/>
      <c r="V65" s="90"/>
      <c r="W65" s="93"/>
      <c r="X65" s="96"/>
      <c r="Y65" s="96"/>
      <c r="Z65" s="29">
        <v>0</v>
      </c>
      <c r="AA65" s="145">
        <v>0</v>
      </c>
      <c r="AB65" s="145">
        <v>0</v>
      </c>
      <c r="AC65" s="145">
        <v>0</v>
      </c>
      <c r="AD65" s="145">
        <v>0</v>
      </c>
      <c r="AE65" s="145">
        <v>0</v>
      </c>
      <c r="AF65" s="145">
        <v>0</v>
      </c>
      <c r="AG65" s="142">
        <f t="shared" si="6"/>
        <v>0</v>
      </c>
      <c r="AH65" s="141"/>
      <c r="AI65" s="67"/>
      <c r="AJ65" s="67"/>
      <c r="AK65" s="24"/>
      <c r="AL65" s="24"/>
      <c r="AM65" s="24"/>
      <c r="AN65" s="71"/>
      <c r="AO65" s="69"/>
      <c r="AP65" s="141"/>
      <c r="AQ65" s="141"/>
      <c r="AR65" s="141"/>
      <c r="AS65" s="141"/>
      <c r="AT65" s="141"/>
      <c r="AU65" s="141"/>
      <c r="AV65" s="141"/>
      <c r="AW65" s="141"/>
      <c r="AX65" s="141"/>
      <c r="AY65" s="141"/>
    </row>
    <row r="66" spans="1:51" ht="45" customHeight="1">
      <c r="A66" s="153">
        <f t="shared" si="5"/>
        <v>63</v>
      </c>
      <c r="B66" s="153" t="s">
        <v>57</v>
      </c>
      <c r="C66" s="140"/>
      <c r="D66" s="28"/>
      <c r="E66" s="69"/>
      <c r="F66" s="39">
        <v>0</v>
      </c>
      <c r="G66" s="21"/>
      <c r="H66" s="21"/>
      <c r="I66" s="21"/>
      <c r="J66" s="141"/>
      <c r="K66" s="21"/>
      <c r="L66" s="69"/>
      <c r="M66" s="141"/>
      <c r="N66" s="59"/>
      <c r="O66" s="59"/>
      <c r="P66" s="105"/>
      <c r="Q66" s="105"/>
      <c r="R66" s="105"/>
      <c r="S66" s="105"/>
      <c r="T66" s="105"/>
      <c r="U66" s="90"/>
      <c r="V66" s="90"/>
      <c r="W66" s="93"/>
      <c r="X66" s="96"/>
      <c r="Y66" s="96"/>
      <c r="Z66" s="29">
        <v>0</v>
      </c>
      <c r="AA66" s="145">
        <v>0</v>
      </c>
      <c r="AB66" s="145">
        <v>0</v>
      </c>
      <c r="AC66" s="145">
        <v>0</v>
      </c>
      <c r="AD66" s="145">
        <v>0</v>
      </c>
      <c r="AE66" s="145">
        <v>0</v>
      </c>
      <c r="AF66" s="145">
        <v>0</v>
      </c>
      <c r="AG66" s="142">
        <f t="shared" si="6"/>
        <v>0</v>
      </c>
      <c r="AH66" s="141"/>
      <c r="AI66" s="67"/>
      <c r="AJ66" s="67"/>
      <c r="AK66" s="24"/>
      <c r="AL66" s="24"/>
      <c r="AM66" s="24"/>
      <c r="AN66" s="71"/>
      <c r="AO66" s="69"/>
      <c r="AP66" s="141"/>
      <c r="AQ66" s="141"/>
      <c r="AR66" s="141"/>
      <c r="AS66" s="141"/>
      <c r="AT66" s="141"/>
      <c r="AU66" s="141"/>
      <c r="AV66" s="141"/>
      <c r="AW66" s="141"/>
      <c r="AX66" s="141"/>
      <c r="AY66" s="141"/>
    </row>
    <row r="67" spans="1:51" ht="45" customHeight="1">
      <c r="A67" s="153">
        <f t="shared" si="5"/>
        <v>64</v>
      </c>
      <c r="B67" s="153" t="s">
        <v>57</v>
      </c>
      <c r="C67" s="140"/>
      <c r="D67" s="28"/>
      <c r="E67" s="69"/>
      <c r="F67" s="39">
        <v>0</v>
      </c>
      <c r="G67" s="141"/>
      <c r="H67" s="141"/>
      <c r="I67" s="141"/>
      <c r="J67" s="141"/>
      <c r="K67" s="141"/>
      <c r="L67" s="69"/>
      <c r="M67" s="141"/>
      <c r="N67" s="59"/>
      <c r="O67" s="59"/>
      <c r="P67" s="105"/>
      <c r="Q67" s="105"/>
      <c r="R67" s="105"/>
      <c r="S67" s="105"/>
      <c r="T67" s="105"/>
      <c r="U67" s="90"/>
      <c r="V67" s="90"/>
      <c r="W67" s="93"/>
      <c r="X67" s="96"/>
      <c r="Y67" s="96"/>
      <c r="Z67" s="29">
        <v>0</v>
      </c>
      <c r="AA67" s="145">
        <v>0</v>
      </c>
      <c r="AB67" s="145">
        <v>0</v>
      </c>
      <c r="AC67" s="145">
        <v>0</v>
      </c>
      <c r="AD67" s="145">
        <v>0</v>
      </c>
      <c r="AE67" s="145">
        <v>0</v>
      </c>
      <c r="AF67" s="145">
        <v>0</v>
      </c>
      <c r="AG67" s="142">
        <f t="shared" si="6"/>
        <v>0</v>
      </c>
      <c r="AH67" s="141"/>
      <c r="AI67" s="67"/>
      <c r="AJ67" s="67"/>
      <c r="AK67" s="24"/>
      <c r="AL67" s="24"/>
      <c r="AM67" s="24"/>
      <c r="AN67" s="71"/>
      <c r="AO67" s="69"/>
      <c r="AP67" s="141"/>
      <c r="AQ67" s="141"/>
      <c r="AR67" s="141"/>
      <c r="AS67" s="141"/>
      <c r="AT67" s="141"/>
      <c r="AU67" s="141"/>
      <c r="AV67" s="141"/>
      <c r="AW67" s="141"/>
      <c r="AX67" s="141"/>
      <c r="AY67" s="141"/>
    </row>
    <row r="68" spans="1:51" ht="45" customHeight="1">
      <c r="A68" s="153">
        <f t="shared" ref="A68:A99" si="7">A67+1</f>
        <v>65</v>
      </c>
      <c r="B68" s="153" t="s">
        <v>57</v>
      </c>
      <c r="C68" s="140"/>
      <c r="D68" s="28"/>
      <c r="E68" s="69"/>
      <c r="F68" s="39">
        <v>0</v>
      </c>
      <c r="G68" s="141"/>
      <c r="H68" s="141"/>
      <c r="I68" s="141"/>
      <c r="J68" s="141"/>
      <c r="K68" s="141"/>
      <c r="L68" s="69"/>
      <c r="M68" s="141"/>
      <c r="N68" s="59"/>
      <c r="O68" s="59"/>
      <c r="P68" s="105"/>
      <c r="Q68" s="105"/>
      <c r="R68" s="105"/>
      <c r="S68" s="105"/>
      <c r="T68" s="105"/>
      <c r="U68" s="90"/>
      <c r="V68" s="90"/>
      <c r="W68" s="93"/>
      <c r="X68" s="96"/>
      <c r="Y68" s="96"/>
      <c r="Z68" s="29">
        <v>0</v>
      </c>
      <c r="AA68" s="145">
        <v>0</v>
      </c>
      <c r="AB68" s="145">
        <v>0</v>
      </c>
      <c r="AC68" s="145">
        <v>0</v>
      </c>
      <c r="AD68" s="145">
        <v>0</v>
      </c>
      <c r="AE68" s="145">
        <v>0</v>
      </c>
      <c r="AF68" s="145">
        <v>0</v>
      </c>
      <c r="AG68" s="142">
        <f t="shared" si="6"/>
        <v>0</v>
      </c>
      <c r="AH68" s="141"/>
      <c r="AI68" s="67"/>
      <c r="AJ68" s="67"/>
      <c r="AK68" s="24"/>
      <c r="AL68" s="24"/>
      <c r="AM68" s="24"/>
      <c r="AN68" s="71"/>
      <c r="AO68" s="69"/>
      <c r="AP68" s="141"/>
      <c r="AQ68" s="141"/>
      <c r="AR68" s="141"/>
      <c r="AS68" s="141"/>
      <c r="AT68" s="141"/>
      <c r="AU68" s="141"/>
      <c r="AV68" s="141"/>
      <c r="AW68" s="141"/>
      <c r="AX68" s="141"/>
      <c r="AY68" s="141"/>
    </row>
    <row r="69" spans="1:51" ht="45" customHeight="1">
      <c r="A69" s="153">
        <f t="shared" si="7"/>
        <v>66</v>
      </c>
      <c r="B69" s="153"/>
      <c r="C69" s="140"/>
      <c r="D69" s="28"/>
      <c r="E69" s="69"/>
      <c r="F69" s="39">
        <v>0</v>
      </c>
      <c r="G69" s="141"/>
      <c r="H69" s="141"/>
      <c r="I69" s="141"/>
      <c r="J69" s="141"/>
      <c r="K69" s="141"/>
      <c r="L69" s="69"/>
      <c r="M69" s="141"/>
      <c r="N69" s="59"/>
      <c r="O69" s="59"/>
      <c r="P69" s="105"/>
      <c r="Q69" s="105"/>
      <c r="R69" s="105"/>
      <c r="S69" s="105"/>
      <c r="T69" s="105"/>
      <c r="U69" s="90"/>
      <c r="V69" s="90"/>
      <c r="W69" s="93"/>
      <c r="X69" s="96"/>
      <c r="Y69" s="96"/>
      <c r="Z69" s="29">
        <v>0</v>
      </c>
      <c r="AA69" s="145">
        <v>0</v>
      </c>
      <c r="AB69" s="145">
        <v>0</v>
      </c>
      <c r="AC69" s="145">
        <v>0</v>
      </c>
      <c r="AD69" s="145">
        <v>0</v>
      </c>
      <c r="AE69" s="145">
        <v>0</v>
      </c>
      <c r="AF69" s="145">
        <v>0</v>
      </c>
      <c r="AG69" s="142">
        <f t="shared" si="6"/>
        <v>0</v>
      </c>
      <c r="AH69" s="141"/>
      <c r="AI69" s="67"/>
      <c r="AJ69" s="67"/>
      <c r="AK69" s="24"/>
      <c r="AL69" s="24"/>
      <c r="AM69" s="24"/>
      <c r="AN69" s="71"/>
      <c r="AO69" s="69"/>
      <c r="AP69" s="141"/>
      <c r="AQ69" s="141"/>
      <c r="AR69" s="141"/>
      <c r="AS69" s="141"/>
      <c r="AT69" s="141"/>
      <c r="AU69" s="141"/>
      <c r="AV69" s="141"/>
      <c r="AW69" s="141"/>
      <c r="AX69" s="141"/>
      <c r="AY69" s="141"/>
    </row>
    <row r="70" spans="1:51" ht="45" customHeight="1">
      <c r="A70" s="153">
        <f t="shared" si="7"/>
        <v>67</v>
      </c>
      <c r="B70" s="153"/>
      <c r="C70" s="140"/>
      <c r="D70" s="28"/>
      <c r="E70" s="69"/>
      <c r="F70" s="39">
        <v>0</v>
      </c>
      <c r="G70" s="141"/>
      <c r="H70" s="141"/>
      <c r="I70" s="141"/>
      <c r="J70" s="141"/>
      <c r="K70" s="141"/>
      <c r="L70" s="69"/>
      <c r="M70" s="141"/>
      <c r="N70" s="59"/>
      <c r="O70" s="59"/>
      <c r="P70" s="105"/>
      <c r="Q70" s="105"/>
      <c r="R70" s="105"/>
      <c r="S70" s="105"/>
      <c r="T70" s="105"/>
      <c r="U70" s="90"/>
      <c r="V70" s="90"/>
      <c r="W70" s="93"/>
      <c r="X70" s="96"/>
      <c r="Y70" s="96"/>
      <c r="Z70" s="29">
        <v>0</v>
      </c>
      <c r="AA70" s="145">
        <v>0</v>
      </c>
      <c r="AB70" s="145">
        <v>0</v>
      </c>
      <c r="AC70" s="145">
        <v>0</v>
      </c>
      <c r="AD70" s="145">
        <v>0</v>
      </c>
      <c r="AE70" s="145">
        <v>0</v>
      </c>
      <c r="AF70" s="145">
        <v>0</v>
      </c>
      <c r="AG70" s="142">
        <f t="shared" ref="AG70:AG101" si="8">AVERAGE(Z70:AF70)</f>
        <v>0</v>
      </c>
      <c r="AH70" s="141"/>
      <c r="AI70" s="67"/>
      <c r="AJ70" s="67"/>
      <c r="AK70" s="24"/>
      <c r="AL70" s="24"/>
      <c r="AM70" s="24"/>
      <c r="AN70" s="71"/>
      <c r="AO70" s="69"/>
      <c r="AP70" s="141"/>
      <c r="AQ70" s="141"/>
      <c r="AR70" s="141"/>
      <c r="AS70" s="141"/>
      <c r="AT70" s="141"/>
      <c r="AU70" s="141"/>
      <c r="AV70" s="141"/>
      <c r="AW70" s="141"/>
      <c r="AX70" s="141"/>
      <c r="AY70" s="141"/>
    </row>
    <row r="71" spans="1:51" ht="45" customHeight="1">
      <c r="A71" s="153">
        <f t="shared" si="7"/>
        <v>68</v>
      </c>
      <c r="B71" s="153"/>
      <c r="C71" s="140"/>
      <c r="D71" s="28"/>
      <c r="E71" s="69"/>
      <c r="F71" s="39">
        <v>0</v>
      </c>
      <c r="G71" s="141"/>
      <c r="H71" s="141"/>
      <c r="I71" s="141"/>
      <c r="J71" s="141"/>
      <c r="K71" s="141"/>
      <c r="L71" s="69"/>
      <c r="M71" s="141"/>
      <c r="N71" s="59"/>
      <c r="O71" s="59"/>
      <c r="P71" s="105"/>
      <c r="Q71" s="105"/>
      <c r="R71" s="105"/>
      <c r="S71" s="105"/>
      <c r="T71" s="105"/>
      <c r="U71" s="90"/>
      <c r="V71" s="90"/>
      <c r="W71" s="93"/>
      <c r="X71" s="96"/>
      <c r="Y71" s="96"/>
      <c r="Z71" s="29">
        <v>0</v>
      </c>
      <c r="AA71" s="145">
        <v>0</v>
      </c>
      <c r="AB71" s="145">
        <v>0</v>
      </c>
      <c r="AC71" s="145">
        <v>0</v>
      </c>
      <c r="AD71" s="145">
        <v>0</v>
      </c>
      <c r="AE71" s="145">
        <v>0</v>
      </c>
      <c r="AF71" s="145">
        <v>0</v>
      </c>
      <c r="AG71" s="142">
        <f t="shared" si="8"/>
        <v>0</v>
      </c>
      <c r="AH71" s="141"/>
      <c r="AI71" s="67"/>
      <c r="AJ71" s="67"/>
      <c r="AK71" s="24"/>
      <c r="AL71" s="24"/>
      <c r="AM71" s="24"/>
      <c r="AN71" s="71"/>
      <c r="AO71" s="69"/>
      <c r="AP71" s="141"/>
      <c r="AQ71" s="141"/>
      <c r="AR71" s="141"/>
      <c r="AS71" s="141"/>
      <c r="AT71" s="141"/>
      <c r="AU71" s="141"/>
      <c r="AV71" s="141"/>
      <c r="AW71" s="141"/>
      <c r="AX71" s="141"/>
      <c r="AY71" s="141"/>
    </row>
    <row r="72" spans="1:51" ht="45" customHeight="1">
      <c r="A72" s="153">
        <f t="shared" si="7"/>
        <v>69</v>
      </c>
      <c r="B72" s="153"/>
      <c r="C72" s="140"/>
      <c r="D72" s="28"/>
      <c r="E72" s="69"/>
      <c r="F72" s="39">
        <v>0</v>
      </c>
      <c r="G72" s="141"/>
      <c r="H72" s="141"/>
      <c r="I72" s="141"/>
      <c r="J72" s="141"/>
      <c r="K72" s="141"/>
      <c r="L72" s="69"/>
      <c r="M72" s="141"/>
      <c r="N72" s="59"/>
      <c r="O72" s="59"/>
      <c r="P72" s="105"/>
      <c r="Q72" s="105"/>
      <c r="R72" s="105"/>
      <c r="S72" s="105"/>
      <c r="T72" s="105"/>
      <c r="U72" s="90"/>
      <c r="V72" s="90"/>
      <c r="W72" s="93"/>
      <c r="X72" s="96"/>
      <c r="Y72" s="96"/>
      <c r="Z72" s="29">
        <v>0</v>
      </c>
      <c r="AA72" s="145">
        <v>0</v>
      </c>
      <c r="AB72" s="145">
        <v>0</v>
      </c>
      <c r="AC72" s="145">
        <v>0</v>
      </c>
      <c r="AD72" s="145">
        <v>0</v>
      </c>
      <c r="AE72" s="145">
        <v>0</v>
      </c>
      <c r="AF72" s="145">
        <v>0</v>
      </c>
      <c r="AG72" s="142">
        <f t="shared" si="8"/>
        <v>0</v>
      </c>
      <c r="AH72" s="141"/>
      <c r="AI72" s="67"/>
      <c r="AJ72" s="67"/>
      <c r="AK72" s="24"/>
      <c r="AL72" s="24"/>
      <c r="AM72" s="24"/>
      <c r="AN72" s="71"/>
      <c r="AO72" s="69"/>
      <c r="AP72" s="141"/>
      <c r="AQ72" s="141"/>
      <c r="AR72" s="141"/>
      <c r="AS72" s="141"/>
      <c r="AT72" s="141"/>
      <c r="AU72" s="141"/>
      <c r="AV72" s="141"/>
      <c r="AW72" s="141"/>
      <c r="AX72" s="141"/>
      <c r="AY72" s="141"/>
    </row>
    <row r="73" spans="1:51" ht="45" customHeight="1">
      <c r="A73" s="153">
        <f t="shared" si="7"/>
        <v>70</v>
      </c>
      <c r="B73" s="153"/>
      <c r="C73" s="140"/>
      <c r="D73" s="28"/>
      <c r="E73" s="69"/>
      <c r="F73" s="39">
        <v>0</v>
      </c>
      <c r="G73" s="141"/>
      <c r="H73" s="35"/>
      <c r="I73" s="35"/>
      <c r="J73" s="35"/>
      <c r="K73" s="65"/>
      <c r="L73" s="69"/>
      <c r="M73" s="141"/>
      <c r="N73" s="59"/>
      <c r="O73" s="59"/>
      <c r="P73" s="105"/>
      <c r="Q73" s="105"/>
      <c r="R73" s="105"/>
      <c r="S73" s="105"/>
      <c r="T73" s="105"/>
      <c r="U73" s="90"/>
      <c r="V73" s="90"/>
      <c r="W73" s="93"/>
      <c r="X73" s="95"/>
      <c r="Y73" s="95"/>
      <c r="Z73" s="29">
        <v>0</v>
      </c>
      <c r="AA73" s="145">
        <v>0</v>
      </c>
      <c r="AB73" s="145">
        <v>0</v>
      </c>
      <c r="AC73" s="145">
        <v>0</v>
      </c>
      <c r="AD73" s="145">
        <v>0</v>
      </c>
      <c r="AE73" s="145">
        <v>0</v>
      </c>
      <c r="AF73" s="145">
        <v>0</v>
      </c>
      <c r="AG73" s="142">
        <f t="shared" si="8"/>
        <v>0</v>
      </c>
      <c r="AH73" s="141"/>
      <c r="AI73" s="67"/>
      <c r="AJ73" s="67"/>
      <c r="AK73" s="24"/>
      <c r="AL73" s="24"/>
      <c r="AM73" s="24"/>
      <c r="AN73" s="71"/>
      <c r="AO73" s="69"/>
      <c r="AP73" s="141"/>
      <c r="AQ73" s="141"/>
      <c r="AR73" s="141"/>
      <c r="AS73" s="141"/>
      <c r="AT73" s="141"/>
      <c r="AU73" s="141"/>
      <c r="AV73" s="141"/>
      <c r="AW73" s="141"/>
      <c r="AX73" s="141"/>
      <c r="AY73" s="141"/>
    </row>
    <row r="74" spans="1:51" ht="45" customHeight="1">
      <c r="A74" s="153">
        <f t="shared" si="7"/>
        <v>71</v>
      </c>
      <c r="B74" s="153"/>
      <c r="C74" s="140"/>
      <c r="D74" s="28"/>
      <c r="E74" s="69"/>
      <c r="F74" s="39">
        <v>0</v>
      </c>
      <c r="G74" s="141"/>
      <c r="H74" s="141"/>
      <c r="I74" s="141"/>
      <c r="J74" s="141"/>
      <c r="K74" s="141"/>
      <c r="L74" s="69"/>
      <c r="M74" s="141"/>
      <c r="N74" s="59"/>
      <c r="O74" s="59"/>
      <c r="P74" s="105"/>
      <c r="Q74" s="105"/>
      <c r="R74" s="105"/>
      <c r="S74" s="105"/>
      <c r="T74" s="105"/>
      <c r="U74" s="90"/>
      <c r="V74" s="90"/>
      <c r="W74" s="93"/>
      <c r="X74" s="93"/>
      <c r="Y74" s="93"/>
      <c r="Z74" s="29">
        <v>0</v>
      </c>
      <c r="AA74" s="145">
        <v>0</v>
      </c>
      <c r="AB74" s="145">
        <v>0</v>
      </c>
      <c r="AC74" s="145">
        <v>0</v>
      </c>
      <c r="AD74" s="145">
        <v>0</v>
      </c>
      <c r="AE74" s="145">
        <v>0</v>
      </c>
      <c r="AF74" s="145">
        <v>0</v>
      </c>
      <c r="AG74" s="142">
        <f t="shared" si="8"/>
        <v>0</v>
      </c>
      <c r="AH74" s="141"/>
      <c r="AI74" s="67"/>
      <c r="AJ74" s="67"/>
      <c r="AK74" s="24"/>
      <c r="AL74" s="24"/>
      <c r="AM74" s="24"/>
      <c r="AN74" s="71"/>
      <c r="AO74" s="69"/>
      <c r="AP74" s="141"/>
      <c r="AQ74" s="141"/>
      <c r="AR74" s="141"/>
      <c r="AS74" s="141"/>
      <c r="AT74" s="141"/>
      <c r="AU74" s="141"/>
      <c r="AV74" s="141"/>
      <c r="AW74" s="141"/>
      <c r="AX74" s="141"/>
      <c r="AY74" s="141"/>
    </row>
    <row r="75" spans="1:51" ht="45" customHeight="1">
      <c r="A75" s="153">
        <f t="shared" si="7"/>
        <v>72</v>
      </c>
      <c r="B75" s="153"/>
      <c r="C75" s="140"/>
      <c r="D75" s="28"/>
      <c r="E75" s="69"/>
      <c r="F75" s="39">
        <v>0</v>
      </c>
      <c r="G75" s="141"/>
      <c r="H75" s="141"/>
      <c r="I75" s="141"/>
      <c r="J75" s="141"/>
      <c r="K75" s="141"/>
      <c r="L75" s="69"/>
      <c r="M75" s="141"/>
      <c r="N75" s="59"/>
      <c r="O75" s="59"/>
      <c r="P75" s="105"/>
      <c r="Q75" s="105"/>
      <c r="R75" s="105"/>
      <c r="S75" s="105"/>
      <c r="T75" s="105"/>
      <c r="U75" s="90"/>
      <c r="V75" s="90"/>
      <c r="W75" s="93"/>
      <c r="X75" s="93"/>
      <c r="Y75" s="93"/>
      <c r="Z75" s="29">
        <v>0</v>
      </c>
      <c r="AA75" s="145">
        <v>0</v>
      </c>
      <c r="AB75" s="145">
        <v>0</v>
      </c>
      <c r="AC75" s="145">
        <v>0</v>
      </c>
      <c r="AD75" s="145">
        <v>0</v>
      </c>
      <c r="AE75" s="145">
        <v>0</v>
      </c>
      <c r="AF75" s="145">
        <v>0</v>
      </c>
      <c r="AG75" s="142">
        <f t="shared" si="8"/>
        <v>0</v>
      </c>
      <c r="AH75" s="141"/>
      <c r="AI75" s="67"/>
      <c r="AJ75" s="67"/>
      <c r="AK75" s="24"/>
      <c r="AL75" s="24"/>
      <c r="AM75" s="24"/>
      <c r="AN75" s="71"/>
      <c r="AO75" s="69"/>
      <c r="AP75" s="141"/>
      <c r="AQ75" s="141"/>
      <c r="AR75" s="141"/>
      <c r="AS75" s="141"/>
      <c r="AT75" s="141"/>
      <c r="AU75" s="141"/>
      <c r="AV75" s="141"/>
      <c r="AW75" s="141"/>
      <c r="AX75" s="141"/>
      <c r="AY75" s="141"/>
    </row>
    <row r="76" spans="1:51" ht="45" customHeight="1">
      <c r="A76" s="153">
        <f t="shared" si="7"/>
        <v>73</v>
      </c>
      <c r="B76" s="153"/>
      <c r="C76" s="140"/>
      <c r="D76" s="28"/>
      <c r="E76" s="69"/>
      <c r="F76" s="39">
        <v>0</v>
      </c>
      <c r="G76" s="141"/>
      <c r="H76" s="141"/>
      <c r="I76" s="141"/>
      <c r="J76" s="141"/>
      <c r="K76" s="141"/>
      <c r="L76" s="69"/>
      <c r="M76" s="141"/>
      <c r="N76" s="59"/>
      <c r="O76" s="59"/>
      <c r="P76" s="105"/>
      <c r="Q76" s="105"/>
      <c r="R76" s="105"/>
      <c r="S76" s="105"/>
      <c r="T76" s="105"/>
      <c r="U76" s="90"/>
      <c r="V76" s="90"/>
      <c r="W76" s="93"/>
      <c r="X76" s="93"/>
      <c r="Y76" s="93"/>
      <c r="Z76" s="29">
        <v>0</v>
      </c>
      <c r="AA76" s="145">
        <v>0</v>
      </c>
      <c r="AB76" s="145">
        <v>0</v>
      </c>
      <c r="AC76" s="145">
        <v>0</v>
      </c>
      <c r="AD76" s="145">
        <v>0</v>
      </c>
      <c r="AE76" s="145">
        <v>0</v>
      </c>
      <c r="AF76" s="145">
        <v>0</v>
      </c>
      <c r="AG76" s="142">
        <f t="shared" si="8"/>
        <v>0</v>
      </c>
      <c r="AH76" s="141"/>
      <c r="AI76" s="67"/>
      <c r="AJ76" s="67"/>
      <c r="AK76" s="24"/>
      <c r="AL76" s="24"/>
      <c r="AM76" s="24"/>
      <c r="AN76" s="71"/>
      <c r="AO76" s="69"/>
      <c r="AP76" s="141"/>
      <c r="AQ76" s="141"/>
      <c r="AR76" s="141"/>
      <c r="AS76" s="141"/>
      <c r="AT76" s="141"/>
      <c r="AU76" s="141"/>
      <c r="AV76" s="141"/>
      <c r="AW76" s="141"/>
      <c r="AX76" s="141"/>
      <c r="AY76" s="141"/>
    </row>
    <row r="77" spans="1:51" ht="45" customHeight="1">
      <c r="A77" s="153">
        <f t="shared" si="7"/>
        <v>74</v>
      </c>
      <c r="B77" s="153"/>
      <c r="C77" s="140"/>
      <c r="D77" s="28"/>
      <c r="E77" s="69"/>
      <c r="F77" s="39">
        <v>0</v>
      </c>
      <c r="G77" s="141"/>
      <c r="H77" s="141"/>
      <c r="I77" s="141"/>
      <c r="J77" s="141"/>
      <c r="K77" s="141"/>
      <c r="L77" s="69"/>
      <c r="M77" s="141"/>
      <c r="N77" s="59"/>
      <c r="O77" s="59"/>
      <c r="P77" s="105"/>
      <c r="Q77" s="105"/>
      <c r="R77" s="105"/>
      <c r="S77" s="105"/>
      <c r="T77" s="105"/>
      <c r="U77" s="90"/>
      <c r="V77" s="90"/>
      <c r="W77" s="93"/>
      <c r="X77" s="93"/>
      <c r="Y77" s="93"/>
      <c r="Z77" s="29">
        <v>0</v>
      </c>
      <c r="AA77" s="145">
        <v>0</v>
      </c>
      <c r="AB77" s="145">
        <v>0</v>
      </c>
      <c r="AC77" s="145">
        <v>0</v>
      </c>
      <c r="AD77" s="145">
        <v>0</v>
      </c>
      <c r="AE77" s="145">
        <v>0</v>
      </c>
      <c r="AF77" s="145">
        <v>0</v>
      </c>
      <c r="AG77" s="142">
        <f t="shared" si="8"/>
        <v>0</v>
      </c>
      <c r="AH77" s="141"/>
      <c r="AI77" s="67"/>
      <c r="AJ77" s="67"/>
      <c r="AK77" s="24"/>
      <c r="AL77" s="24"/>
      <c r="AM77" s="24"/>
      <c r="AN77" s="71"/>
      <c r="AO77" s="69"/>
      <c r="AP77" s="141"/>
      <c r="AQ77" s="141"/>
      <c r="AR77" s="141"/>
      <c r="AS77" s="141"/>
      <c r="AT77" s="141"/>
      <c r="AU77" s="141"/>
      <c r="AV77" s="141"/>
      <c r="AW77" s="141"/>
      <c r="AX77" s="141"/>
      <c r="AY77" s="141"/>
    </row>
    <row r="78" spans="1:51" ht="45" customHeight="1">
      <c r="A78" s="153">
        <f t="shared" si="7"/>
        <v>75</v>
      </c>
      <c r="B78" s="153"/>
      <c r="C78" s="140"/>
      <c r="D78" s="28"/>
      <c r="E78" s="69"/>
      <c r="F78" s="39">
        <v>0</v>
      </c>
      <c r="G78" s="141"/>
      <c r="H78" s="141"/>
      <c r="I78" s="141"/>
      <c r="J78" s="141"/>
      <c r="K78" s="141"/>
      <c r="L78" s="69"/>
      <c r="M78" s="141"/>
      <c r="N78" s="59"/>
      <c r="O78" s="59"/>
      <c r="P78" s="105"/>
      <c r="Q78" s="105"/>
      <c r="R78" s="105"/>
      <c r="S78" s="105"/>
      <c r="T78" s="105"/>
      <c r="U78" s="90"/>
      <c r="V78" s="90"/>
      <c r="W78" s="93"/>
      <c r="X78" s="93"/>
      <c r="Y78" s="93"/>
      <c r="Z78" s="29">
        <v>0</v>
      </c>
      <c r="AA78" s="145">
        <v>0</v>
      </c>
      <c r="AB78" s="145">
        <v>0</v>
      </c>
      <c r="AC78" s="145">
        <v>0</v>
      </c>
      <c r="AD78" s="145">
        <v>0</v>
      </c>
      <c r="AE78" s="145">
        <v>0</v>
      </c>
      <c r="AF78" s="145">
        <v>0</v>
      </c>
      <c r="AG78" s="142">
        <f t="shared" si="8"/>
        <v>0</v>
      </c>
      <c r="AH78" s="141"/>
      <c r="AI78" s="67"/>
      <c r="AJ78" s="67"/>
      <c r="AK78" s="24"/>
      <c r="AL78" s="24"/>
      <c r="AM78" s="24"/>
      <c r="AN78" s="71"/>
      <c r="AO78" s="69"/>
      <c r="AP78" s="141"/>
      <c r="AQ78" s="141"/>
      <c r="AR78" s="141"/>
      <c r="AS78" s="141"/>
      <c r="AT78" s="141"/>
      <c r="AU78" s="141"/>
      <c r="AV78" s="141"/>
      <c r="AW78" s="141"/>
      <c r="AX78" s="141"/>
      <c r="AY78" s="141"/>
    </row>
    <row r="79" spans="1:51" ht="45" customHeight="1">
      <c r="A79" s="153">
        <f t="shared" si="7"/>
        <v>76</v>
      </c>
      <c r="B79" s="153"/>
      <c r="C79" s="140"/>
      <c r="D79" s="28"/>
      <c r="E79" s="69"/>
      <c r="F79" s="39">
        <v>0</v>
      </c>
      <c r="G79" s="21"/>
      <c r="H79" s="21"/>
      <c r="I79" s="21"/>
      <c r="J79" s="141"/>
      <c r="K79" s="21"/>
      <c r="L79" s="69"/>
      <c r="M79" s="141"/>
      <c r="N79" s="59"/>
      <c r="O79" s="59"/>
      <c r="P79" s="105"/>
      <c r="Q79" s="105"/>
      <c r="R79" s="105"/>
      <c r="S79" s="105"/>
      <c r="T79" s="105"/>
      <c r="U79" s="90"/>
      <c r="V79" s="90"/>
      <c r="W79" s="93"/>
      <c r="X79" s="93"/>
      <c r="Y79" s="93"/>
      <c r="Z79" s="29">
        <v>0</v>
      </c>
      <c r="AA79" s="145">
        <v>0</v>
      </c>
      <c r="AB79" s="145">
        <v>0</v>
      </c>
      <c r="AC79" s="145">
        <v>0</v>
      </c>
      <c r="AD79" s="145">
        <v>0</v>
      </c>
      <c r="AE79" s="145">
        <v>0</v>
      </c>
      <c r="AF79" s="145">
        <v>0</v>
      </c>
      <c r="AG79" s="142">
        <f t="shared" si="8"/>
        <v>0</v>
      </c>
      <c r="AH79" s="141"/>
      <c r="AI79" s="67"/>
      <c r="AJ79" s="67"/>
      <c r="AK79" s="24"/>
      <c r="AL79" s="24"/>
      <c r="AM79" s="24"/>
      <c r="AN79" s="71"/>
      <c r="AO79" s="69"/>
      <c r="AP79" s="141"/>
      <c r="AQ79" s="141"/>
      <c r="AR79" s="141"/>
      <c r="AS79" s="141"/>
      <c r="AT79" s="141"/>
      <c r="AU79" s="141"/>
      <c r="AV79" s="141"/>
      <c r="AW79" s="141"/>
      <c r="AX79" s="141"/>
      <c r="AY79" s="141"/>
    </row>
    <row r="80" spans="1:51" ht="45" customHeight="1">
      <c r="A80" s="153">
        <f t="shared" si="7"/>
        <v>77</v>
      </c>
      <c r="B80" s="153"/>
      <c r="C80" s="140"/>
      <c r="D80" s="28"/>
      <c r="E80" s="69"/>
      <c r="F80" s="39">
        <v>0</v>
      </c>
      <c r="G80" s="53"/>
      <c r="H80" s="53"/>
      <c r="I80" s="53"/>
      <c r="J80" s="141"/>
      <c r="K80" s="141"/>
      <c r="L80" s="69"/>
      <c r="M80" s="141"/>
      <c r="N80" s="59"/>
      <c r="O80" s="59"/>
      <c r="P80" s="105"/>
      <c r="Q80" s="105"/>
      <c r="R80" s="105"/>
      <c r="S80" s="105"/>
      <c r="T80" s="105"/>
      <c r="U80" s="90"/>
      <c r="V80" s="90"/>
      <c r="W80" s="93"/>
      <c r="X80" s="93"/>
      <c r="Y80" s="93"/>
      <c r="Z80" s="29">
        <v>0</v>
      </c>
      <c r="AA80" s="145">
        <v>0</v>
      </c>
      <c r="AB80" s="145">
        <v>0</v>
      </c>
      <c r="AC80" s="145">
        <v>0</v>
      </c>
      <c r="AD80" s="145">
        <v>0</v>
      </c>
      <c r="AE80" s="145">
        <v>0</v>
      </c>
      <c r="AF80" s="145">
        <v>0</v>
      </c>
      <c r="AG80" s="142">
        <f t="shared" si="8"/>
        <v>0</v>
      </c>
      <c r="AH80" s="141"/>
      <c r="AI80" s="67"/>
      <c r="AJ80" s="67"/>
      <c r="AK80" s="24"/>
      <c r="AL80" s="24"/>
      <c r="AM80" s="24"/>
      <c r="AN80" s="71"/>
      <c r="AO80" s="69"/>
      <c r="AP80" s="141"/>
      <c r="AQ80" s="141"/>
      <c r="AR80" s="141"/>
      <c r="AS80" s="141"/>
      <c r="AT80" s="141"/>
      <c r="AU80" s="141"/>
      <c r="AV80" s="141"/>
      <c r="AW80" s="141"/>
      <c r="AX80" s="141"/>
      <c r="AY80" s="141"/>
    </row>
    <row r="81" spans="1:51" ht="45" customHeight="1">
      <c r="A81" s="153">
        <f t="shared" si="7"/>
        <v>78</v>
      </c>
      <c r="B81" s="153"/>
      <c r="C81" s="140"/>
      <c r="D81" s="28"/>
      <c r="E81" s="69"/>
      <c r="F81" s="39">
        <v>0</v>
      </c>
      <c r="G81" s="141"/>
      <c r="H81" s="141"/>
      <c r="I81" s="141"/>
      <c r="J81" s="141"/>
      <c r="K81" s="141"/>
      <c r="L81" s="69"/>
      <c r="M81" s="141"/>
      <c r="N81" s="59"/>
      <c r="O81" s="59"/>
      <c r="P81" s="105"/>
      <c r="Q81" s="105"/>
      <c r="R81" s="105"/>
      <c r="S81" s="105"/>
      <c r="T81" s="105"/>
      <c r="U81" s="90"/>
      <c r="V81" s="90"/>
      <c r="W81" s="93"/>
      <c r="X81" s="93"/>
      <c r="Y81" s="93"/>
      <c r="Z81" s="29">
        <v>0</v>
      </c>
      <c r="AA81" s="145">
        <v>0</v>
      </c>
      <c r="AB81" s="145">
        <v>0</v>
      </c>
      <c r="AC81" s="145">
        <v>0</v>
      </c>
      <c r="AD81" s="145">
        <v>0</v>
      </c>
      <c r="AE81" s="145">
        <v>0</v>
      </c>
      <c r="AF81" s="145">
        <v>0</v>
      </c>
      <c r="AG81" s="142">
        <f t="shared" si="8"/>
        <v>0</v>
      </c>
      <c r="AH81" s="141"/>
      <c r="AI81" s="67"/>
      <c r="AJ81" s="67"/>
      <c r="AK81" s="24"/>
      <c r="AL81" s="24"/>
      <c r="AM81" s="24"/>
      <c r="AN81" s="71"/>
      <c r="AO81" s="69"/>
      <c r="AP81" s="141"/>
      <c r="AQ81" s="141"/>
      <c r="AR81" s="141"/>
      <c r="AS81" s="141"/>
      <c r="AT81" s="141"/>
      <c r="AU81" s="141"/>
      <c r="AV81" s="141"/>
      <c r="AW81" s="141"/>
      <c r="AX81" s="141"/>
      <c r="AY81" s="141"/>
    </row>
    <row r="82" spans="1:51" ht="45" customHeight="1">
      <c r="A82" s="153">
        <f t="shared" si="7"/>
        <v>79</v>
      </c>
      <c r="B82" s="153"/>
      <c r="C82" s="140"/>
      <c r="D82" s="28"/>
      <c r="E82" s="69"/>
      <c r="F82" s="39">
        <v>0</v>
      </c>
      <c r="G82" s="141"/>
      <c r="H82" s="141"/>
      <c r="I82" s="141"/>
      <c r="J82" s="141"/>
      <c r="K82" s="141"/>
      <c r="L82" s="69"/>
      <c r="M82" s="141"/>
      <c r="N82" s="59"/>
      <c r="O82" s="59"/>
      <c r="P82" s="105"/>
      <c r="Q82" s="105"/>
      <c r="R82" s="105"/>
      <c r="S82" s="105"/>
      <c r="T82" s="105"/>
      <c r="U82" s="90"/>
      <c r="V82" s="90"/>
      <c r="W82" s="93"/>
      <c r="X82" s="93"/>
      <c r="Y82" s="93"/>
      <c r="Z82" s="29">
        <v>0</v>
      </c>
      <c r="AA82" s="145">
        <v>0</v>
      </c>
      <c r="AB82" s="145">
        <v>0</v>
      </c>
      <c r="AC82" s="145">
        <v>0</v>
      </c>
      <c r="AD82" s="145">
        <v>0</v>
      </c>
      <c r="AE82" s="145">
        <v>0</v>
      </c>
      <c r="AF82" s="145">
        <v>0</v>
      </c>
      <c r="AG82" s="142">
        <f t="shared" si="8"/>
        <v>0</v>
      </c>
      <c r="AH82" s="141"/>
      <c r="AI82" s="67"/>
      <c r="AJ82" s="67"/>
      <c r="AK82" s="24"/>
      <c r="AL82" s="24"/>
      <c r="AM82" s="24"/>
      <c r="AN82" s="71"/>
      <c r="AO82" s="69"/>
      <c r="AP82" s="141"/>
      <c r="AQ82" s="141"/>
      <c r="AR82" s="141"/>
      <c r="AS82" s="141"/>
      <c r="AT82" s="141"/>
      <c r="AU82" s="141"/>
      <c r="AV82" s="141"/>
      <c r="AW82" s="141"/>
      <c r="AX82" s="141"/>
      <c r="AY82" s="141"/>
    </row>
    <row r="83" spans="1:51" ht="45" customHeight="1">
      <c r="A83" s="153">
        <f t="shared" si="7"/>
        <v>80</v>
      </c>
      <c r="B83" s="153"/>
      <c r="C83" s="140"/>
      <c r="D83" s="28"/>
      <c r="E83" s="69"/>
      <c r="F83" s="39">
        <v>0</v>
      </c>
      <c r="G83" s="141"/>
      <c r="H83" s="141"/>
      <c r="I83" s="141"/>
      <c r="J83" s="141"/>
      <c r="K83" s="141"/>
      <c r="L83" s="69"/>
      <c r="M83" s="141"/>
      <c r="N83" s="59"/>
      <c r="O83" s="59"/>
      <c r="P83" s="105"/>
      <c r="Q83" s="105"/>
      <c r="R83" s="105"/>
      <c r="S83" s="105"/>
      <c r="T83" s="105"/>
      <c r="U83" s="90"/>
      <c r="V83" s="90"/>
      <c r="W83" s="93"/>
      <c r="X83" s="96"/>
      <c r="Y83" s="96"/>
      <c r="Z83" s="29">
        <v>0</v>
      </c>
      <c r="AA83" s="145">
        <v>0</v>
      </c>
      <c r="AB83" s="145">
        <v>0</v>
      </c>
      <c r="AC83" s="145">
        <v>0</v>
      </c>
      <c r="AD83" s="145">
        <v>0</v>
      </c>
      <c r="AE83" s="145">
        <v>0</v>
      </c>
      <c r="AF83" s="145">
        <v>0</v>
      </c>
      <c r="AG83" s="142">
        <f t="shared" si="8"/>
        <v>0</v>
      </c>
      <c r="AH83" s="141"/>
      <c r="AI83" s="67"/>
      <c r="AJ83" s="67"/>
      <c r="AK83" s="24"/>
      <c r="AL83" s="24"/>
      <c r="AM83" s="24"/>
      <c r="AN83" s="71"/>
      <c r="AO83" s="69"/>
      <c r="AP83" s="141"/>
      <c r="AQ83" s="141"/>
      <c r="AR83" s="141"/>
      <c r="AS83" s="141"/>
      <c r="AT83" s="141"/>
      <c r="AU83" s="141"/>
      <c r="AV83" s="141"/>
      <c r="AW83" s="141"/>
      <c r="AX83" s="141"/>
      <c r="AY83" s="141"/>
    </row>
    <row r="84" spans="1:51" ht="45" customHeight="1">
      <c r="A84" s="153">
        <f t="shared" si="7"/>
        <v>81</v>
      </c>
      <c r="B84" s="153"/>
      <c r="C84" s="140"/>
      <c r="D84" s="28"/>
      <c r="E84" s="69"/>
      <c r="F84" s="39">
        <v>0</v>
      </c>
      <c r="G84" s="141"/>
      <c r="H84" s="141"/>
      <c r="I84" s="141"/>
      <c r="J84" s="141"/>
      <c r="K84" s="21"/>
      <c r="L84" s="69"/>
      <c r="M84" s="141"/>
      <c r="N84" s="59"/>
      <c r="O84" s="59"/>
      <c r="P84" s="105"/>
      <c r="Q84" s="105"/>
      <c r="R84" s="105"/>
      <c r="S84" s="105"/>
      <c r="T84" s="105"/>
      <c r="U84" s="90"/>
      <c r="V84" s="90"/>
      <c r="W84" s="93"/>
      <c r="X84" s="93"/>
      <c r="Y84" s="93"/>
      <c r="Z84" s="29">
        <v>0</v>
      </c>
      <c r="AA84" s="145">
        <v>0</v>
      </c>
      <c r="AB84" s="145">
        <v>0</v>
      </c>
      <c r="AC84" s="145">
        <v>0</v>
      </c>
      <c r="AD84" s="145">
        <v>0</v>
      </c>
      <c r="AE84" s="145">
        <v>0</v>
      </c>
      <c r="AF84" s="145">
        <v>0</v>
      </c>
      <c r="AG84" s="142">
        <f t="shared" si="8"/>
        <v>0</v>
      </c>
      <c r="AH84" s="141"/>
      <c r="AI84" s="67"/>
      <c r="AJ84" s="67"/>
      <c r="AK84" s="24"/>
      <c r="AL84" s="24"/>
      <c r="AM84" s="24"/>
      <c r="AN84" s="71"/>
      <c r="AO84" s="69"/>
      <c r="AP84" s="141"/>
      <c r="AQ84" s="141"/>
      <c r="AR84" s="141"/>
      <c r="AS84" s="141"/>
      <c r="AT84" s="141"/>
      <c r="AU84" s="141"/>
      <c r="AV84" s="141"/>
      <c r="AW84" s="141"/>
      <c r="AX84" s="141"/>
      <c r="AY84" s="141"/>
    </row>
    <row r="85" spans="1:51" ht="45" customHeight="1">
      <c r="A85" s="153">
        <f t="shared" si="7"/>
        <v>82</v>
      </c>
      <c r="B85" s="153"/>
      <c r="C85" s="140"/>
      <c r="D85" s="28"/>
      <c r="E85" s="69"/>
      <c r="F85" s="39">
        <v>0</v>
      </c>
      <c r="G85" s="21"/>
      <c r="H85" s="21"/>
      <c r="I85" s="21"/>
      <c r="J85" s="141"/>
      <c r="K85" s="21"/>
      <c r="L85" s="69"/>
      <c r="M85" s="141"/>
      <c r="N85" s="59"/>
      <c r="O85" s="59"/>
      <c r="P85" s="105"/>
      <c r="Q85" s="105"/>
      <c r="R85" s="105"/>
      <c r="S85" s="105"/>
      <c r="T85" s="105"/>
      <c r="U85" s="90"/>
      <c r="V85" s="90"/>
      <c r="W85" s="93"/>
      <c r="X85" s="93"/>
      <c r="Y85" s="93"/>
      <c r="Z85" s="29">
        <v>0</v>
      </c>
      <c r="AA85" s="145">
        <v>0</v>
      </c>
      <c r="AB85" s="145">
        <v>0</v>
      </c>
      <c r="AC85" s="145">
        <v>0</v>
      </c>
      <c r="AD85" s="145">
        <v>0</v>
      </c>
      <c r="AE85" s="145">
        <v>0</v>
      </c>
      <c r="AF85" s="145">
        <v>0</v>
      </c>
      <c r="AG85" s="142">
        <f t="shared" si="8"/>
        <v>0</v>
      </c>
      <c r="AH85" s="141"/>
      <c r="AI85" s="67"/>
      <c r="AJ85" s="67"/>
      <c r="AK85" s="24"/>
      <c r="AL85" s="24"/>
      <c r="AM85" s="24"/>
      <c r="AN85" s="71"/>
      <c r="AO85" s="69"/>
      <c r="AP85" s="141"/>
      <c r="AQ85" s="141"/>
      <c r="AR85" s="141"/>
      <c r="AS85" s="141"/>
      <c r="AT85" s="141"/>
      <c r="AU85" s="141"/>
      <c r="AV85" s="141"/>
      <c r="AW85" s="141"/>
      <c r="AX85" s="141"/>
      <c r="AY85" s="141"/>
    </row>
    <row r="86" spans="1:51" ht="45" customHeight="1">
      <c r="A86" s="153">
        <f t="shared" si="7"/>
        <v>83</v>
      </c>
      <c r="B86" s="153"/>
      <c r="C86" s="140"/>
      <c r="D86" s="140"/>
      <c r="E86" s="69"/>
      <c r="F86" s="39">
        <v>0</v>
      </c>
      <c r="G86" s="21"/>
      <c r="H86" s="21"/>
      <c r="I86" s="21"/>
      <c r="J86" s="141"/>
      <c r="K86" s="21"/>
      <c r="L86" s="69"/>
      <c r="M86" s="141"/>
      <c r="N86" s="59"/>
      <c r="O86" s="59"/>
      <c r="P86" s="105"/>
      <c r="Q86" s="105"/>
      <c r="R86" s="105"/>
      <c r="S86" s="105"/>
      <c r="T86" s="105"/>
      <c r="U86" s="90"/>
      <c r="V86" s="90"/>
      <c r="W86" s="93"/>
      <c r="X86" s="93"/>
      <c r="Y86" s="93"/>
      <c r="Z86" s="29">
        <v>0</v>
      </c>
      <c r="AA86" s="145">
        <v>0</v>
      </c>
      <c r="AB86" s="145">
        <v>0</v>
      </c>
      <c r="AC86" s="145">
        <v>0</v>
      </c>
      <c r="AD86" s="145">
        <v>0</v>
      </c>
      <c r="AE86" s="145">
        <v>0</v>
      </c>
      <c r="AF86" s="145">
        <v>0</v>
      </c>
      <c r="AG86" s="142">
        <f t="shared" si="8"/>
        <v>0</v>
      </c>
      <c r="AH86" s="141"/>
      <c r="AI86" s="67"/>
      <c r="AJ86" s="67"/>
      <c r="AK86" s="24"/>
      <c r="AL86" s="24"/>
      <c r="AM86" s="24"/>
      <c r="AN86" s="71"/>
      <c r="AO86" s="69"/>
      <c r="AP86" s="141"/>
      <c r="AQ86" s="141"/>
      <c r="AR86" s="141"/>
      <c r="AS86" s="141"/>
      <c r="AT86" s="141"/>
      <c r="AU86" s="141"/>
      <c r="AV86" s="141"/>
      <c r="AW86" s="141"/>
      <c r="AX86" s="141"/>
      <c r="AY86" s="141"/>
    </row>
    <row r="87" spans="1:51" ht="45" customHeight="1">
      <c r="A87" s="153">
        <f t="shared" si="7"/>
        <v>84</v>
      </c>
      <c r="B87" s="153"/>
      <c r="C87" s="140"/>
      <c r="D87" s="28"/>
      <c r="E87" s="69"/>
      <c r="F87" s="39">
        <v>0</v>
      </c>
      <c r="G87" s="21"/>
      <c r="H87" s="21"/>
      <c r="I87" s="21"/>
      <c r="J87" s="141"/>
      <c r="K87" s="21"/>
      <c r="L87" s="69"/>
      <c r="M87" s="141"/>
      <c r="N87" s="59"/>
      <c r="O87" s="59"/>
      <c r="P87" s="105"/>
      <c r="Q87" s="105"/>
      <c r="R87" s="105"/>
      <c r="S87" s="105"/>
      <c r="T87" s="105"/>
      <c r="U87" s="90"/>
      <c r="V87" s="90"/>
      <c r="W87" s="93"/>
      <c r="X87" s="93"/>
      <c r="Y87" s="93"/>
      <c r="Z87" s="29">
        <v>0</v>
      </c>
      <c r="AA87" s="145">
        <v>0</v>
      </c>
      <c r="AB87" s="145">
        <v>0</v>
      </c>
      <c r="AC87" s="145">
        <v>0</v>
      </c>
      <c r="AD87" s="145">
        <v>0</v>
      </c>
      <c r="AE87" s="145">
        <v>0</v>
      </c>
      <c r="AF87" s="145">
        <v>0</v>
      </c>
      <c r="AG87" s="142">
        <f t="shared" si="8"/>
        <v>0</v>
      </c>
      <c r="AH87" s="141"/>
      <c r="AI87" s="67"/>
      <c r="AJ87" s="67"/>
      <c r="AK87" s="24"/>
      <c r="AL87" s="24"/>
      <c r="AM87" s="24"/>
      <c r="AN87" s="71"/>
      <c r="AO87" s="69"/>
      <c r="AP87" s="141"/>
      <c r="AQ87" s="141"/>
      <c r="AR87" s="141"/>
      <c r="AS87" s="141"/>
      <c r="AT87" s="141"/>
      <c r="AU87" s="141"/>
      <c r="AV87" s="141"/>
      <c r="AW87" s="141"/>
      <c r="AX87" s="141"/>
      <c r="AY87" s="141"/>
    </row>
    <row r="88" spans="1:51" ht="45" customHeight="1">
      <c r="A88" s="153">
        <f t="shared" si="7"/>
        <v>85</v>
      </c>
      <c r="B88" s="153"/>
      <c r="C88" s="140"/>
      <c r="D88" s="28"/>
      <c r="E88" s="69"/>
      <c r="F88" s="39">
        <v>0</v>
      </c>
      <c r="G88" s="21"/>
      <c r="H88" s="21"/>
      <c r="I88" s="21"/>
      <c r="J88" s="141"/>
      <c r="K88" s="21"/>
      <c r="L88" s="69"/>
      <c r="M88" s="141"/>
      <c r="N88" s="59"/>
      <c r="O88" s="59"/>
      <c r="P88" s="105"/>
      <c r="Q88" s="105"/>
      <c r="R88" s="105"/>
      <c r="S88" s="105"/>
      <c r="T88" s="105"/>
      <c r="U88" s="90"/>
      <c r="V88" s="90"/>
      <c r="W88" s="93"/>
      <c r="X88" s="93"/>
      <c r="Y88" s="93"/>
      <c r="Z88" s="29">
        <v>0</v>
      </c>
      <c r="AA88" s="145">
        <v>0</v>
      </c>
      <c r="AB88" s="145">
        <v>0</v>
      </c>
      <c r="AC88" s="145">
        <v>0</v>
      </c>
      <c r="AD88" s="145">
        <v>0</v>
      </c>
      <c r="AE88" s="145">
        <v>0</v>
      </c>
      <c r="AF88" s="145">
        <v>0</v>
      </c>
      <c r="AG88" s="142">
        <f t="shared" si="8"/>
        <v>0</v>
      </c>
      <c r="AH88" s="141"/>
      <c r="AI88" s="67"/>
      <c r="AJ88" s="67"/>
      <c r="AK88" s="24"/>
      <c r="AL88" s="24"/>
      <c r="AM88" s="24"/>
      <c r="AN88" s="71"/>
      <c r="AO88" s="69"/>
      <c r="AP88" s="141"/>
      <c r="AQ88" s="141"/>
      <c r="AR88" s="141"/>
      <c r="AS88" s="141"/>
      <c r="AT88" s="141"/>
      <c r="AU88" s="141"/>
      <c r="AV88" s="141"/>
      <c r="AW88" s="141"/>
      <c r="AX88" s="141"/>
      <c r="AY88" s="141"/>
    </row>
    <row r="89" spans="1:51" ht="45" customHeight="1">
      <c r="A89" s="153">
        <f t="shared" si="7"/>
        <v>86</v>
      </c>
      <c r="B89" s="153"/>
      <c r="C89" s="140"/>
      <c r="D89" s="28"/>
      <c r="E89" s="69"/>
      <c r="F89" s="39">
        <v>0</v>
      </c>
      <c r="G89" s="21"/>
      <c r="H89" s="21"/>
      <c r="I89" s="21"/>
      <c r="J89" s="141"/>
      <c r="K89" s="21"/>
      <c r="L89" s="69"/>
      <c r="M89" s="141"/>
      <c r="N89" s="59"/>
      <c r="O89" s="59"/>
      <c r="P89" s="105"/>
      <c r="Q89" s="105"/>
      <c r="R89" s="105"/>
      <c r="S89" s="105"/>
      <c r="T89" s="105"/>
      <c r="U89" s="90"/>
      <c r="V89" s="90"/>
      <c r="W89" s="93"/>
      <c r="X89" s="93"/>
      <c r="Y89" s="93"/>
      <c r="Z89" s="29">
        <v>0</v>
      </c>
      <c r="AA89" s="145">
        <v>0</v>
      </c>
      <c r="AB89" s="145">
        <v>0</v>
      </c>
      <c r="AC89" s="145">
        <v>0</v>
      </c>
      <c r="AD89" s="145">
        <v>0</v>
      </c>
      <c r="AE89" s="145">
        <v>0</v>
      </c>
      <c r="AF89" s="145">
        <v>0</v>
      </c>
      <c r="AG89" s="142">
        <f t="shared" si="8"/>
        <v>0</v>
      </c>
      <c r="AH89" s="141"/>
      <c r="AI89" s="67"/>
      <c r="AJ89" s="67"/>
      <c r="AK89" s="24"/>
      <c r="AL89" s="24"/>
      <c r="AM89" s="24"/>
      <c r="AN89" s="71"/>
      <c r="AO89" s="69"/>
      <c r="AP89" s="141"/>
      <c r="AQ89" s="141"/>
      <c r="AR89" s="141"/>
      <c r="AS89" s="141"/>
      <c r="AT89" s="141"/>
      <c r="AU89" s="141"/>
      <c r="AV89" s="141"/>
      <c r="AW89" s="141"/>
      <c r="AX89" s="141"/>
      <c r="AY89" s="141"/>
    </row>
    <row r="90" spans="1:51" ht="45" customHeight="1">
      <c r="A90" s="153">
        <f t="shared" si="7"/>
        <v>87</v>
      </c>
      <c r="B90" s="153"/>
      <c r="C90" s="140"/>
      <c r="D90" s="28"/>
      <c r="E90" s="69"/>
      <c r="F90" s="39">
        <v>0</v>
      </c>
      <c r="G90" s="21"/>
      <c r="H90" s="21"/>
      <c r="I90" s="21"/>
      <c r="J90" s="141"/>
      <c r="K90" s="21"/>
      <c r="L90" s="69"/>
      <c r="M90" s="141"/>
      <c r="N90" s="59"/>
      <c r="O90" s="59"/>
      <c r="P90" s="105"/>
      <c r="Q90" s="105"/>
      <c r="R90" s="105"/>
      <c r="S90" s="105"/>
      <c r="T90" s="105"/>
      <c r="U90" s="90"/>
      <c r="V90" s="90"/>
      <c r="W90" s="93"/>
      <c r="X90" s="93"/>
      <c r="Y90" s="93"/>
      <c r="Z90" s="29">
        <v>0</v>
      </c>
      <c r="AA90" s="145">
        <v>0</v>
      </c>
      <c r="AB90" s="145">
        <v>0</v>
      </c>
      <c r="AC90" s="145">
        <v>0</v>
      </c>
      <c r="AD90" s="145">
        <v>0</v>
      </c>
      <c r="AE90" s="145">
        <v>0</v>
      </c>
      <c r="AF90" s="145">
        <v>0</v>
      </c>
      <c r="AG90" s="142">
        <f t="shared" si="8"/>
        <v>0</v>
      </c>
      <c r="AH90" s="141"/>
      <c r="AI90" s="67"/>
      <c r="AJ90" s="67"/>
      <c r="AK90" s="24"/>
      <c r="AL90" s="24"/>
      <c r="AM90" s="24"/>
      <c r="AN90" s="71"/>
      <c r="AO90" s="69"/>
      <c r="AP90" s="141"/>
      <c r="AQ90" s="141"/>
      <c r="AR90" s="141"/>
      <c r="AS90" s="141"/>
      <c r="AT90" s="141"/>
      <c r="AU90" s="141"/>
      <c r="AV90" s="141"/>
      <c r="AW90" s="141"/>
      <c r="AX90" s="141"/>
      <c r="AY90" s="141"/>
    </row>
    <row r="91" spans="1:51" ht="45" customHeight="1">
      <c r="A91" s="153">
        <f t="shared" si="7"/>
        <v>88</v>
      </c>
      <c r="B91" s="153"/>
      <c r="C91" s="140"/>
      <c r="D91" s="28"/>
      <c r="E91" s="69"/>
      <c r="F91" s="39">
        <v>0</v>
      </c>
      <c r="G91" s="21"/>
      <c r="H91" s="21"/>
      <c r="I91" s="21"/>
      <c r="J91" s="141"/>
      <c r="K91" s="21"/>
      <c r="L91" s="69"/>
      <c r="M91" s="141"/>
      <c r="N91" s="59"/>
      <c r="O91" s="59"/>
      <c r="P91" s="105"/>
      <c r="Q91" s="105"/>
      <c r="R91" s="105"/>
      <c r="S91" s="105"/>
      <c r="T91" s="105"/>
      <c r="U91" s="90"/>
      <c r="V91" s="90"/>
      <c r="W91" s="93"/>
      <c r="X91" s="93"/>
      <c r="Y91" s="93"/>
      <c r="Z91" s="29">
        <v>0</v>
      </c>
      <c r="AA91" s="145">
        <v>0</v>
      </c>
      <c r="AB91" s="145">
        <v>0</v>
      </c>
      <c r="AC91" s="145">
        <v>0</v>
      </c>
      <c r="AD91" s="145">
        <v>0</v>
      </c>
      <c r="AE91" s="145">
        <v>0</v>
      </c>
      <c r="AF91" s="145">
        <v>0</v>
      </c>
      <c r="AG91" s="142">
        <f t="shared" si="8"/>
        <v>0</v>
      </c>
      <c r="AH91" s="141"/>
      <c r="AI91" s="67"/>
      <c r="AJ91" s="67"/>
      <c r="AK91" s="24"/>
      <c r="AL91" s="24"/>
      <c r="AM91" s="24"/>
      <c r="AN91" s="71"/>
      <c r="AO91" s="69"/>
      <c r="AP91" s="141"/>
      <c r="AQ91" s="141"/>
      <c r="AR91" s="141"/>
      <c r="AS91" s="141"/>
      <c r="AT91" s="141"/>
      <c r="AU91" s="141"/>
      <c r="AV91" s="141"/>
      <c r="AW91" s="141"/>
      <c r="AX91" s="141"/>
      <c r="AY91" s="141"/>
    </row>
    <row r="92" spans="1:51" ht="45" customHeight="1">
      <c r="A92" s="153">
        <f t="shared" si="7"/>
        <v>89</v>
      </c>
      <c r="B92" s="153"/>
      <c r="C92" s="140"/>
      <c r="D92" s="28"/>
      <c r="E92" s="69"/>
      <c r="F92" s="39">
        <v>0</v>
      </c>
      <c r="G92" s="21"/>
      <c r="H92" s="21"/>
      <c r="I92" s="21"/>
      <c r="J92" s="141"/>
      <c r="K92" s="21"/>
      <c r="L92" s="69"/>
      <c r="M92" s="141"/>
      <c r="N92" s="59"/>
      <c r="O92" s="59"/>
      <c r="P92" s="105"/>
      <c r="Q92" s="105"/>
      <c r="R92" s="105"/>
      <c r="S92" s="105"/>
      <c r="T92" s="105"/>
      <c r="U92" s="90"/>
      <c r="V92" s="90"/>
      <c r="W92" s="93"/>
      <c r="X92" s="93"/>
      <c r="Y92" s="93"/>
      <c r="Z92" s="29">
        <v>0</v>
      </c>
      <c r="AA92" s="145">
        <v>0</v>
      </c>
      <c r="AB92" s="145">
        <v>0</v>
      </c>
      <c r="AC92" s="145">
        <v>0</v>
      </c>
      <c r="AD92" s="145">
        <v>0</v>
      </c>
      <c r="AE92" s="145">
        <v>0</v>
      </c>
      <c r="AF92" s="145">
        <v>0</v>
      </c>
      <c r="AG92" s="142">
        <f t="shared" si="8"/>
        <v>0</v>
      </c>
      <c r="AH92" s="141"/>
      <c r="AI92" s="67"/>
      <c r="AJ92" s="67"/>
      <c r="AK92" s="24"/>
      <c r="AL92" s="24"/>
      <c r="AM92" s="24"/>
      <c r="AN92" s="71"/>
      <c r="AO92" s="69"/>
      <c r="AP92" s="141"/>
      <c r="AQ92" s="141"/>
      <c r="AR92" s="141"/>
      <c r="AS92" s="141"/>
      <c r="AT92" s="141"/>
      <c r="AU92" s="141"/>
      <c r="AV92" s="141"/>
      <c r="AW92" s="141"/>
      <c r="AX92" s="141"/>
      <c r="AY92" s="141"/>
    </row>
    <row r="93" spans="1:51" ht="45" customHeight="1">
      <c r="A93" s="153">
        <f t="shared" si="7"/>
        <v>90</v>
      </c>
      <c r="B93" s="153"/>
      <c r="C93" s="140"/>
      <c r="D93" s="28"/>
      <c r="E93" s="69"/>
      <c r="F93" s="39">
        <v>0</v>
      </c>
      <c r="G93" s="21"/>
      <c r="H93" s="21"/>
      <c r="I93" s="21"/>
      <c r="J93" s="141"/>
      <c r="K93" s="21"/>
      <c r="L93" s="69"/>
      <c r="M93" s="141"/>
      <c r="N93" s="59"/>
      <c r="O93" s="59"/>
      <c r="P93" s="105"/>
      <c r="Q93" s="105"/>
      <c r="R93" s="105"/>
      <c r="S93" s="105"/>
      <c r="T93" s="105"/>
      <c r="U93" s="90"/>
      <c r="V93" s="90"/>
      <c r="W93" s="93"/>
      <c r="X93" s="93"/>
      <c r="Y93" s="93"/>
      <c r="Z93" s="29">
        <v>0</v>
      </c>
      <c r="AA93" s="145">
        <v>0</v>
      </c>
      <c r="AB93" s="145">
        <v>0</v>
      </c>
      <c r="AC93" s="145">
        <v>0</v>
      </c>
      <c r="AD93" s="145">
        <v>0</v>
      </c>
      <c r="AE93" s="145">
        <v>0</v>
      </c>
      <c r="AF93" s="145">
        <v>0</v>
      </c>
      <c r="AG93" s="142">
        <f t="shared" si="8"/>
        <v>0</v>
      </c>
      <c r="AH93" s="141"/>
      <c r="AI93" s="67"/>
      <c r="AJ93" s="67"/>
      <c r="AK93" s="24"/>
      <c r="AL93" s="24"/>
      <c r="AM93" s="24"/>
      <c r="AN93" s="71"/>
      <c r="AO93" s="69"/>
      <c r="AP93" s="141"/>
      <c r="AQ93" s="141"/>
      <c r="AR93" s="141"/>
      <c r="AS93" s="141"/>
      <c r="AT93" s="141"/>
      <c r="AU93" s="141"/>
      <c r="AV93" s="141"/>
      <c r="AW93" s="141"/>
      <c r="AX93" s="141"/>
      <c r="AY93" s="141"/>
    </row>
    <row r="94" spans="1:51" ht="45" customHeight="1">
      <c r="A94" s="153">
        <f t="shared" si="7"/>
        <v>91</v>
      </c>
      <c r="B94" s="153"/>
      <c r="C94" s="140"/>
      <c r="D94" s="28"/>
      <c r="E94" s="69"/>
      <c r="F94" s="39">
        <v>0</v>
      </c>
      <c r="G94" s="21"/>
      <c r="H94" s="21"/>
      <c r="I94" s="21"/>
      <c r="J94" s="141"/>
      <c r="K94" s="21"/>
      <c r="L94" s="69"/>
      <c r="M94" s="141"/>
      <c r="N94" s="59"/>
      <c r="O94" s="59"/>
      <c r="P94" s="105"/>
      <c r="Q94" s="105"/>
      <c r="R94" s="105"/>
      <c r="S94" s="105"/>
      <c r="T94" s="105"/>
      <c r="U94" s="90"/>
      <c r="V94" s="90"/>
      <c r="W94" s="93"/>
      <c r="X94" s="93"/>
      <c r="Y94" s="93"/>
      <c r="Z94" s="29">
        <v>0</v>
      </c>
      <c r="AA94" s="145">
        <v>0</v>
      </c>
      <c r="AB94" s="145">
        <v>0</v>
      </c>
      <c r="AC94" s="145">
        <v>0</v>
      </c>
      <c r="AD94" s="145">
        <v>0</v>
      </c>
      <c r="AE94" s="145">
        <v>0</v>
      </c>
      <c r="AF94" s="145">
        <v>0</v>
      </c>
      <c r="AG94" s="142">
        <f t="shared" si="8"/>
        <v>0</v>
      </c>
      <c r="AH94" s="141"/>
      <c r="AI94" s="67"/>
      <c r="AJ94" s="67"/>
      <c r="AK94" s="24"/>
      <c r="AL94" s="24"/>
      <c r="AM94" s="24"/>
      <c r="AN94" s="71"/>
      <c r="AO94" s="69"/>
      <c r="AP94" s="141"/>
      <c r="AQ94" s="141"/>
      <c r="AR94" s="141"/>
      <c r="AS94" s="141"/>
      <c r="AT94" s="141"/>
      <c r="AU94" s="141"/>
      <c r="AV94" s="141"/>
      <c r="AW94" s="141"/>
      <c r="AX94" s="141"/>
      <c r="AY94" s="141"/>
    </row>
    <row r="95" spans="1:51" ht="45" customHeight="1">
      <c r="A95" s="153">
        <f t="shared" si="7"/>
        <v>92</v>
      </c>
      <c r="B95" s="153"/>
      <c r="C95" s="140"/>
      <c r="D95" s="28"/>
      <c r="E95" s="69"/>
      <c r="F95" s="39">
        <v>0</v>
      </c>
      <c r="G95" s="21"/>
      <c r="H95" s="21"/>
      <c r="I95" s="21"/>
      <c r="J95" s="141"/>
      <c r="K95" s="21"/>
      <c r="L95" s="69"/>
      <c r="M95" s="141"/>
      <c r="N95" s="59"/>
      <c r="O95" s="59"/>
      <c r="P95" s="105"/>
      <c r="Q95" s="105"/>
      <c r="R95" s="105"/>
      <c r="S95" s="105"/>
      <c r="T95" s="105"/>
      <c r="U95" s="90"/>
      <c r="V95" s="90"/>
      <c r="W95" s="93"/>
      <c r="X95" s="93"/>
      <c r="Y95" s="93"/>
      <c r="Z95" s="29">
        <v>0</v>
      </c>
      <c r="AA95" s="145">
        <v>0</v>
      </c>
      <c r="AB95" s="145">
        <v>0</v>
      </c>
      <c r="AC95" s="145">
        <v>0</v>
      </c>
      <c r="AD95" s="145">
        <v>0</v>
      </c>
      <c r="AE95" s="145">
        <v>0</v>
      </c>
      <c r="AF95" s="145">
        <v>0</v>
      </c>
      <c r="AG95" s="142">
        <f t="shared" si="8"/>
        <v>0</v>
      </c>
      <c r="AH95" s="141"/>
      <c r="AI95" s="67"/>
      <c r="AJ95" s="67"/>
      <c r="AK95" s="24"/>
      <c r="AL95" s="24"/>
      <c r="AM95" s="24"/>
      <c r="AN95" s="71"/>
      <c r="AO95" s="69"/>
      <c r="AP95" s="141"/>
      <c r="AQ95" s="141"/>
      <c r="AR95" s="141"/>
      <c r="AS95" s="141"/>
      <c r="AT95" s="141"/>
      <c r="AU95" s="141"/>
      <c r="AV95" s="141"/>
      <c r="AW95" s="141"/>
      <c r="AX95" s="141"/>
      <c r="AY95" s="141"/>
    </row>
    <row r="96" spans="1:51" ht="45" customHeight="1">
      <c r="A96" s="153">
        <f t="shared" si="7"/>
        <v>93</v>
      </c>
      <c r="B96" s="153"/>
      <c r="C96" s="140"/>
      <c r="D96" s="28"/>
      <c r="E96" s="69"/>
      <c r="F96" s="39">
        <v>0</v>
      </c>
      <c r="G96" s="21"/>
      <c r="H96" s="21"/>
      <c r="I96" s="21"/>
      <c r="J96" s="141"/>
      <c r="K96" s="21"/>
      <c r="L96" s="69"/>
      <c r="M96" s="141"/>
      <c r="N96" s="59"/>
      <c r="O96" s="59"/>
      <c r="P96" s="105"/>
      <c r="Q96" s="105"/>
      <c r="R96" s="105"/>
      <c r="S96" s="105"/>
      <c r="T96" s="105"/>
      <c r="U96" s="90"/>
      <c r="V96" s="90"/>
      <c r="W96" s="93"/>
      <c r="X96" s="93"/>
      <c r="Y96" s="93"/>
      <c r="Z96" s="29">
        <v>0</v>
      </c>
      <c r="AA96" s="145">
        <v>0</v>
      </c>
      <c r="AB96" s="145">
        <v>0</v>
      </c>
      <c r="AC96" s="145">
        <v>0</v>
      </c>
      <c r="AD96" s="145">
        <v>0</v>
      </c>
      <c r="AE96" s="145">
        <v>0</v>
      </c>
      <c r="AF96" s="145">
        <v>0</v>
      </c>
      <c r="AG96" s="142">
        <f t="shared" si="8"/>
        <v>0</v>
      </c>
      <c r="AH96" s="141"/>
      <c r="AI96" s="67"/>
      <c r="AJ96" s="67"/>
      <c r="AK96" s="24"/>
      <c r="AL96" s="24"/>
      <c r="AM96" s="24"/>
      <c r="AN96" s="71"/>
      <c r="AO96" s="69"/>
      <c r="AP96" s="141"/>
      <c r="AQ96" s="141"/>
      <c r="AR96" s="141"/>
      <c r="AS96" s="141"/>
      <c r="AT96" s="141"/>
      <c r="AU96" s="141"/>
      <c r="AV96" s="141"/>
      <c r="AW96" s="141"/>
      <c r="AX96" s="141"/>
      <c r="AY96" s="141"/>
    </row>
    <row r="97" spans="1:51" ht="45" customHeight="1">
      <c r="A97" s="153">
        <f t="shared" si="7"/>
        <v>94</v>
      </c>
      <c r="B97" s="153"/>
      <c r="C97" s="140"/>
      <c r="D97" s="28"/>
      <c r="E97" s="69"/>
      <c r="F97" s="39">
        <v>0</v>
      </c>
      <c r="G97" s="21"/>
      <c r="H97" s="21"/>
      <c r="I97" s="21"/>
      <c r="J97" s="141"/>
      <c r="K97" s="21"/>
      <c r="L97" s="69"/>
      <c r="M97" s="141"/>
      <c r="N97" s="59"/>
      <c r="O97" s="59"/>
      <c r="P97" s="105"/>
      <c r="Q97" s="105"/>
      <c r="R97" s="105"/>
      <c r="S97" s="105"/>
      <c r="T97" s="105"/>
      <c r="U97" s="90"/>
      <c r="V97" s="90"/>
      <c r="W97" s="93"/>
      <c r="X97" s="93"/>
      <c r="Y97" s="93"/>
      <c r="Z97" s="29">
        <v>0</v>
      </c>
      <c r="AA97" s="145">
        <v>0</v>
      </c>
      <c r="AB97" s="145">
        <v>0</v>
      </c>
      <c r="AC97" s="145">
        <v>0</v>
      </c>
      <c r="AD97" s="145">
        <v>0</v>
      </c>
      <c r="AE97" s="145">
        <v>0</v>
      </c>
      <c r="AF97" s="145">
        <v>0</v>
      </c>
      <c r="AG97" s="142">
        <f t="shared" si="8"/>
        <v>0</v>
      </c>
      <c r="AH97" s="141"/>
      <c r="AI97" s="67"/>
      <c r="AJ97" s="67"/>
      <c r="AK97" s="24"/>
      <c r="AL97" s="24"/>
      <c r="AM97" s="24"/>
      <c r="AN97" s="71"/>
      <c r="AO97" s="69"/>
      <c r="AP97" s="141"/>
      <c r="AQ97" s="141"/>
      <c r="AR97" s="141"/>
      <c r="AS97" s="141"/>
      <c r="AT97" s="141"/>
      <c r="AU97" s="141"/>
      <c r="AV97" s="141"/>
      <c r="AW97" s="141"/>
      <c r="AX97" s="141"/>
      <c r="AY97" s="141"/>
    </row>
    <row r="98" spans="1:51" ht="45" customHeight="1">
      <c r="A98" s="153">
        <f t="shared" si="7"/>
        <v>95</v>
      </c>
      <c r="B98" s="153"/>
      <c r="C98" s="140"/>
      <c r="D98" s="28"/>
      <c r="E98" s="69"/>
      <c r="F98" s="39">
        <v>0</v>
      </c>
      <c r="G98" s="21"/>
      <c r="H98" s="21"/>
      <c r="I98" s="21"/>
      <c r="J98" s="141"/>
      <c r="K98" s="21"/>
      <c r="L98" s="69"/>
      <c r="M98" s="141"/>
      <c r="N98" s="59"/>
      <c r="O98" s="59"/>
      <c r="P98" s="105"/>
      <c r="Q98" s="105"/>
      <c r="R98" s="105"/>
      <c r="S98" s="105"/>
      <c r="T98" s="105"/>
      <c r="U98" s="90"/>
      <c r="V98" s="90"/>
      <c r="W98" s="93"/>
      <c r="X98" s="93"/>
      <c r="Y98" s="93"/>
      <c r="Z98" s="29">
        <v>0</v>
      </c>
      <c r="AA98" s="145">
        <v>0</v>
      </c>
      <c r="AB98" s="145">
        <v>0</v>
      </c>
      <c r="AC98" s="145">
        <v>0</v>
      </c>
      <c r="AD98" s="145">
        <v>0</v>
      </c>
      <c r="AE98" s="145">
        <v>0</v>
      </c>
      <c r="AF98" s="145">
        <v>0</v>
      </c>
      <c r="AG98" s="142">
        <f t="shared" si="8"/>
        <v>0</v>
      </c>
      <c r="AH98" s="141"/>
      <c r="AI98" s="67"/>
      <c r="AJ98" s="67"/>
      <c r="AK98" s="24"/>
      <c r="AL98" s="24"/>
      <c r="AM98" s="24"/>
      <c r="AN98" s="71"/>
      <c r="AO98" s="69"/>
      <c r="AP98" s="141"/>
      <c r="AQ98" s="141"/>
      <c r="AR98" s="141"/>
      <c r="AS98" s="141"/>
      <c r="AT98" s="141"/>
      <c r="AU98" s="141"/>
      <c r="AV98" s="141"/>
      <c r="AW98" s="141"/>
      <c r="AX98" s="141"/>
      <c r="AY98" s="141"/>
    </row>
    <row r="99" spans="1:51" ht="45" customHeight="1">
      <c r="A99" s="153">
        <f t="shared" si="7"/>
        <v>96</v>
      </c>
      <c r="B99" s="153"/>
      <c r="C99" s="140"/>
      <c r="D99" s="28"/>
      <c r="E99" s="69"/>
      <c r="F99" s="39">
        <v>0</v>
      </c>
      <c r="G99" s="21"/>
      <c r="H99" s="21"/>
      <c r="I99" s="21"/>
      <c r="J99" s="141"/>
      <c r="K99" s="21"/>
      <c r="L99" s="69"/>
      <c r="M99" s="141"/>
      <c r="N99" s="59"/>
      <c r="O99" s="59"/>
      <c r="P99" s="105"/>
      <c r="Q99" s="105"/>
      <c r="R99" s="105"/>
      <c r="S99" s="105"/>
      <c r="T99" s="105"/>
      <c r="U99" s="90"/>
      <c r="V99" s="90"/>
      <c r="W99" s="93"/>
      <c r="X99" s="93"/>
      <c r="Y99" s="93"/>
      <c r="Z99" s="29">
        <v>0</v>
      </c>
      <c r="AA99" s="145">
        <v>0</v>
      </c>
      <c r="AB99" s="145">
        <v>0</v>
      </c>
      <c r="AC99" s="145">
        <v>0</v>
      </c>
      <c r="AD99" s="145">
        <v>0</v>
      </c>
      <c r="AE99" s="145">
        <v>0</v>
      </c>
      <c r="AF99" s="145">
        <v>0</v>
      </c>
      <c r="AG99" s="142">
        <f t="shared" si="8"/>
        <v>0</v>
      </c>
      <c r="AH99" s="141"/>
      <c r="AI99" s="67"/>
      <c r="AJ99" s="67"/>
      <c r="AK99" s="24"/>
      <c r="AL99" s="24"/>
      <c r="AM99" s="24"/>
      <c r="AN99" s="71"/>
      <c r="AO99" s="69"/>
      <c r="AP99" s="141"/>
      <c r="AQ99" s="141"/>
      <c r="AR99" s="141"/>
      <c r="AS99" s="141"/>
      <c r="AT99" s="141"/>
      <c r="AU99" s="141"/>
      <c r="AV99" s="141"/>
      <c r="AW99" s="141"/>
      <c r="AX99" s="141"/>
      <c r="AY99" s="141"/>
    </row>
    <row r="100" spans="1:51" ht="45" customHeight="1">
      <c r="A100" s="153">
        <f t="shared" ref="A100:A131" si="9">A99+1</f>
        <v>97</v>
      </c>
      <c r="B100" s="153"/>
      <c r="C100" s="140"/>
      <c r="D100" s="28"/>
      <c r="E100" s="69"/>
      <c r="F100" s="39">
        <v>0</v>
      </c>
      <c r="G100" s="21"/>
      <c r="H100" s="21"/>
      <c r="I100" s="21"/>
      <c r="J100" s="141"/>
      <c r="K100" s="21"/>
      <c r="L100" s="69"/>
      <c r="M100" s="141"/>
      <c r="N100" s="59"/>
      <c r="O100" s="59"/>
      <c r="P100" s="105"/>
      <c r="Q100" s="105"/>
      <c r="R100" s="105"/>
      <c r="S100" s="105"/>
      <c r="T100" s="105"/>
      <c r="U100" s="90"/>
      <c r="V100" s="90"/>
      <c r="W100" s="93"/>
      <c r="X100" s="93"/>
      <c r="Y100" s="93"/>
      <c r="Z100" s="29">
        <v>0</v>
      </c>
      <c r="AA100" s="145">
        <v>0</v>
      </c>
      <c r="AB100" s="145">
        <v>0</v>
      </c>
      <c r="AC100" s="145">
        <v>0</v>
      </c>
      <c r="AD100" s="145">
        <v>0</v>
      </c>
      <c r="AE100" s="145">
        <v>0</v>
      </c>
      <c r="AF100" s="145">
        <v>0</v>
      </c>
      <c r="AG100" s="142">
        <f t="shared" si="8"/>
        <v>0</v>
      </c>
      <c r="AH100" s="141"/>
      <c r="AI100" s="67"/>
      <c r="AJ100" s="67"/>
      <c r="AK100" s="24"/>
      <c r="AL100" s="24"/>
      <c r="AM100" s="24"/>
      <c r="AN100" s="71"/>
      <c r="AO100" s="69"/>
      <c r="AP100" s="141"/>
      <c r="AQ100" s="141"/>
      <c r="AR100" s="141"/>
      <c r="AS100" s="141"/>
      <c r="AT100" s="141"/>
      <c r="AU100" s="141"/>
      <c r="AV100" s="141"/>
      <c r="AW100" s="141"/>
      <c r="AX100" s="141"/>
      <c r="AY100" s="141"/>
    </row>
    <row r="101" spans="1:51" ht="45" customHeight="1">
      <c r="A101" s="153">
        <f t="shared" si="9"/>
        <v>98</v>
      </c>
      <c r="B101" s="153"/>
      <c r="C101" s="140"/>
      <c r="D101" s="28"/>
      <c r="E101" s="69"/>
      <c r="F101" s="39">
        <v>0</v>
      </c>
      <c r="G101" s="21"/>
      <c r="H101" s="21"/>
      <c r="I101" s="21"/>
      <c r="J101" s="141"/>
      <c r="K101" s="21"/>
      <c r="L101" s="69"/>
      <c r="M101" s="141"/>
      <c r="N101" s="59"/>
      <c r="O101" s="59"/>
      <c r="P101" s="105"/>
      <c r="Q101" s="105"/>
      <c r="R101" s="105"/>
      <c r="S101" s="105"/>
      <c r="T101" s="105"/>
      <c r="U101" s="90"/>
      <c r="V101" s="90"/>
      <c r="W101" s="93"/>
      <c r="X101" s="93"/>
      <c r="Y101" s="93"/>
      <c r="Z101" s="29">
        <v>0</v>
      </c>
      <c r="AA101" s="145">
        <v>0</v>
      </c>
      <c r="AB101" s="145">
        <v>0</v>
      </c>
      <c r="AC101" s="145">
        <v>0</v>
      </c>
      <c r="AD101" s="145">
        <v>0</v>
      </c>
      <c r="AE101" s="145">
        <v>0</v>
      </c>
      <c r="AF101" s="145">
        <v>0</v>
      </c>
      <c r="AG101" s="142">
        <f t="shared" si="8"/>
        <v>0</v>
      </c>
      <c r="AH101" s="141"/>
      <c r="AI101" s="67"/>
      <c r="AJ101" s="67"/>
      <c r="AK101" s="24"/>
      <c r="AL101" s="24"/>
      <c r="AM101" s="24"/>
      <c r="AN101" s="71"/>
      <c r="AO101" s="69"/>
      <c r="AP101" s="141"/>
      <c r="AQ101" s="141"/>
      <c r="AR101" s="141"/>
      <c r="AS101" s="141"/>
      <c r="AT101" s="141"/>
      <c r="AU101" s="141"/>
      <c r="AV101" s="141"/>
      <c r="AW101" s="141"/>
      <c r="AX101" s="141"/>
      <c r="AY101" s="141"/>
    </row>
    <row r="102" spans="1:51" ht="45" customHeight="1">
      <c r="A102" s="153">
        <f t="shared" si="9"/>
        <v>99</v>
      </c>
      <c r="B102" s="153"/>
      <c r="C102" s="140"/>
      <c r="D102" s="28"/>
      <c r="E102" s="69"/>
      <c r="F102" s="39">
        <v>0</v>
      </c>
      <c r="G102" s="21"/>
      <c r="H102" s="21"/>
      <c r="I102" s="21"/>
      <c r="J102" s="141"/>
      <c r="K102" s="21"/>
      <c r="L102" s="69"/>
      <c r="M102" s="141"/>
      <c r="N102" s="59"/>
      <c r="O102" s="59"/>
      <c r="P102" s="105"/>
      <c r="Q102" s="105"/>
      <c r="R102" s="105"/>
      <c r="S102" s="105"/>
      <c r="T102" s="105"/>
      <c r="U102" s="90"/>
      <c r="V102" s="90"/>
      <c r="W102" s="93"/>
      <c r="X102" s="93"/>
      <c r="Y102" s="93"/>
      <c r="Z102" s="29">
        <v>0</v>
      </c>
      <c r="AA102" s="145">
        <v>0</v>
      </c>
      <c r="AB102" s="145">
        <v>0</v>
      </c>
      <c r="AC102" s="145">
        <v>0</v>
      </c>
      <c r="AD102" s="145">
        <v>0</v>
      </c>
      <c r="AE102" s="145">
        <v>0</v>
      </c>
      <c r="AF102" s="145">
        <v>0</v>
      </c>
      <c r="AG102" s="142">
        <f t="shared" ref="AG102:AG133" si="10">AVERAGE(Z102:AF102)</f>
        <v>0</v>
      </c>
      <c r="AH102" s="141"/>
      <c r="AI102" s="67"/>
      <c r="AJ102" s="67"/>
      <c r="AK102" s="24"/>
      <c r="AL102" s="24"/>
      <c r="AM102" s="24"/>
      <c r="AN102" s="71"/>
      <c r="AO102" s="69"/>
      <c r="AP102" s="141"/>
      <c r="AQ102" s="141"/>
      <c r="AR102" s="141"/>
      <c r="AS102" s="141"/>
      <c r="AT102" s="141"/>
      <c r="AU102" s="141"/>
      <c r="AV102" s="141"/>
      <c r="AW102" s="141"/>
      <c r="AX102" s="141"/>
      <c r="AY102" s="141"/>
    </row>
    <row r="103" spans="1:51" ht="45" customHeight="1">
      <c r="A103" s="153">
        <f t="shared" si="9"/>
        <v>100</v>
      </c>
      <c r="B103" s="153"/>
      <c r="C103" s="140"/>
      <c r="D103" s="28"/>
      <c r="E103" s="69"/>
      <c r="F103" s="39">
        <v>0</v>
      </c>
      <c r="G103" s="21"/>
      <c r="H103" s="21"/>
      <c r="I103" s="21"/>
      <c r="J103" s="141"/>
      <c r="K103" s="21"/>
      <c r="L103" s="69"/>
      <c r="M103" s="141"/>
      <c r="N103" s="59"/>
      <c r="O103" s="59"/>
      <c r="P103" s="105"/>
      <c r="Q103" s="105"/>
      <c r="R103" s="105"/>
      <c r="S103" s="105"/>
      <c r="T103" s="105"/>
      <c r="U103" s="90"/>
      <c r="V103" s="90"/>
      <c r="W103" s="93"/>
      <c r="X103" s="93"/>
      <c r="Y103" s="93"/>
      <c r="Z103" s="29">
        <v>0</v>
      </c>
      <c r="AA103" s="145">
        <v>0</v>
      </c>
      <c r="AB103" s="145">
        <v>0</v>
      </c>
      <c r="AC103" s="145">
        <v>0</v>
      </c>
      <c r="AD103" s="145">
        <v>0</v>
      </c>
      <c r="AE103" s="145">
        <v>0</v>
      </c>
      <c r="AF103" s="145">
        <v>0</v>
      </c>
      <c r="AG103" s="142">
        <f t="shared" si="10"/>
        <v>0</v>
      </c>
      <c r="AH103" s="141"/>
      <c r="AI103" s="67"/>
      <c r="AJ103" s="67"/>
      <c r="AK103" s="24"/>
      <c r="AL103" s="24"/>
      <c r="AM103" s="24"/>
      <c r="AN103" s="71"/>
      <c r="AO103" s="69"/>
      <c r="AP103" s="141"/>
      <c r="AQ103" s="141"/>
      <c r="AR103" s="141"/>
      <c r="AS103" s="141"/>
      <c r="AT103" s="141"/>
      <c r="AU103" s="141"/>
      <c r="AV103" s="141"/>
      <c r="AW103" s="141"/>
      <c r="AX103" s="141"/>
      <c r="AY103" s="141"/>
    </row>
    <row r="104" spans="1:51" ht="45" customHeight="1">
      <c r="A104" s="153">
        <f t="shared" si="9"/>
        <v>101</v>
      </c>
      <c r="B104" s="153"/>
      <c r="C104" s="140"/>
      <c r="D104" s="28"/>
      <c r="E104" s="69"/>
      <c r="F104" s="39">
        <v>0</v>
      </c>
      <c r="G104" s="21"/>
      <c r="H104" s="21"/>
      <c r="I104" s="21"/>
      <c r="J104" s="141"/>
      <c r="K104" s="21"/>
      <c r="L104" s="69"/>
      <c r="M104" s="141"/>
      <c r="N104" s="59"/>
      <c r="O104" s="59"/>
      <c r="P104" s="105"/>
      <c r="Q104" s="105"/>
      <c r="R104" s="105"/>
      <c r="S104" s="105"/>
      <c r="T104" s="105"/>
      <c r="U104" s="90"/>
      <c r="V104" s="90"/>
      <c r="W104" s="93"/>
      <c r="X104" s="93"/>
      <c r="Y104" s="93"/>
      <c r="Z104" s="29">
        <v>0</v>
      </c>
      <c r="AA104" s="145">
        <v>0</v>
      </c>
      <c r="AB104" s="145">
        <v>0</v>
      </c>
      <c r="AC104" s="145">
        <v>0</v>
      </c>
      <c r="AD104" s="145">
        <v>0</v>
      </c>
      <c r="AE104" s="145">
        <v>0</v>
      </c>
      <c r="AF104" s="145">
        <v>0</v>
      </c>
      <c r="AG104" s="142">
        <f t="shared" si="10"/>
        <v>0</v>
      </c>
      <c r="AH104" s="141"/>
      <c r="AI104" s="67"/>
      <c r="AJ104" s="67"/>
      <c r="AK104" s="24"/>
      <c r="AL104" s="24"/>
      <c r="AM104" s="24"/>
      <c r="AN104" s="71"/>
      <c r="AO104" s="69"/>
      <c r="AP104" s="141"/>
      <c r="AQ104" s="141"/>
      <c r="AR104" s="141"/>
      <c r="AS104" s="141"/>
      <c r="AT104" s="141"/>
      <c r="AU104" s="141"/>
      <c r="AV104" s="141"/>
      <c r="AW104" s="141"/>
      <c r="AX104" s="141"/>
      <c r="AY104" s="141"/>
    </row>
    <row r="105" spans="1:51" ht="45" customHeight="1">
      <c r="A105" s="153">
        <f t="shared" si="9"/>
        <v>102</v>
      </c>
      <c r="B105" s="153"/>
      <c r="C105" s="140"/>
      <c r="D105" s="28"/>
      <c r="E105" s="69"/>
      <c r="F105" s="39">
        <v>0</v>
      </c>
      <c r="G105" s="21"/>
      <c r="H105" s="21"/>
      <c r="I105" s="21"/>
      <c r="J105" s="141"/>
      <c r="K105" s="21"/>
      <c r="L105" s="69"/>
      <c r="M105" s="141"/>
      <c r="N105" s="59"/>
      <c r="O105" s="59"/>
      <c r="P105" s="105"/>
      <c r="Q105" s="105"/>
      <c r="R105" s="105"/>
      <c r="S105" s="105"/>
      <c r="T105" s="105"/>
      <c r="U105" s="90"/>
      <c r="V105" s="90"/>
      <c r="W105" s="93"/>
      <c r="X105" s="93"/>
      <c r="Y105" s="93"/>
      <c r="Z105" s="29">
        <v>0</v>
      </c>
      <c r="AA105" s="145">
        <v>0</v>
      </c>
      <c r="AB105" s="145">
        <v>0</v>
      </c>
      <c r="AC105" s="145">
        <v>0</v>
      </c>
      <c r="AD105" s="145">
        <v>0</v>
      </c>
      <c r="AE105" s="145">
        <v>0</v>
      </c>
      <c r="AF105" s="145">
        <v>0</v>
      </c>
      <c r="AG105" s="142">
        <f t="shared" si="10"/>
        <v>0</v>
      </c>
      <c r="AH105" s="141"/>
      <c r="AI105" s="67"/>
      <c r="AJ105" s="67"/>
      <c r="AK105" s="24"/>
      <c r="AL105" s="24"/>
      <c r="AM105" s="24"/>
      <c r="AN105" s="71"/>
      <c r="AO105" s="69"/>
      <c r="AP105" s="141"/>
      <c r="AQ105" s="141"/>
      <c r="AR105" s="141"/>
      <c r="AS105" s="141"/>
      <c r="AT105" s="141"/>
      <c r="AU105" s="141"/>
      <c r="AV105" s="141"/>
      <c r="AW105" s="141"/>
      <c r="AX105" s="141"/>
      <c r="AY105" s="141"/>
    </row>
    <row r="106" spans="1:51" ht="45" customHeight="1">
      <c r="A106" s="153">
        <f t="shared" si="9"/>
        <v>103</v>
      </c>
      <c r="B106" s="153"/>
      <c r="C106" s="140"/>
      <c r="D106" s="28"/>
      <c r="E106" s="69"/>
      <c r="F106" s="39">
        <v>0</v>
      </c>
      <c r="G106" s="21"/>
      <c r="H106" s="21"/>
      <c r="I106" s="21"/>
      <c r="J106" s="141"/>
      <c r="K106" s="21"/>
      <c r="L106" s="69"/>
      <c r="M106" s="141"/>
      <c r="N106" s="59"/>
      <c r="O106" s="59"/>
      <c r="P106" s="105"/>
      <c r="Q106" s="105"/>
      <c r="R106" s="105"/>
      <c r="S106" s="105"/>
      <c r="T106" s="105"/>
      <c r="U106" s="90"/>
      <c r="V106" s="90"/>
      <c r="W106" s="93"/>
      <c r="X106" s="93"/>
      <c r="Y106" s="93"/>
      <c r="Z106" s="29">
        <v>0</v>
      </c>
      <c r="AA106" s="145">
        <v>0</v>
      </c>
      <c r="AB106" s="145">
        <v>0</v>
      </c>
      <c r="AC106" s="145">
        <v>0</v>
      </c>
      <c r="AD106" s="145">
        <v>0</v>
      </c>
      <c r="AE106" s="145">
        <v>0</v>
      </c>
      <c r="AF106" s="145">
        <v>0</v>
      </c>
      <c r="AG106" s="142">
        <f t="shared" si="10"/>
        <v>0</v>
      </c>
      <c r="AH106" s="141"/>
      <c r="AI106" s="67"/>
      <c r="AJ106" s="67"/>
      <c r="AK106" s="24"/>
      <c r="AL106" s="24"/>
      <c r="AM106" s="24"/>
      <c r="AN106" s="71"/>
      <c r="AO106" s="69"/>
      <c r="AP106" s="141"/>
      <c r="AQ106" s="141"/>
      <c r="AR106" s="141"/>
      <c r="AS106" s="141"/>
      <c r="AT106" s="141"/>
      <c r="AU106" s="141"/>
      <c r="AV106" s="141"/>
      <c r="AW106" s="141"/>
      <c r="AX106" s="141"/>
      <c r="AY106" s="141"/>
    </row>
    <row r="107" spans="1:51" ht="45" customHeight="1">
      <c r="A107" s="153">
        <f t="shared" si="9"/>
        <v>104</v>
      </c>
      <c r="B107" s="153"/>
      <c r="C107" s="140"/>
      <c r="D107" s="28"/>
      <c r="E107" s="69"/>
      <c r="F107" s="39">
        <v>0</v>
      </c>
      <c r="G107" s="21"/>
      <c r="H107" s="21"/>
      <c r="I107" s="21"/>
      <c r="J107" s="141"/>
      <c r="K107" s="21"/>
      <c r="L107" s="69"/>
      <c r="M107" s="141"/>
      <c r="N107" s="59"/>
      <c r="O107" s="59"/>
      <c r="P107" s="105"/>
      <c r="Q107" s="105"/>
      <c r="R107" s="105"/>
      <c r="S107" s="105"/>
      <c r="T107" s="105"/>
      <c r="U107" s="90"/>
      <c r="V107" s="90"/>
      <c r="W107" s="93"/>
      <c r="X107" s="93"/>
      <c r="Y107" s="93"/>
      <c r="Z107" s="29">
        <v>0</v>
      </c>
      <c r="AA107" s="145">
        <v>0</v>
      </c>
      <c r="AB107" s="145">
        <v>0</v>
      </c>
      <c r="AC107" s="145">
        <v>0</v>
      </c>
      <c r="AD107" s="145">
        <v>0</v>
      </c>
      <c r="AE107" s="145">
        <v>0</v>
      </c>
      <c r="AF107" s="145">
        <v>0</v>
      </c>
      <c r="AG107" s="142">
        <f t="shared" si="10"/>
        <v>0</v>
      </c>
      <c r="AH107" s="141"/>
      <c r="AI107" s="67"/>
      <c r="AJ107" s="67"/>
      <c r="AK107" s="24"/>
      <c r="AL107" s="24"/>
      <c r="AM107" s="24"/>
      <c r="AN107" s="71"/>
      <c r="AO107" s="69"/>
      <c r="AP107" s="141"/>
      <c r="AQ107" s="141"/>
      <c r="AR107" s="141"/>
      <c r="AS107" s="141"/>
      <c r="AT107" s="141"/>
      <c r="AU107" s="141"/>
      <c r="AV107" s="141"/>
      <c r="AW107" s="141"/>
      <c r="AX107" s="141"/>
      <c r="AY107" s="141"/>
    </row>
    <row r="108" spans="1:51" ht="45" customHeight="1">
      <c r="A108" s="153">
        <f t="shared" si="9"/>
        <v>105</v>
      </c>
      <c r="B108" s="153"/>
      <c r="C108" s="140"/>
      <c r="D108" s="28"/>
      <c r="E108" s="69"/>
      <c r="F108" s="39">
        <v>0</v>
      </c>
      <c r="G108" s="21"/>
      <c r="H108" s="21"/>
      <c r="I108" s="21"/>
      <c r="J108" s="141"/>
      <c r="K108" s="21"/>
      <c r="L108" s="69"/>
      <c r="M108" s="141"/>
      <c r="N108" s="59"/>
      <c r="O108" s="59"/>
      <c r="P108" s="105"/>
      <c r="Q108" s="105"/>
      <c r="R108" s="105"/>
      <c r="S108" s="105"/>
      <c r="T108" s="105"/>
      <c r="U108" s="90"/>
      <c r="V108" s="90"/>
      <c r="W108" s="93"/>
      <c r="X108" s="93"/>
      <c r="Y108" s="93"/>
      <c r="Z108" s="29">
        <v>0</v>
      </c>
      <c r="AA108" s="145">
        <v>0</v>
      </c>
      <c r="AB108" s="145">
        <v>0</v>
      </c>
      <c r="AC108" s="145">
        <v>0</v>
      </c>
      <c r="AD108" s="145">
        <v>0</v>
      </c>
      <c r="AE108" s="145">
        <v>0</v>
      </c>
      <c r="AF108" s="145">
        <v>0</v>
      </c>
      <c r="AG108" s="142">
        <f t="shared" si="10"/>
        <v>0</v>
      </c>
      <c r="AH108" s="141"/>
      <c r="AI108" s="67"/>
      <c r="AJ108" s="67"/>
      <c r="AK108" s="24"/>
      <c r="AL108" s="24"/>
      <c r="AM108" s="24"/>
      <c r="AN108" s="71"/>
      <c r="AO108" s="69"/>
      <c r="AP108" s="141"/>
      <c r="AQ108" s="141"/>
      <c r="AR108" s="141"/>
      <c r="AS108" s="141"/>
      <c r="AT108" s="141"/>
      <c r="AU108" s="141"/>
      <c r="AV108" s="141"/>
      <c r="AW108" s="141"/>
      <c r="AX108" s="141"/>
      <c r="AY108" s="141"/>
    </row>
    <row r="109" spans="1:51" ht="45" customHeight="1">
      <c r="A109" s="153">
        <f t="shared" si="9"/>
        <v>106</v>
      </c>
      <c r="B109" s="153"/>
      <c r="C109" s="140"/>
      <c r="D109" s="28"/>
      <c r="E109" s="69"/>
      <c r="F109" s="39">
        <v>0</v>
      </c>
      <c r="G109" s="21"/>
      <c r="H109" s="21"/>
      <c r="I109" s="21"/>
      <c r="J109" s="141"/>
      <c r="K109" s="21"/>
      <c r="L109" s="69"/>
      <c r="M109" s="141"/>
      <c r="N109" s="59"/>
      <c r="O109" s="59"/>
      <c r="P109" s="105"/>
      <c r="Q109" s="105"/>
      <c r="R109" s="105"/>
      <c r="S109" s="105"/>
      <c r="T109" s="105"/>
      <c r="U109" s="90"/>
      <c r="V109" s="90"/>
      <c r="W109" s="93"/>
      <c r="X109" s="93"/>
      <c r="Y109" s="93"/>
      <c r="Z109" s="29">
        <v>0</v>
      </c>
      <c r="AA109" s="145">
        <v>0</v>
      </c>
      <c r="AB109" s="145">
        <v>0</v>
      </c>
      <c r="AC109" s="145">
        <v>0</v>
      </c>
      <c r="AD109" s="145">
        <v>0</v>
      </c>
      <c r="AE109" s="145">
        <v>0</v>
      </c>
      <c r="AF109" s="145">
        <v>0</v>
      </c>
      <c r="AG109" s="142">
        <f t="shared" si="10"/>
        <v>0</v>
      </c>
      <c r="AH109" s="141"/>
      <c r="AI109" s="67"/>
      <c r="AJ109" s="67"/>
      <c r="AK109" s="24"/>
      <c r="AL109" s="24"/>
      <c r="AM109" s="24"/>
      <c r="AN109" s="71"/>
      <c r="AO109" s="69"/>
      <c r="AP109" s="141"/>
      <c r="AQ109" s="141"/>
      <c r="AR109" s="141"/>
      <c r="AS109" s="141"/>
      <c r="AT109" s="141"/>
      <c r="AU109" s="141"/>
      <c r="AV109" s="141"/>
      <c r="AW109" s="141"/>
      <c r="AX109" s="141"/>
      <c r="AY109" s="141"/>
    </row>
    <row r="110" spans="1:51" ht="45" customHeight="1">
      <c r="A110" s="153">
        <f t="shared" si="9"/>
        <v>107</v>
      </c>
      <c r="B110" s="153"/>
      <c r="C110" s="140"/>
      <c r="D110" s="28"/>
      <c r="E110" s="69"/>
      <c r="F110" s="39">
        <v>0</v>
      </c>
      <c r="G110" s="21"/>
      <c r="H110" s="21"/>
      <c r="I110" s="21"/>
      <c r="J110" s="141"/>
      <c r="K110" s="21"/>
      <c r="L110" s="69"/>
      <c r="M110" s="141"/>
      <c r="N110" s="59"/>
      <c r="O110" s="59"/>
      <c r="P110" s="105"/>
      <c r="Q110" s="105"/>
      <c r="R110" s="105"/>
      <c r="S110" s="105"/>
      <c r="T110" s="105"/>
      <c r="U110" s="90"/>
      <c r="V110" s="90"/>
      <c r="W110" s="93"/>
      <c r="X110" s="93"/>
      <c r="Y110" s="93"/>
      <c r="Z110" s="29">
        <v>0</v>
      </c>
      <c r="AA110" s="145">
        <v>0</v>
      </c>
      <c r="AB110" s="145">
        <v>0</v>
      </c>
      <c r="AC110" s="145">
        <v>0</v>
      </c>
      <c r="AD110" s="145">
        <v>0</v>
      </c>
      <c r="AE110" s="145">
        <v>0</v>
      </c>
      <c r="AF110" s="145">
        <v>0</v>
      </c>
      <c r="AG110" s="142">
        <f t="shared" si="10"/>
        <v>0</v>
      </c>
      <c r="AH110" s="141"/>
      <c r="AI110" s="67"/>
      <c r="AJ110" s="67"/>
      <c r="AK110" s="24"/>
      <c r="AL110" s="24"/>
      <c r="AM110" s="24"/>
      <c r="AN110" s="71"/>
      <c r="AO110" s="69"/>
      <c r="AP110" s="141"/>
      <c r="AQ110" s="141"/>
      <c r="AR110" s="141"/>
      <c r="AS110" s="141"/>
      <c r="AT110" s="141"/>
      <c r="AU110" s="141"/>
      <c r="AV110" s="141"/>
      <c r="AW110" s="141"/>
      <c r="AX110" s="141"/>
      <c r="AY110" s="141"/>
    </row>
    <row r="111" spans="1:51" ht="45" customHeight="1">
      <c r="A111" s="153">
        <f t="shared" si="9"/>
        <v>108</v>
      </c>
      <c r="B111" s="153"/>
      <c r="C111" s="140"/>
      <c r="D111" s="28"/>
      <c r="E111" s="69"/>
      <c r="F111" s="39">
        <v>0</v>
      </c>
      <c r="G111" s="21"/>
      <c r="H111" s="21"/>
      <c r="I111" s="21"/>
      <c r="J111" s="141"/>
      <c r="K111" s="21"/>
      <c r="L111" s="69"/>
      <c r="M111" s="141"/>
      <c r="N111" s="59"/>
      <c r="O111" s="59"/>
      <c r="P111" s="105"/>
      <c r="Q111" s="105"/>
      <c r="R111" s="105"/>
      <c r="S111" s="105"/>
      <c r="T111" s="105"/>
      <c r="U111" s="90"/>
      <c r="V111" s="90"/>
      <c r="W111" s="93"/>
      <c r="X111" s="93"/>
      <c r="Y111" s="93"/>
      <c r="Z111" s="29">
        <v>0</v>
      </c>
      <c r="AA111" s="145">
        <v>0</v>
      </c>
      <c r="AB111" s="145">
        <v>0</v>
      </c>
      <c r="AC111" s="145">
        <v>0</v>
      </c>
      <c r="AD111" s="145">
        <v>0</v>
      </c>
      <c r="AE111" s="145">
        <v>0</v>
      </c>
      <c r="AF111" s="145">
        <v>0</v>
      </c>
      <c r="AG111" s="142">
        <f t="shared" si="10"/>
        <v>0</v>
      </c>
      <c r="AH111" s="141"/>
      <c r="AI111" s="67"/>
      <c r="AJ111" s="67"/>
      <c r="AK111" s="24"/>
      <c r="AL111" s="24"/>
      <c r="AM111" s="24"/>
      <c r="AN111" s="71"/>
      <c r="AO111" s="69"/>
      <c r="AP111" s="141"/>
      <c r="AQ111" s="141"/>
      <c r="AR111" s="141"/>
      <c r="AS111" s="141"/>
      <c r="AT111" s="141"/>
      <c r="AU111" s="141"/>
      <c r="AV111" s="141"/>
      <c r="AW111" s="141"/>
      <c r="AX111" s="141"/>
      <c r="AY111" s="141"/>
    </row>
    <row r="112" spans="1:51" ht="45" customHeight="1">
      <c r="A112" s="153">
        <f t="shared" si="9"/>
        <v>109</v>
      </c>
      <c r="B112" s="153"/>
      <c r="C112" s="140"/>
      <c r="D112" s="28"/>
      <c r="E112" s="69"/>
      <c r="F112" s="39">
        <v>0</v>
      </c>
      <c r="G112" s="21"/>
      <c r="H112" s="21"/>
      <c r="I112" s="21"/>
      <c r="J112" s="141"/>
      <c r="K112" s="21"/>
      <c r="L112" s="69"/>
      <c r="M112" s="141"/>
      <c r="N112" s="59"/>
      <c r="O112" s="59"/>
      <c r="P112" s="105"/>
      <c r="Q112" s="105"/>
      <c r="R112" s="105"/>
      <c r="S112" s="105"/>
      <c r="T112" s="105"/>
      <c r="U112" s="90"/>
      <c r="V112" s="90"/>
      <c r="W112" s="93"/>
      <c r="X112" s="93"/>
      <c r="Y112" s="93"/>
      <c r="Z112" s="29">
        <v>0</v>
      </c>
      <c r="AA112" s="145">
        <v>0</v>
      </c>
      <c r="AB112" s="145">
        <v>0</v>
      </c>
      <c r="AC112" s="145">
        <v>0</v>
      </c>
      <c r="AD112" s="145">
        <v>0</v>
      </c>
      <c r="AE112" s="145">
        <v>0</v>
      </c>
      <c r="AF112" s="145">
        <v>0</v>
      </c>
      <c r="AG112" s="142">
        <f t="shared" si="10"/>
        <v>0</v>
      </c>
      <c r="AH112" s="141"/>
      <c r="AI112" s="67"/>
      <c r="AJ112" s="67"/>
      <c r="AK112" s="24"/>
      <c r="AL112" s="24"/>
      <c r="AM112" s="24"/>
      <c r="AN112" s="71"/>
      <c r="AO112" s="69"/>
      <c r="AP112" s="141"/>
      <c r="AQ112" s="141"/>
      <c r="AR112" s="141"/>
      <c r="AS112" s="141"/>
      <c r="AT112" s="141"/>
      <c r="AU112" s="141"/>
      <c r="AV112" s="141"/>
      <c r="AW112" s="141"/>
      <c r="AX112" s="141"/>
      <c r="AY112" s="141"/>
    </row>
    <row r="113" spans="1:51" ht="45" customHeight="1">
      <c r="A113" s="153">
        <f t="shared" si="9"/>
        <v>110</v>
      </c>
      <c r="B113" s="153"/>
      <c r="C113" s="140"/>
      <c r="D113" s="28"/>
      <c r="E113" s="69"/>
      <c r="F113" s="39">
        <v>3</v>
      </c>
      <c r="G113" s="21"/>
      <c r="H113" s="21"/>
      <c r="I113" s="21"/>
      <c r="J113" s="141"/>
      <c r="K113" s="21"/>
      <c r="L113" s="69"/>
      <c r="M113" s="141"/>
      <c r="N113" s="59"/>
      <c r="O113" s="59"/>
      <c r="P113" s="105"/>
      <c r="Q113" s="105"/>
      <c r="R113" s="105"/>
      <c r="S113" s="105"/>
      <c r="T113" s="105"/>
      <c r="U113" s="90"/>
      <c r="V113" s="90"/>
      <c r="W113" s="93"/>
      <c r="X113" s="93"/>
      <c r="Y113" s="93"/>
      <c r="Z113" s="29">
        <v>0</v>
      </c>
      <c r="AA113" s="145">
        <v>0</v>
      </c>
      <c r="AB113" s="145">
        <v>0</v>
      </c>
      <c r="AC113" s="145">
        <v>0</v>
      </c>
      <c r="AD113" s="145">
        <v>0</v>
      </c>
      <c r="AE113" s="145">
        <v>0</v>
      </c>
      <c r="AF113" s="145">
        <v>0</v>
      </c>
      <c r="AG113" s="142">
        <f t="shared" si="10"/>
        <v>0</v>
      </c>
      <c r="AH113" s="141"/>
      <c r="AI113" s="67"/>
      <c r="AJ113" s="67"/>
      <c r="AK113" s="24"/>
      <c r="AL113" s="24"/>
      <c r="AM113" s="24"/>
      <c r="AN113" s="71"/>
      <c r="AO113" s="69"/>
      <c r="AP113" s="141"/>
      <c r="AQ113" s="141"/>
      <c r="AR113" s="141"/>
      <c r="AS113" s="141"/>
      <c r="AT113" s="141"/>
      <c r="AU113" s="141"/>
      <c r="AV113" s="141"/>
      <c r="AW113" s="141"/>
      <c r="AX113" s="141"/>
      <c r="AY113" s="141"/>
    </row>
    <row r="114" spans="1:51" ht="45" customHeight="1">
      <c r="A114" s="153">
        <f t="shared" si="9"/>
        <v>111</v>
      </c>
      <c r="B114" s="153"/>
      <c r="C114" s="140"/>
      <c r="D114" s="28"/>
      <c r="E114" s="69"/>
      <c r="F114" s="39">
        <v>0</v>
      </c>
      <c r="G114" s="21"/>
      <c r="H114" s="21"/>
      <c r="I114" s="21"/>
      <c r="J114" s="141"/>
      <c r="K114" s="21"/>
      <c r="L114" s="69"/>
      <c r="M114" s="141"/>
      <c r="N114" s="59"/>
      <c r="O114" s="59"/>
      <c r="P114" s="105"/>
      <c r="Q114" s="105"/>
      <c r="R114" s="105"/>
      <c r="S114" s="105"/>
      <c r="T114" s="105"/>
      <c r="U114" s="90"/>
      <c r="V114" s="90"/>
      <c r="W114" s="93"/>
      <c r="X114" s="93"/>
      <c r="Y114" s="93"/>
      <c r="Z114" s="29">
        <v>0</v>
      </c>
      <c r="AA114" s="145">
        <v>0</v>
      </c>
      <c r="AB114" s="145">
        <v>0</v>
      </c>
      <c r="AC114" s="145">
        <v>0</v>
      </c>
      <c r="AD114" s="145">
        <v>0</v>
      </c>
      <c r="AE114" s="145">
        <v>0</v>
      </c>
      <c r="AF114" s="145">
        <v>0</v>
      </c>
      <c r="AG114" s="142">
        <f t="shared" si="10"/>
        <v>0</v>
      </c>
      <c r="AH114" s="141"/>
      <c r="AI114" s="67"/>
      <c r="AJ114" s="67"/>
      <c r="AK114" s="24"/>
      <c r="AL114" s="24"/>
      <c r="AM114" s="24"/>
      <c r="AN114" s="71"/>
      <c r="AO114" s="69"/>
      <c r="AP114" s="141"/>
      <c r="AQ114" s="141"/>
      <c r="AR114" s="141"/>
      <c r="AS114" s="141"/>
      <c r="AT114" s="141"/>
      <c r="AU114" s="141"/>
      <c r="AV114" s="141"/>
      <c r="AW114" s="141"/>
      <c r="AX114" s="141"/>
      <c r="AY114" s="141"/>
    </row>
    <row r="115" spans="1:51" ht="45" customHeight="1">
      <c r="A115" s="153">
        <f t="shared" si="9"/>
        <v>112</v>
      </c>
      <c r="B115" s="153"/>
      <c r="C115" s="140"/>
      <c r="D115" s="28"/>
      <c r="E115" s="69"/>
      <c r="F115" s="39">
        <v>0</v>
      </c>
      <c r="G115" s="21"/>
      <c r="H115" s="21"/>
      <c r="I115" s="21"/>
      <c r="J115" s="141"/>
      <c r="K115" s="21"/>
      <c r="L115" s="69"/>
      <c r="M115" s="141"/>
      <c r="N115" s="59"/>
      <c r="O115" s="59"/>
      <c r="P115" s="105"/>
      <c r="Q115" s="105"/>
      <c r="R115" s="105"/>
      <c r="S115" s="105"/>
      <c r="T115" s="105"/>
      <c r="U115" s="90"/>
      <c r="V115" s="90"/>
      <c r="W115" s="93"/>
      <c r="X115" s="93"/>
      <c r="Y115" s="93"/>
      <c r="Z115" s="29">
        <v>0</v>
      </c>
      <c r="AA115" s="145">
        <v>0</v>
      </c>
      <c r="AB115" s="145">
        <v>0</v>
      </c>
      <c r="AC115" s="145">
        <v>0</v>
      </c>
      <c r="AD115" s="145">
        <v>0</v>
      </c>
      <c r="AE115" s="145">
        <v>0</v>
      </c>
      <c r="AF115" s="145">
        <v>0</v>
      </c>
      <c r="AG115" s="142">
        <f t="shared" si="10"/>
        <v>0</v>
      </c>
      <c r="AH115" s="141"/>
      <c r="AI115" s="67"/>
      <c r="AJ115" s="67"/>
      <c r="AK115" s="24"/>
      <c r="AL115" s="24"/>
      <c r="AM115" s="24"/>
      <c r="AN115" s="71"/>
      <c r="AO115" s="69"/>
      <c r="AP115" s="141"/>
      <c r="AQ115" s="141"/>
      <c r="AR115" s="141"/>
      <c r="AS115" s="141"/>
      <c r="AT115" s="141"/>
      <c r="AU115" s="141"/>
      <c r="AV115" s="141"/>
      <c r="AW115" s="141"/>
      <c r="AX115" s="141"/>
      <c r="AY115" s="141"/>
    </row>
    <row r="116" spans="1:51" ht="45" customHeight="1">
      <c r="A116" s="153">
        <f t="shared" si="9"/>
        <v>113</v>
      </c>
      <c r="B116" s="153"/>
      <c r="C116" s="140"/>
      <c r="D116" s="28"/>
      <c r="E116" s="69"/>
      <c r="F116" s="39">
        <v>0</v>
      </c>
      <c r="G116" s="21"/>
      <c r="H116" s="21"/>
      <c r="I116" s="21"/>
      <c r="J116" s="141"/>
      <c r="K116" s="21"/>
      <c r="L116" s="69"/>
      <c r="M116" s="141"/>
      <c r="N116" s="59"/>
      <c r="O116" s="59"/>
      <c r="P116" s="105"/>
      <c r="Q116" s="105"/>
      <c r="R116" s="105"/>
      <c r="S116" s="105"/>
      <c r="T116" s="105"/>
      <c r="U116" s="90"/>
      <c r="V116" s="90"/>
      <c r="W116" s="93"/>
      <c r="X116" s="93"/>
      <c r="Y116" s="93"/>
      <c r="Z116" s="29">
        <v>0</v>
      </c>
      <c r="AA116" s="145">
        <v>0</v>
      </c>
      <c r="AB116" s="145">
        <v>0</v>
      </c>
      <c r="AC116" s="145">
        <v>0</v>
      </c>
      <c r="AD116" s="145">
        <v>0</v>
      </c>
      <c r="AE116" s="145">
        <v>0</v>
      </c>
      <c r="AF116" s="145">
        <v>0</v>
      </c>
      <c r="AG116" s="142">
        <f t="shared" si="10"/>
        <v>0</v>
      </c>
      <c r="AH116" s="141"/>
      <c r="AI116" s="67"/>
      <c r="AJ116" s="67"/>
      <c r="AK116" s="24"/>
      <c r="AL116" s="24"/>
      <c r="AM116" s="24"/>
      <c r="AN116" s="71"/>
      <c r="AO116" s="69"/>
      <c r="AP116" s="141"/>
      <c r="AQ116" s="141"/>
      <c r="AR116" s="141"/>
      <c r="AS116" s="141"/>
      <c r="AT116" s="141"/>
      <c r="AU116" s="141"/>
      <c r="AV116" s="141"/>
      <c r="AW116" s="141"/>
      <c r="AX116" s="141"/>
      <c r="AY116" s="141"/>
    </row>
    <row r="117" spans="1:51" ht="45" customHeight="1">
      <c r="A117" s="153">
        <f t="shared" si="9"/>
        <v>114</v>
      </c>
      <c r="B117" s="153"/>
      <c r="C117" s="140"/>
      <c r="D117" s="28"/>
      <c r="E117" s="69"/>
      <c r="F117" s="39">
        <v>0</v>
      </c>
      <c r="G117" s="21"/>
      <c r="H117" s="21"/>
      <c r="I117" s="21"/>
      <c r="J117" s="141"/>
      <c r="K117" s="21"/>
      <c r="L117" s="69"/>
      <c r="M117" s="141"/>
      <c r="N117" s="59"/>
      <c r="O117" s="59"/>
      <c r="P117" s="105"/>
      <c r="Q117" s="105"/>
      <c r="R117" s="105"/>
      <c r="S117" s="105"/>
      <c r="T117" s="105"/>
      <c r="U117" s="90"/>
      <c r="V117" s="90"/>
      <c r="W117" s="93"/>
      <c r="X117" s="93"/>
      <c r="Y117" s="93"/>
      <c r="Z117" s="29">
        <v>0</v>
      </c>
      <c r="AA117" s="145">
        <v>0</v>
      </c>
      <c r="AB117" s="145">
        <v>0</v>
      </c>
      <c r="AC117" s="145">
        <v>0</v>
      </c>
      <c r="AD117" s="145">
        <v>0</v>
      </c>
      <c r="AE117" s="145">
        <v>0</v>
      </c>
      <c r="AF117" s="145">
        <v>0</v>
      </c>
      <c r="AG117" s="142">
        <f t="shared" si="10"/>
        <v>0</v>
      </c>
      <c r="AH117" s="141"/>
      <c r="AI117" s="67"/>
      <c r="AJ117" s="67"/>
      <c r="AK117" s="24"/>
      <c r="AL117" s="24"/>
      <c r="AM117" s="24"/>
      <c r="AN117" s="71"/>
      <c r="AO117" s="69"/>
      <c r="AP117" s="141"/>
      <c r="AQ117" s="141"/>
      <c r="AR117" s="141"/>
      <c r="AS117" s="141"/>
      <c r="AT117" s="141"/>
      <c r="AU117" s="141"/>
      <c r="AV117" s="141"/>
      <c r="AW117" s="141"/>
      <c r="AX117" s="141"/>
      <c r="AY117" s="141"/>
    </row>
    <row r="118" spans="1:51" ht="45" customHeight="1">
      <c r="A118" s="153">
        <f t="shared" si="9"/>
        <v>115</v>
      </c>
      <c r="B118" s="153"/>
      <c r="C118" s="140"/>
      <c r="D118" s="28"/>
      <c r="E118" s="69"/>
      <c r="F118" s="39">
        <v>0</v>
      </c>
      <c r="G118" s="21"/>
      <c r="H118" s="21"/>
      <c r="I118" s="21"/>
      <c r="J118" s="141"/>
      <c r="K118" s="21"/>
      <c r="L118" s="69"/>
      <c r="M118" s="141"/>
      <c r="N118" s="59"/>
      <c r="O118" s="59"/>
      <c r="P118" s="105"/>
      <c r="Q118" s="105"/>
      <c r="R118" s="105"/>
      <c r="S118" s="105"/>
      <c r="T118" s="105"/>
      <c r="U118" s="90"/>
      <c r="V118" s="90"/>
      <c r="W118" s="93"/>
      <c r="X118" s="93"/>
      <c r="Y118" s="93"/>
      <c r="Z118" s="29">
        <v>0</v>
      </c>
      <c r="AA118" s="145">
        <v>0</v>
      </c>
      <c r="AB118" s="145">
        <v>0</v>
      </c>
      <c r="AC118" s="145">
        <v>0</v>
      </c>
      <c r="AD118" s="145">
        <v>0</v>
      </c>
      <c r="AE118" s="145">
        <v>0</v>
      </c>
      <c r="AF118" s="145">
        <v>0</v>
      </c>
      <c r="AG118" s="142">
        <f t="shared" si="10"/>
        <v>0</v>
      </c>
      <c r="AH118" s="141"/>
      <c r="AI118" s="67"/>
      <c r="AJ118" s="67"/>
      <c r="AK118" s="24"/>
      <c r="AL118" s="24"/>
      <c r="AM118" s="24"/>
      <c r="AN118" s="71"/>
      <c r="AO118" s="69"/>
      <c r="AP118" s="141"/>
      <c r="AQ118" s="141"/>
      <c r="AR118" s="141"/>
      <c r="AS118" s="141"/>
      <c r="AT118" s="141"/>
      <c r="AU118" s="141"/>
      <c r="AV118" s="141"/>
      <c r="AW118" s="141"/>
      <c r="AX118" s="141"/>
      <c r="AY118" s="141"/>
    </row>
    <row r="119" spans="1:51" ht="45" customHeight="1">
      <c r="A119" s="153">
        <f t="shared" si="9"/>
        <v>116</v>
      </c>
      <c r="B119" s="153"/>
      <c r="C119" s="140"/>
      <c r="D119" s="28"/>
      <c r="E119" s="69"/>
      <c r="F119" s="39">
        <v>0</v>
      </c>
      <c r="G119" s="21"/>
      <c r="H119" s="21"/>
      <c r="I119" s="21"/>
      <c r="J119" s="141"/>
      <c r="K119" s="21"/>
      <c r="L119" s="69"/>
      <c r="M119" s="141"/>
      <c r="N119" s="59"/>
      <c r="O119" s="59"/>
      <c r="P119" s="105"/>
      <c r="Q119" s="105"/>
      <c r="R119" s="105"/>
      <c r="S119" s="105"/>
      <c r="T119" s="105"/>
      <c r="U119" s="90"/>
      <c r="V119" s="90"/>
      <c r="W119" s="93"/>
      <c r="X119" s="93"/>
      <c r="Y119" s="93"/>
      <c r="Z119" s="29">
        <v>0</v>
      </c>
      <c r="AA119" s="145">
        <v>0</v>
      </c>
      <c r="AB119" s="145">
        <v>0</v>
      </c>
      <c r="AC119" s="145">
        <v>0</v>
      </c>
      <c r="AD119" s="145">
        <v>0</v>
      </c>
      <c r="AE119" s="145">
        <v>0</v>
      </c>
      <c r="AF119" s="145">
        <v>0</v>
      </c>
      <c r="AG119" s="142">
        <f t="shared" si="10"/>
        <v>0</v>
      </c>
      <c r="AH119" s="141"/>
      <c r="AI119" s="67"/>
      <c r="AJ119" s="67"/>
      <c r="AK119" s="24"/>
      <c r="AL119" s="24"/>
      <c r="AM119" s="24"/>
      <c r="AN119" s="71"/>
      <c r="AO119" s="69"/>
      <c r="AP119" s="141"/>
      <c r="AQ119" s="141"/>
      <c r="AR119" s="141"/>
      <c r="AS119" s="141"/>
      <c r="AT119" s="141"/>
      <c r="AU119" s="141"/>
      <c r="AV119" s="141"/>
      <c r="AW119" s="141"/>
      <c r="AX119" s="141"/>
      <c r="AY119" s="141"/>
    </row>
    <row r="120" spans="1:51" ht="45" customHeight="1">
      <c r="A120" s="153">
        <f t="shared" si="9"/>
        <v>117</v>
      </c>
      <c r="B120" s="153"/>
      <c r="C120" s="140"/>
      <c r="D120" s="28"/>
      <c r="E120" s="69"/>
      <c r="F120" s="39">
        <v>0</v>
      </c>
      <c r="G120" s="21"/>
      <c r="H120" s="21"/>
      <c r="I120" s="21"/>
      <c r="J120" s="141"/>
      <c r="K120" s="21"/>
      <c r="L120" s="69"/>
      <c r="M120" s="141"/>
      <c r="N120" s="59"/>
      <c r="O120" s="59"/>
      <c r="P120" s="105"/>
      <c r="Q120" s="105"/>
      <c r="R120" s="105"/>
      <c r="S120" s="105"/>
      <c r="T120" s="105"/>
      <c r="U120" s="90"/>
      <c r="V120" s="90"/>
      <c r="W120" s="93"/>
      <c r="X120" s="93"/>
      <c r="Y120" s="93"/>
      <c r="Z120" s="29">
        <v>0</v>
      </c>
      <c r="AA120" s="145">
        <v>0</v>
      </c>
      <c r="AB120" s="145">
        <v>0</v>
      </c>
      <c r="AC120" s="145">
        <v>0</v>
      </c>
      <c r="AD120" s="145">
        <v>0</v>
      </c>
      <c r="AE120" s="145">
        <v>0</v>
      </c>
      <c r="AF120" s="145">
        <v>0</v>
      </c>
      <c r="AG120" s="142">
        <f t="shared" si="10"/>
        <v>0</v>
      </c>
      <c r="AH120" s="141"/>
      <c r="AI120" s="67"/>
      <c r="AJ120" s="67"/>
      <c r="AK120" s="24"/>
      <c r="AL120" s="24"/>
      <c r="AM120" s="24"/>
      <c r="AN120" s="71"/>
      <c r="AO120" s="69"/>
      <c r="AP120" s="141"/>
      <c r="AQ120" s="141"/>
      <c r="AR120" s="141"/>
      <c r="AS120" s="141"/>
      <c r="AT120" s="141"/>
      <c r="AU120" s="141"/>
      <c r="AV120" s="141"/>
      <c r="AW120" s="141"/>
      <c r="AX120" s="141"/>
      <c r="AY120" s="141"/>
    </row>
    <row r="121" spans="1:51" ht="45" customHeight="1">
      <c r="A121" s="153">
        <f t="shared" si="9"/>
        <v>118</v>
      </c>
      <c r="B121" s="153"/>
      <c r="C121" s="140"/>
      <c r="D121" s="28"/>
      <c r="E121" s="69"/>
      <c r="F121" s="39">
        <v>0</v>
      </c>
      <c r="G121" s="21"/>
      <c r="H121" s="21"/>
      <c r="I121" s="21"/>
      <c r="J121" s="141"/>
      <c r="K121" s="21"/>
      <c r="L121" s="69"/>
      <c r="M121" s="141"/>
      <c r="N121" s="59"/>
      <c r="O121" s="59"/>
      <c r="P121" s="105"/>
      <c r="Q121" s="105"/>
      <c r="R121" s="105"/>
      <c r="S121" s="105"/>
      <c r="T121" s="105"/>
      <c r="U121" s="90"/>
      <c r="V121" s="90"/>
      <c r="W121" s="93"/>
      <c r="X121" s="93"/>
      <c r="Y121" s="93"/>
      <c r="Z121" s="29">
        <v>0</v>
      </c>
      <c r="AA121" s="145">
        <v>0</v>
      </c>
      <c r="AB121" s="145">
        <v>0</v>
      </c>
      <c r="AC121" s="145">
        <v>0</v>
      </c>
      <c r="AD121" s="145">
        <v>0</v>
      </c>
      <c r="AE121" s="145">
        <v>0</v>
      </c>
      <c r="AF121" s="145">
        <v>0</v>
      </c>
      <c r="AG121" s="142">
        <f t="shared" si="10"/>
        <v>0</v>
      </c>
      <c r="AH121" s="141"/>
      <c r="AI121" s="67"/>
      <c r="AJ121" s="67"/>
      <c r="AK121" s="24"/>
      <c r="AL121" s="24"/>
      <c r="AM121" s="24"/>
      <c r="AN121" s="71"/>
      <c r="AO121" s="69"/>
      <c r="AP121" s="141"/>
      <c r="AQ121" s="141"/>
      <c r="AR121" s="141"/>
      <c r="AS121" s="141"/>
      <c r="AT121" s="141"/>
      <c r="AU121" s="141"/>
      <c r="AV121" s="141"/>
      <c r="AW121" s="141"/>
      <c r="AX121" s="141"/>
      <c r="AY121" s="141"/>
    </row>
    <row r="122" spans="1:51" ht="45" customHeight="1">
      <c r="A122" s="153">
        <f t="shared" si="9"/>
        <v>119</v>
      </c>
      <c r="B122" s="153"/>
      <c r="C122" s="140"/>
      <c r="D122" s="28"/>
      <c r="E122" s="69"/>
      <c r="F122" s="39">
        <v>0</v>
      </c>
      <c r="G122" s="21"/>
      <c r="H122" s="21"/>
      <c r="I122" s="21"/>
      <c r="J122" s="141"/>
      <c r="K122" s="21"/>
      <c r="L122" s="69"/>
      <c r="M122" s="141"/>
      <c r="N122" s="59"/>
      <c r="O122" s="59"/>
      <c r="P122" s="105"/>
      <c r="Q122" s="105"/>
      <c r="R122" s="105"/>
      <c r="S122" s="105"/>
      <c r="T122" s="105"/>
      <c r="U122" s="90"/>
      <c r="V122" s="90"/>
      <c r="W122" s="93"/>
      <c r="X122" s="93"/>
      <c r="Y122" s="93"/>
      <c r="Z122" s="29">
        <v>0</v>
      </c>
      <c r="AA122" s="145">
        <v>0</v>
      </c>
      <c r="AB122" s="145">
        <v>0</v>
      </c>
      <c r="AC122" s="145">
        <v>0</v>
      </c>
      <c r="AD122" s="145">
        <v>0</v>
      </c>
      <c r="AE122" s="145">
        <v>0</v>
      </c>
      <c r="AF122" s="145">
        <v>0</v>
      </c>
      <c r="AG122" s="142">
        <f t="shared" si="10"/>
        <v>0</v>
      </c>
      <c r="AH122" s="141"/>
      <c r="AI122" s="67"/>
      <c r="AJ122" s="67"/>
      <c r="AK122" s="24"/>
      <c r="AL122" s="24"/>
      <c r="AM122" s="24"/>
      <c r="AN122" s="71"/>
      <c r="AO122" s="69"/>
      <c r="AP122" s="141"/>
      <c r="AQ122" s="141"/>
      <c r="AR122" s="141"/>
      <c r="AS122" s="141"/>
      <c r="AT122" s="141"/>
      <c r="AU122" s="141"/>
      <c r="AV122" s="141"/>
      <c r="AW122" s="141"/>
      <c r="AX122" s="141"/>
      <c r="AY122" s="141"/>
    </row>
    <row r="123" spans="1:51" ht="45" customHeight="1">
      <c r="A123" s="153">
        <f t="shared" si="9"/>
        <v>120</v>
      </c>
      <c r="B123" s="153"/>
      <c r="C123" s="140"/>
      <c r="D123" s="28"/>
      <c r="E123" s="69"/>
      <c r="F123" s="39">
        <v>0</v>
      </c>
      <c r="G123" s="21"/>
      <c r="H123" s="21"/>
      <c r="I123" s="21"/>
      <c r="J123" s="141"/>
      <c r="K123" s="21"/>
      <c r="L123" s="69"/>
      <c r="M123" s="141"/>
      <c r="N123" s="59"/>
      <c r="O123" s="59"/>
      <c r="P123" s="105"/>
      <c r="Q123" s="105"/>
      <c r="R123" s="105"/>
      <c r="S123" s="105"/>
      <c r="T123" s="105"/>
      <c r="U123" s="90"/>
      <c r="V123" s="90"/>
      <c r="W123" s="93"/>
      <c r="X123" s="93"/>
      <c r="Y123" s="93"/>
      <c r="Z123" s="29">
        <v>0</v>
      </c>
      <c r="AA123" s="145">
        <v>0</v>
      </c>
      <c r="AB123" s="145">
        <v>0</v>
      </c>
      <c r="AC123" s="145">
        <v>0</v>
      </c>
      <c r="AD123" s="145">
        <v>0</v>
      </c>
      <c r="AE123" s="145">
        <v>0</v>
      </c>
      <c r="AF123" s="145">
        <v>0</v>
      </c>
      <c r="AG123" s="142">
        <f t="shared" si="10"/>
        <v>0</v>
      </c>
      <c r="AH123" s="141"/>
      <c r="AI123" s="67"/>
      <c r="AJ123" s="67"/>
      <c r="AK123" s="24"/>
      <c r="AL123" s="24"/>
      <c r="AM123" s="24"/>
      <c r="AN123" s="71"/>
      <c r="AO123" s="69"/>
      <c r="AP123" s="141"/>
      <c r="AQ123" s="141"/>
      <c r="AR123" s="141"/>
      <c r="AS123" s="141"/>
      <c r="AT123" s="141"/>
      <c r="AU123" s="141"/>
      <c r="AV123" s="141"/>
      <c r="AW123" s="141"/>
      <c r="AX123" s="141"/>
      <c r="AY123" s="141"/>
    </row>
    <row r="124" spans="1:51" ht="45" customHeight="1">
      <c r="A124" s="153">
        <f t="shared" si="9"/>
        <v>121</v>
      </c>
      <c r="B124" s="153"/>
      <c r="C124" s="140"/>
      <c r="D124" s="28"/>
      <c r="E124" s="69"/>
      <c r="F124" s="39">
        <v>0</v>
      </c>
      <c r="G124" s="21"/>
      <c r="H124" s="21"/>
      <c r="I124" s="21"/>
      <c r="J124" s="141"/>
      <c r="K124" s="21"/>
      <c r="L124" s="69"/>
      <c r="M124" s="141"/>
      <c r="N124" s="59"/>
      <c r="O124" s="59"/>
      <c r="P124" s="105"/>
      <c r="Q124" s="105"/>
      <c r="R124" s="105"/>
      <c r="S124" s="105"/>
      <c r="T124" s="105"/>
      <c r="U124" s="90"/>
      <c r="V124" s="90"/>
      <c r="W124" s="93"/>
      <c r="X124" s="93"/>
      <c r="Y124" s="93"/>
      <c r="Z124" s="29">
        <v>0</v>
      </c>
      <c r="AA124" s="145">
        <v>0</v>
      </c>
      <c r="AB124" s="145">
        <v>0</v>
      </c>
      <c r="AC124" s="145">
        <v>0</v>
      </c>
      <c r="AD124" s="145">
        <v>0</v>
      </c>
      <c r="AE124" s="145">
        <v>0</v>
      </c>
      <c r="AF124" s="145">
        <v>0</v>
      </c>
      <c r="AG124" s="142">
        <f t="shared" si="10"/>
        <v>0</v>
      </c>
      <c r="AH124" s="141"/>
      <c r="AI124" s="67"/>
      <c r="AJ124" s="67"/>
      <c r="AK124" s="24"/>
      <c r="AL124" s="24"/>
      <c r="AM124" s="24"/>
      <c r="AN124" s="71"/>
      <c r="AO124" s="69"/>
      <c r="AP124" s="141"/>
      <c r="AQ124" s="141"/>
      <c r="AR124" s="141"/>
      <c r="AS124" s="141"/>
      <c r="AT124" s="141"/>
      <c r="AU124" s="141"/>
      <c r="AV124" s="141"/>
      <c r="AW124" s="141"/>
      <c r="AX124" s="141"/>
      <c r="AY124" s="141"/>
    </row>
    <row r="125" spans="1:51" ht="45" customHeight="1">
      <c r="A125" s="153">
        <f t="shared" si="9"/>
        <v>122</v>
      </c>
      <c r="B125" s="153"/>
      <c r="C125" s="140"/>
      <c r="D125" s="28"/>
      <c r="E125" s="69"/>
      <c r="F125" s="39">
        <v>0</v>
      </c>
      <c r="G125" s="21"/>
      <c r="H125" s="21"/>
      <c r="I125" s="21"/>
      <c r="J125" s="141"/>
      <c r="K125" s="21"/>
      <c r="L125" s="69"/>
      <c r="M125" s="141"/>
      <c r="N125" s="59"/>
      <c r="O125" s="59"/>
      <c r="P125" s="105"/>
      <c r="Q125" s="105"/>
      <c r="R125" s="105"/>
      <c r="S125" s="105"/>
      <c r="T125" s="105"/>
      <c r="U125" s="90"/>
      <c r="V125" s="90"/>
      <c r="W125" s="93"/>
      <c r="X125" s="93"/>
      <c r="Y125" s="93"/>
      <c r="Z125" s="29">
        <v>0</v>
      </c>
      <c r="AA125" s="145">
        <v>0</v>
      </c>
      <c r="AB125" s="145">
        <v>0</v>
      </c>
      <c r="AC125" s="145">
        <v>0</v>
      </c>
      <c r="AD125" s="145">
        <v>0</v>
      </c>
      <c r="AE125" s="145">
        <v>0</v>
      </c>
      <c r="AF125" s="145">
        <v>0</v>
      </c>
      <c r="AG125" s="142">
        <f t="shared" si="10"/>
        <v>0</v>
      </c>
      <c r="AH125" s="141"/>
      <c r="AI125" s="67"/>
      <c r="AJ125" s="67"/>
      <c r="AK125" s="24"/>
      <c r="AL125" s="24"/>
      <c r="AM125" s="24"/>
      <c r="AN125" s="71"/>
      <c r="AO125" s="69"/>
      <c r="AP125" s="141"/>
      <c r="AQ125" s="141"/>
      <c r="AR125" s="141"/>
      <c r="AS125" s="141"/>
      <c r="AT125" s="141"/>
      <c r="AU125" s="141"/>
      <c r="AV125" s="141"/>
      <c r="AW125" s="141"/>
      <c r="AX125" s="141"/>
      <c r="AY125" s="141"/>
    </row>
    <row r="126" spans="1:51" ht="45" customHeight="1">
      <c r="A126" s="153">
        <f t="shared" si="9"/>
        <v>123</v>
      </c>
      <c r="B126" s="153"/>
      <c r="C126" s="140"/>
      <c r="D126" s="28"/>
      <c r="E126" s="69"/>
      <c r="F126" s="39">
        <v>0</v>
      </c>
      <c r="G126" s="21"/>
      <c r="H126" s="21"/>
      <c r="I126" s="21"/>
      <c r="J126" s="141"/>
      <c r="K126" s="21"/>
      <c r="L126" s="69"/>
      <c r="M126" s="141"/>
      <c r="N126" s="59"/>
      <c r="O126" s="59"/>
      <c r="P126" s="105"/>
      <c r="Q126" s="105"/>
      <c r="R126" s="105"/>
      <c r="S126" s="105"/>
      <c r="T126" s="105"/>
      <c r="U126" s="90"/>
      <c r="V126" s="90"/>
      <c r="W126" s="93"/>
      <c r="X126" s="93"/>
      <c r="Y126" s="93"/>
      <c r="Z126" s="29">
        <v>0</v>
      </c>
      <c r="AA126" s="145">
        <v>0</v>
      </c>
      <c r="AB126" s="145">
        <v>0</v>
      </c>
      <c r="AC126" s="145">
        <v>0</v>
      </c>
      <c r="AD126" s="145">
        <v>0</v>
      </c>
      <c r="AE126" s="145">
        <v>0</v>
      </c>
      <c r="AF126" s="145">
        <v>0</v>
      </c>
      <c r="AG126" s="142">
        <f t="shared" si="10"/>
        <v>0</v>
      </c>
      <c r="AH126" s="141"/>
      <c r="AI126" s="67"/>
      <c r="AJ126" s="67"/>
      <c r="AK126" s="24"/>
      <c r="AL126" s="24"/>
      <c r="AM126" s="24"/>
      <c r="AN126" s="71"/>
      <c r="AO126" s="69"/>
      <c r="AP126" s="141"/>
      <c r="AQ126" s="141"/>
      <c r="AR126" s="141"/>
      <c r="AS126" s="141"/>
      <c r="AT126" s="141"/>
      <c r="AU126" s="141"/>
      <c r="AV126" s="141"/>
      <c r="AW126" s="141"/>
      <c r="AX126" s="141"/>
      <c r="AY126" s="141"/>
    </row>
    <row r="127" spans="1:51" ht="45" customHeight="1">
      <c r="A127" s="153">
        <f t="shared" si="9"/>
        <v>124</v>
      </c>
      <c r="B127" s="153"/>
      <c r="C127" s="140"/>
      <c r="D127" s="28"/>
      <c r="E127" s="69"/>
      <c r="F127" s="39">
        <v>0</v>
      </c>
      <c r="G127" s="21"/>
      <c r="H127" s="21"/>
      <c r="I127" s="21"/>
      <c r="J127" s="141"/>
      <c r="K127" s="21"/>
      <c r="L127" s="69"/>
      <c r="M127" s="141"/>
      <c r="N127" s="59"/>
      <c r="O127" s="59"/>
      <c r="P127" s="105"/>
      <c r="Q127" s="105"/>
      <c r="R127" s="105"/>
      <c r="S127" s="105"/>
      <c r="T127" s="105"/>
      <c r="U127" s="90"/>
      <c r="V127" s="90"/>
      <c r="W127" s="93"/>
      <c r="X127" s="93"/>
      <c r="Y127" s="93"/>
      <c r="Z127" s="29">
        <v>0</v>
      </c>
      <c r="AA127" s="145">
        <v>0</v>
      </c>
      <c r="AB127" s="145">
        <v>0</v>
      </c>
      <c r="AC127" s="145">
        <v>0</v>
      </c>
      <c r="AD127" s="145">
        <v>0</v>
      </c>
      <c r="AE127" s="145">
        <v>0</v>
      </c>
      <c r="AF127" s="145">
        <v>0</v>
      </c>
      <c r="AG127" s="142">
        <f t="shared" si="10"/>
        <v>0</v>
      </c>
      <c r="AH127" s="141"/>
      <c r="AI127" s="67"/>
      <c r="AJ127" s="67"/>
      <c r="AK127" s="24"/>
      <c r="AL127" s="24"/>
      <c r="AM127" s="24"/>
      <c r="AN127" s="71"/>
      <c r="AO127" s="69"/>
      <c r="AP127" s="141"/>
      <c r="AQ127" s="141"/>
      <c r="AR127" s="141"/>
      <c r="AS127" s="141"/>
      <c r="AT127" s="141"/>
      <c r="AU127" s="141"/>
      <c r="AV127" s="141"/>
      <c r="AW127" s="141"/>
      <c r="AX127" s="141"/>
      <c r="AY127" s="141"/>
    </row>
    <row r="128" spans="1:51" ht="45" customHeight="1">
      <c r="A128" s="153">
        <f t="shared" si="9"/>
        <v>125</v>
      </c>
      <c r="B128" s="153"/>
      <c r="C128" s="140"/>
      <c r="D128" s="28"/>
      <c r="E128" s="69"/>
      <c r="F128" s="39">
        <v>0</v>
      </c>
      <c r="G128" s="21"/>
      <c r="H128" s="21"/>
      <c r="I128" s="21"/>
      <c r="J128" s="141"/>
      <c r="K128" s="21"/>
      <c r="L128" s="69"/>
      <c r="M128" s="141"/>
      <c r="N128" s="59"/>
      <c r="O128" s="59"/>
      <c r="P128" s="105"/>
      <c r="Q128" s="105"/>
      <c r="R128" s="105"/>
      <c r="S128" s="105"/>
      <c r="T128" s="105"/>
      <c r="U128" s="90"/>
      <c r="V128" s="90"/>
      <c r="W128" s="93"/>
      <c r="X128" s="93"/>
      <c r="Y128" s="93"/>
      <c r="Z128" s="29">
        <v>0</v>
      </c>
      <c r="AA128" s="145">
        <v>0</v>
      </c>
      <c r="AB128" s="145">
        <v>0</v>
      </c>
      <c r="AC128" s="145">
        <v>0</v>
      </c>
      <c r="AD128" s="145">
        <v>0</v>
      </c>
      <c r="AE128" s="145">
        <v>0</v>
      </c>
      <c r="AF128" s="145">
        <v>0</v>
      </c>
      <c r="AG128" s="142">
        <f t="shared" si="10"/>
        <v>0</v>
      </c>
      <c r="AH128" s="141"/>
      <c r="AI128" s="67"/>
      <c r="AJ128" s="67"/>
      <c r="AK128" s="24"/>
      <c r="AL128" s="24"/>
      <c r="AM128" s="24"/>
      <c r="AN128" s="71"/>
      <c r="AO128" s="69"/>
      <c r="AP128" s="141"/>
      <c r="AQ128" s="141"/>
      <c r="AR128" s="141"/>
      <c r="AS128" s="141"/>
      <c r="AT128" s="141"/>
      <c r="AU128" s="141"/>
      <c r="AV128" s="141"/>
      <c r="AW128" s="141"/>
      <c r="AX128" s="141"/>
      <c r="AY128" s="141"/>
    </row>
    <row r="129" spans="1:51" ht="45" customHeight="1">
      <c r="A129" s="153">
        <f t="shared" si="9"/>
        <v>126</v>
      </c>
      <c r="B129" s="153"/>
      <c r="C129" s="140"/>
      <c r="D129" s="28"/>
      <c r="E129" s="69"/>
      <c r="F129" s="39">
        <v>0</v>
      </c>
      <c r="G129" s="21"/>
      <c r="H129" s="21"/>
      <c r="I129" s="21"/>
      <c r="J129" s="141"/>
      <c r="K129" s="21"/>
      <c r="L129" s="69"/>
      <c r="M129" s="141"/>
      <c r="N129" s="59"/>
      <c r="O129" s="59"/>
      <c r="P129" s="105"/>
      <c r="Q129" s="105"/>
      <c r="R129" s="105"/>
      <c r="S129" s="105"/>
      <c r="T129" s="105"/>
      <c r="U129" s="90"/>
      <c r="V129" s="90"/>
      <c r="W129" s="93"/>
      <c r="X129" s="93"/>
      <c r="Y129" s="93"/>
      <c r="Z129" s="29">
        <v>0</v>
      </c>
      <c r="AA129" s="145">
        <v>0</v>
      </c>
      <c r="AB129" s="145">
        <v>0</v>
      </c>
      <c r="AC129" s="145">
        <v>0</v>
      </c>
      <c r="AD129" s="145">
        <v>0</v>
      </c>
      <c r="AE129" s="145">
        <v>0</v>
      </c>
      <c r="AF129" s="145">
        <v>0</v>
      </c>
      <c r="AG129" s="142">
        <f t="shared" si="10"/>
        <v>0</v>
      </c>
      <c r="AH129" s="141"/>
      <c r="AI129" s="67"/>
      <c r="AJ129" s="67"/>
      <c r="AK129" s="24"/>
      <c r="AL129" s="24"/>
      <c r="AM129" s="24"/>
      <c r="AN129" s="71"/>
      <c r="AO129" s="69"/>
      <c r="AP129" s="141"/>
      <c r="AQ129" s="141"/>
      <c r="AR129" s="141"/>
      <c r="AS129" s="141"/>
      <c r="AT129" s="141"/>
      <c r="AU129" s="141"/>
      <c r="AV129" s="141"/>
      <c r="AW129" s="141"/>
      <c r="AX129" s="141"/>
      <c r="AY129" s="141"/>
    </row>
    <row r="130" spans="1:51" ht="45" customHeight="1">
      <c r="A130" s="153">
        <f t="shared" si="9"/>
        <v>127</v>
      </c>
      <c r="B130" s="153"/>
      <c r="C130" s="140"/>
      <c r="D130" s="28"/>
      <c r="E130" s="69"/>
      <c r="F130" s="39">
        <v>0</v>
      </c>
      <c r="G130" s="21"/>
      <c r="H130" s="21"/>
      <c r="I130" s="21"/>
      <c r="J130" s="141"/>
      <c r="K130" s="21"/>
      <c r="L130" s="69"/>
      <c r="M130" s="141"/>
      <c r="N130" s="59"/>
      <c r="O130" s="59"/>
      <c r="P130" s="105"/>
      <c r="Q130" s="105"/>
      <c r="R130" s="105"/>
      <c r="S130" s="105"/>
      <c r="T130" s="105"/>
      <c r="U130" s="90"/>
      <c r="V130" s="90"/>
      <c r="W130" s="93"/>
      <c r="X130" s="93"/>
      <c r="Y130" s="93"/>
      <c r="Z130" s="29">
        <v>0</v>
      </c>
      <c r="AA130" s="145">
        <v>0</v>
      </c>
      <c r="AB130" s="145">
        <v>0</v>
      </c>
      <c r="AC130" s="145">
        <v>0</v>
      </c>
      <c r="AD130" s="145">
        <v>0</v>
      </c>
      <c r="AE130" s="145">
        <v>0</v>
      </c>
      <c r="AF130" s="145">
        <v>0</v>
      </c>
      <c r="AG130" s="142">
        <f t="shared" si="10"/>
        <v>0</v>
      </c>
      <c r="AH130" s="141"/>
      <c r="AI130" s="67"/>
      <c r="AJ130" s="67"/>
      <c r="AK130" s="24"/>
      <c r="AL130" s="24"/>
      <c r="AM130" s="24"/>
      <c r="AN130" s="71"/>
      <c r="AO130" s="69"/>
      <c r="AP130" s="141"/>
      <c r="AQ130" s="141"/>
      <c r="AR130" s="141"/>
      <c r="AS130" s="141"/>
      <c r="AT130" s="141"/>
      <c r="AU130" s="141"/>
      <c r="AV130" s="141"/>
      <c r="AW130" s="141"/>
      <c r="AX130" s="141"/>
      <c r="AY130" s="141"/>
    </row>
    <row r="131" spans="1:51" ht="45" customHeight="1">
      <c r="A131" s="153">
        <f t="shared" si="9"/>
        <v>128</v>
      </c>
      <c r="B131" s="153"/>
      <c r="C131" s="140"/>
      <c r="D131" s="28"/>
      <c r="E131" s="69"/>
      <c r="F131" s="39">
        <v>0</v>
      </c>
      <c r="G131" s="21"/>
      <c r="H131" s="21"/>
      <c r="I131" s="21"/>
      <c r="J131" s="141"/>
      <c r="K131" s="21"/>
      <c r="L131" s="69"/>
      <c r="M131" s="141"/>
      <c r="N131" s="59"/>
      <c r="O131" s="59"/>
      <c r="P131" s="105"/>
      <c r="Q131" s="105"/>
      <c r="R131" s="105"/>
      <c r="S131" s="105"/>
      <c r="T131" s="105"/>
      <c r="U131" s="90"/>
      <c r="V131" s="90"/>
      <c r="W131" s="93"/>
      <c r="X131" s="93"/>
      <c r="Y131" s="93"/>
      <c r="Z131" s="29">
        <v>0</v>
      </c>
      <c r="AA131" s="145">
        <v>0</v>
      </c>
      <c r="AB131" s="145">
        <v>0</v>
      </c>
      <c r="AC131" s="145">
        <v>0</v>
      </c>
      <c r="AD131" s="145">
        <v>0</v>
      </c>
      <c r="AE131" s="145">
        <v>0</v>
      </c>
      <c r="AF131" s="145">
        <v>0</v>
      </c>
      <c r="AG131" s="142">
        <f t="shared" si="10"/>
        <v>0</v>
      </c>
      <c r="AH131" s="141"/>
      <c r="AI131" s="67"/>
      <c r="AJ131" s="67"/>
      <c r="AK131" s="24"/>
      <c r="AL131" s="24"/>
      <c r="AM131" s="24"/>
      <c r="AN131" s="71"/>
      <c r="AO131" s="69"/>
      <c r="AP131" s="141"/>
      <c r="AQ131" s="141"/>
      <c r="AR131" s="141"/>
      <c r="AS131" s="141"/>
      <c r="AT131" s="141"/>
      <c r="AU131" s="141"/>
      <c r="AV131" s="141"/>
      <c r="AW131" s="141"/>
      <c r="AX131" s="141"/>
      <c r="AY131" s="141"/>
    </row>
    <row r="132" spans="1:51" ht="45" customHeight="1">
      <c r="A132" s="153">
        <f t="shared" ref="A132:A155" si="11">A131+1</f>
        <v>129</v>
      </c>
      <c r="B132" s="153"/>
      <c r="C132" s="140"/>
      <c r="D132" s="28"/>
      <c r="E132" s="69"/>
      <c r="F132" s="39">
        <v>0</v>
      </c>
      <c r="G132" s="21"/>
      <c r="H132" s="21"/>
      <c r="I132" s="21"/>
      <c r="J132" s="141"/>
      <c r="K132" s="21"/>
      <c r="L132" s="69"/>
      <c r="M132" s="141"/>
      <c r="N132" s="59"/>
      <c r="O132" s="59"/>
      <c r="P132" s="105"/>
      <c r="Q132" s="105"/>
      <c r="R132" s="105"/>
      <c r="S132" s="105"/>
      <c r="T132" s="105"/>
      <c r="U132" s="90"/>
      <c r="V132" s="90"/>
      <c r="W132" s="93"/>
      <c r="X132" s="93"/>
      <c r="Y132" s="93"/>
      <c r="Z132" s="29">
        <v>0</v>
      </c>
      <c r="AA132" s="145">
        <v>0</v>
      </c>
      <c r="AB132" s="145">
        <v>0</v>
      </c>
      <c r="AC132" s="145">
        <v>0</v>
      </c>
      <c r="AD132" s="145">
        <v>0</v>
      </c>
      <c r="AE132" s="145">
        <v>0</v>
      </c>
      <c r="AF132" s="145">
        <v>0</v>
      </c>
      <c r="AG132" s="142">
        <f t="shared" si="10"/>
        <v>0</v>
      </c>
      <c r="AH132" s="141"/>
      <c r="AI132" s="67"/>
      <c r="AJ132" s="67"/>
      <c r="AK132" s="24"/>
      <c r="AL132" s="24"/>
      <c r="AM132" s="24"/>
      <c r="AN132" s="71"/>
      <c r="AO132" s="69"/>
      <c r="AP132" s="141"/>
      <c r="AQ132" s="141"/>
      <c r="AR132" s="141"/>
      <c r="AS132" s="141"/>
      <c r="AT132" s="141"/>
      <c r="AU132" s="141"/>
      <c r="AV132" s="141"/>
      <c r="AW132" s="141"/>
      <c r="AX132" s="141"/>
      <c r="AY132" s="141"/>
    </row>
    <row r="133" spans="1:51" ht="45" customHeight="1">
      <c r="A133" s="153">
        <f t="shared" si="11"/>
        <v>130</v>
      </c>
      <c r="B133" s="153"/>
      <c r="C133" s="140"/>
      <c r="D133" s="28"/>
      <c r="E133" s="69"/>
      <c r="F133" s="39">
        <v>0</v>
      </c>
      <c r="G133" s="21"/>
      <c r="H133" s="21"/>
      <c r="I133" s="21"/>
      <c r="J133" s="141"/>
      <c r="K133" s="21"/>
      <c r="L133" s="69"/>
      <c r="M133" s="141"/>
      <c r="N133" s="59"/>
      <c r="O133" s="59"/>
      <c r="P133" s="105"/>
      <c r="Q133" s="105"/>
      <c r="R133" s="105"/>
      <c r="S133" s="105"/>
      <c r="T133" s="105"/>
      <c r="U133" s="90"/>
      <c r="V133" s="90"/>
      <c r="W133" s="93"/>
      <c r="X133" s="93"/>
      <c r="Y133" s="93"/>
      <c r="Z133" s="29">
        <v>0</v>
      </c>
      <c r="AA133" s="145">
        <v>0</v>
      </c>
      <c r="AB133" s="145">
        <v>0</v>
      </c>
      <c r="AC133" s="145">
        <v>0</v>
      </c>
      <c r="AD133" s="145">
        <v>0</v>
      </c>
      <c r="AE133" s="145">
        <v>0</v>
      </c>
      <c r="AF133" s="145">
        <v>0</v>
      </c>
      <c r="AG133" s="142">
        <f t="shared" si="10"/>
        <v>0</v>
      </c>
      <c r="AH133" s="141"/>
      <c r="AI133" s="67"/>
      <c r="AJ133" s="67"/>
      <c r="AK133" s="24"/>
      <c r="AL133" s="24"/>
      <c r="AM133" s="24"/>
      <c r="AN133" s="71"/>
      <c r="AO133" s="69"/>
      <c r="AP133" s="141"/>
      <c r="AQ133" s="141"/>
      <c r="AR133" s="141"/>
      <c r="AS133" s="141"/>
      <c r="AT133" s="141"/>
      <c r="AU133" s="141"/>
      <c r="AV133" s="141"/>
      <c r="AW133" s="141"/>
      <c r="AX133" s="141"/>
      <c r="AY133" s="141"/>
    </row>
    <row r="134" spans="1:51" ht="45" customHeight="1">
      <c r="A134" s="153">
        <f t="shared" si="11"/>
        <v>131</v>
      </c>
      <c r="B134" s="153"/>
      <c r="C134" s="140"/>
      <c r="D134" s="28"/>
      <c r="E134" s="69"/>
      <c r="F134" s="39">
        <v>0</v>
      </c>
      <c r="G134" s="21"/>
      <c r="H134" s="21"/>
      <c r="I134" s="21"/>
      <c r="J134" s="141"/>
      <c r="K134" s="21"/>
      <c r="L134" s="69"/>
      <c r="M134" s="141"/>
      <c r="N134" s="59"/>
      <c r="O134" s="59"/>
      <c r="P134" s="105"/>
      <c r="Q134" s="105"/>
      <c r="R134" s="105"/>
      <c r="S134" s="105"/>
      <c r="T134" s="105"/>
      <c r="U134" s="90"/>
      <c r="V134" s="90"/>
      <c r="W134" s="93"/>
      <c r="X134" s="93"/>
      <c r="Y134" s="93"/>
      <c r="Z134" s="29">
        <v>0</v>
      </c>
      <c r="AA134" s="145">
        <v>0</v>
      </c>
      <c r="AB134" s="145">
        <v>0</v>
      </c>
      <c r="AC134" s="145">
        <v>0</v>
      </c>
      <c r="AD134" s="145">
        <v>0</v>
      </c>
      <c r="AE134" s="145">
        <v>0</v>
      </c>
      <c r="AF134" s="145">
        <v>0</v>
      </c>
      <c r="AG134" s="142">
        <f t="shared" ref="AG134:AG165" si="12">AVERAGE(Z134:AF134)</f>
        <v>0</v>
      </c>
      <c r="AH134" s="141"/>
      <c r="AI134" s="67"/>
      <c r="AJ134" s="67"/>
      <c r="AK134" s="24"/>
      <c r="AL134" s="24"/>
      <c r="AM134" s="24"/>
      <c r="AN134" s="71"/>
      <c r="AO134" s="69"/>
      <c r="AP134" s="141"/>
      <c r="AQ134" s="141"/>
      <c r="AR134" s="141"/>
      <c r="AS134" s="141"/>
      <c r="AT134" s="141"/>
      <c r="AU134" s="141"/>
      <c r="AV134" s="141"/>
      <c r="AW134" s="141"/>
      <c r="AX134" s="141"/>
      <c r="AY134" s="141"/>
    </row>
    <row r="135" spans="1:51" ht="45" customHeight="1">
      <c r="A135" s="153">
        <f t="shared" si="11"/>
        <v>132</v>
      </c>
      <c r="B135" s="153"/>
      <c r="C135" s="140"/>
      <c r="D135" s="28"/>
      <c r="E135" s="69"/>
      <c r="F135" s="39">
        <v>0</v>
      </c>
      <c r="G135" s="21"/>
      <c r="H135" s="21"/>
      <c r="I135" s="21"/>
      <c r="J135" s="141"/>
      <c r="K135" s="21"/>
      <c r="L135" s="69"/>
      <c r="M135" s="141"/>
      <c r="N135" s="59"/>
      <c r="O135" s="59"/>
      <c r="P135" s="105"/>
      <c r="Q135" s="105"/>
      <c r="R135" s="105"/>
      <c r="S135" s="105"/>
      <c r="T135" s="105"/>
      <c r="U135" s="90"/>
      <c r="V135" s="90"/>
      <c r="W135" s="93"/>
      <c r="X135" s="93"/>
      <c r="Y135" s="93"/>
      <c r="Z135" s="29">
        <v>0</v>
      </c>
      <c r="AA135" s="145">
        <v>0</v>
      </c>
      <c r="AB135" s="145">
        <v>0</v>
      </c>
      <c r="AC135" s="145">
        <v>0</v>
      </c>
      <c r="AD135" s="145">
        <v>0</v>
      </c>
      <c r="AE135" s="145">
        <v>0</v>
      </c>
      <c r="AF135" s="145">
        <v>0</v>
      </c>
      <c r="AG135" s="142">
        <f t="shared" si="12"/>
        <v>0</v>
      </c>
      <c r="AH135" s="141"/>
      <c r="AI135" s="67"/>
      <c r="AJ135" s="67"/>
      <c r="AK135" s="24"/>
      <c r="AL135" s="24"/>
      <c r="AM135" s="24"/>
      <c r="AN135" s="71"/>
      <c r="AO135" s="69"/>
      <c r="AP135" s="141"/>
      <c r="AQ135" s="141"/>
      <c r="AR135" s="141"/>
      <c r="AS135" s="141"/>
      <c r="AT135" s="141"/>
      <c r="AU135" s="141"/>
      <c r="AV135" s="141"/>
      <c r="AW135" s="141"/>
      <c r="AX135" s="141"/>
      <c r="AY135" s="141"/>
    </row>
    <row r="136" spans="1:51" ht="45" customHeight="1">
      <c r="A136" s="153">
        <f t="shared" si="11"/>
        <v>133</v>
      </c>
      <c r="B136" s="153"/>
      <c r="C136" s="140"/>
      <c r="D136" s="28"/>
      <c r="E136" s="69"/>
      <c r="F136" s="39">
        <v>0</v>
      </c>
      <c r="G136" s="21"/>
      <c r="H136" s="21"/>
      <c r="I136" s="21"/>
      <c r="J136" s="141"/>
      <c r="K136" s="21"/>
      <c r="L136" s="69"/>
      <c r="M136" s="141"/>
      <c r="N136" s="59"/>
      <c r="O136" s="59"/>
      <c r="P136" s="105"/>
      <c r="Q136" s="105"/>
      <c r="R136" s="105"/>
      <c r="S136" s="105"/>
      <c r="T136" s="105"/>
      <c r="U136" s="90"/>
      <c r="V136" s="90"/>
      <c r="W136" s="93"/>
      <c r="X136" s="93"/>
      <c r="Y136" s="93"/>
      <c r="Z136" s="29">
        <v>0</v>
      </c>
      <c r="AA136" s="145">
        <v>0</v>
      </c>
      <c r="AB136" s="145">
        <v>0</v>
      </c>
      <c r="AC136" s="145">
        <v>0</v>
      </c>
      <c r="AD136" s="145">
        <v>0</v>
      </c>
      <c r="AE136" s="145">
        <v>0</v>
      </c>
      <c r="AF136" s="145">
        <v>0</v>
      </c>
      <c r="AG136" s="142">
        <f t="shared" si="12"/>
        <v>0</v>
      </c>
      <c r="AH136" s="141"/>
      <c r="AI136" s="67"/>
      <c r="AJ136" s="67"/>
      <c r="AK136" s="24"/>
      <c r="AL136" s="24"/>
      <c r="AM136" s="24"/>
      <c r="AN136" s="71"/>
      <c r="AO136" s="69"/>
      <c r="AP136" s="141"/>
      <c r="AQ136" s="141"/>
      <c r="AR136" s="141"/>
      <c r="AS136" s="141"/>
      <c r="AT136" s="141"/>
      <c r="AU136" s="141"/>
      <c r="AV136" s="141"/>
      <c r="AW136" s="141"/>
      <c r="AX136" s="141"/>
      <c r="AY136" s="141"/>
    </row>
    <row r="137" spans="1:51" ht="45" customHeight="1">
      <c r="A137" s="153">
        <f t="shared" si="11"/>
        <v>134</v>
      </c>
      <c r="B137" s="153"/>
      <c r="C137" s="152"/>
      <c r="D137" s="28"/>
      <c r="E137" s="69"/>
      <c r="F137" s="39">
        <v>0</v>
      </c>
      <c r="G137" s="21"/>
      <c r="H137" s="21"/>
      <c r="I137" s="21"/>
      <c r="J137" s="141"/>
      <c r="K137" s="21"/>
      <c r="L137" s="69"/>
      <c r="M137" s="141"/>
      <c r="N137" s="59"/>
      <c r="O137" s="59"/>
      <c r="P137" s="105"/>
      <c r="Q137" s="105"/>
      <c r="R137" s="105"/>
      <c r="S137" s="105"/>
      <c r="T137" s="105"/>
      <c r="U137" s="90"/>
      <c r="V137" s="90"/>
      <c r="W137" s="93"/>
      <c r="X137" s="93"/>
      <c r="Y137" s="93"/>
      <c r="Z137" s="29">
        <v>0</v>
      </c>
      <c r="AA137" s="145">
        <v>0</v>
      </c>
      <c r="AB137" s="145">
        <v>0</v>
      </c>
      <c r="AC137" s="145">
        <v>0</v>
      </c>
      <c r="AD137" s="145">
        <v>0</v>
      </c>
      <c r="AE137" s="145">
        <v>0</v>
      </c>
      <c r="AF137" s="145">
        <v>0</v>
      </c>
      <c r="AG137" s="142">
        <f t="shared" si="12"/>
        <v>0</v>
      </c>
      <c r="AH137" s="141"/>
      <c r="AI137" s="67"/>
      <c r="AJ137" s="67"/>
      <c r="AK137" s="24"/>
      <c r="AL137" s="24"/>
      <c r="AM137" s="24"/>
      <c r="AN137" s="71"/>
      <c r="AO137" s="69"/>
      <c r="AP137" s="141"/>
      <c r="AQ137" s="141"/>
      <c r="AR137" s="141"/>
      <c r="AS137" s="141"/>
      <c r="AT137" s="141"/>
      <c r="AU137" s="141"/>
      <c r="AV137" s="141"/>
      <c r="AW137" s="141"/>
      <c r="AX137" s="141"/>
      <c r="AY137" s="141"/>
    </row>
    <row r="138" spans="1:51" ht="45" customHeight="1">
      <c r="A138" s="153">
        <f t="shared" si="11"/>
        <v>135</v>
      </c>
      <c r="B138" s="153"/>
      <c r="C138" s="153"/>
      <c r="D138" s="28"/>
      <c r="E138" s="69"/>
      <c r="F138" s="39">
        <v>0</v>
      </c>
      <c r="G138" s="21"/>
      <c r="H138" s="21"/>
      <c r="I138" s="21"/>
      <c r="J138" s="141"/>
      <c r="K138" s="21"/>
      <c r="L138" s="69"/>
      <c r="M138" s="141"/>
      <c r="N138" s="59"/>
      <c r="O138" s="59"/>
      <c r="P138" s="105"/>
      <c r="Q138" s="105"/>
      <c r="R138" s="105"/>
      <c r="S138" s="105"/>
      <c r="T138" s="105"/>
      <c r="U138" s="90"/>
      <c r="V138" s="90"/>
      <c r="W138" s="93"/>
      <c r="X138" s="93"/>
      <c r="Y138" s="93"/>
      <c r="Z138" s="29">
        <v>0</v>
      </c>
      <c r="AA138" s="145">
        <v>0</v>
      </c>
      <c r="AB138" s="145">
        <v>0</v>
      </c>
      <c r="AC138" s="145">
        <v>0</v>
      </c>
      <c r="AD138" s="145">
        <v>0</v>
      </c>
      <c r="AE138" s="145">
        <v>0</v>
      </c>
      <c r="AF138" s="145">
        <v>0</v>
      </c>
      <c r="AG138" s="142">
        <f t="shared" si="12"/>
        <v>0</v>
      </c>
      <c r="AH138" s="141"/>
      <c r="AI138" s="67"/>
      <c r="AJ138" s="67"/>
      <c r="AK138" s="24"/>
      <c r="AL138" s="24"/>
      <c r="AM138" s="24"/>
      <c r="AN138" s="71"/>
      <c r="AO138" s="69"/>
      <c r="AP138" s="141"/>
      <c r="AQ138" s="141"/>
      <c r="AR138" s="141"/>
      <c r="AS138" s="141"/>
      <c r="AT138" s="141"/>
      <c r="AU138" s="141"/>
      <c r="AV138" s="141"/>
      <c r="AW138" s="141"/>
      <c r="AX138" s="141"/>
      <c r="AY138" s="141"/>
    </row>
    <row r="139" spans="1:51" ht="45" customHeight="1">
      <c r="A139" s="153">
        <f t="shared" si="11"/>
        <v>136</v>
      </c>
      <c r="B139" s="153"/>
      <c r="C139" s="153"/>
      <c r="D139" s="28"/>
      <c r="E139" s="69"/>
      <c r="F139" s="39">
        <v>0</v>
      </c>
      <c r="G139" s="21"/>
      <c r="H139" s="21"/>
      <c r="I139" s="21"/>
      <c r="J139" s="141"/>
      <c r="K139" s="21"/>
      <c r="L139" s="69"/>
      <c r="M139" s="141"/>
      <c r="N139" s="59"/>
      <c r="O139" s="59"/>
      <c r="P139" s="105"/>
      <c r="Q139" s="105"/>
      <c r="R139" s="105"/>
      <c r="S139" s="105"/>
      <c r="T139" s="105"/>
      <c r="U139" s="90"/>
      <c r="V139" s="90"/>
      <c r="W139" s="93"/>
      <c r="X139" s="93"/>
      <c r="Y139" s="93"/>
      <c r="Z139" s="29">
        <v>0</v>
      </c>
      <c r="AA139" s="145">
        <v>0</v>
      </c>
      <c r="AB139" s="145">
        <v>0</v>
      </c>
      <c r="AC139" s="145">
        <v>0</v>
      </c>
      <c r="AD139" s="145">
        <v>0</v>
      </c>
      <c r="AE139" s="145">
        <v>0</v>
      </c>
      <c r="AF139" s="145">
        <v>0</v>
      </c>
      <c r="AG139" s="142">
        <f t="shared" si="12"/>
        <v>0</v>
      </c>
      <c r="AH139" s="141"/>
      <c r="AI139" s="67"/>
      <c r="AJ139" s="67"/>
      <c r="AK139" s="24"/>
      <c r="AL139" s="24"/>
      <c r="AM139" s="24"/>
      <c r="AN139" s="71"/>
      <c r="AO139" s="69"/>
      <c r="AP139" s="141"/>
      <c r="AQ139" s="141"/>
      <c r="AR139" s="141"/>
      <c r="AS139" s="141"/>
      <c r="AT139" s="141"/>
      <c r="AU139" s="141"/>
      <c r="AV139" s="141"/>
      <c r="AW139" s="141"/>
      <c r="AX139" s="141"/>
      <c r="AY139" s="141"/>
    </row>
    <row r="140" spans="1:51" ht="45" customHeight="1">
      <c r="A140" s="153">
        <f t="shared" si="11"/>
        <v>137</v>
      </c>
      <c r="B140" s="153"/>
      <c r="C140" s="153"/>
      <c r="D140" s="28"/>
      <c r="E140" s="69"/>
      <c r="F140" s="39">
        <v>0</v>
      </c>
      <c r="G140" s="21"/>
      <c r="H140" s="21"/>
      <c r="I140" s="21"/>
      <c r="J140" s="141"/>
      <c r="K140" s="21"/>
      <c r="L140" s="69"/>
      <c r="M140" s="141"/>
      <c r="N140" s="59"/>
      <c r="O140" s="59"/>
      <c r="P140" s="105"/>
      <c r="Q140" s="105"/>
      <c r="R140" s="105"/>
      <c r="S140" s="105"/>
      <c r="T140" s="105"/>
      <c r="U140" s="90"/>
      <c r="V140" s="90"/>
      <c r="W140" s="93"/>
      <c r="X140" s="93"/>
      <c r="Y140" s="93"/>
      <c r="Z140" s="29">
        <v>0</v>
      </c>
      <c r="AA140" s="145">
        <v>0</v>
      </c>
      <c r="AB140" s="145">
        <v>0</v>
      </c>
      <c r="AC140" s="145">
        <v>0</v>
      </c>
      <c r="AD140" s="145">
        <v>0</v>
      </c>
      <c r="AE140" s="145">
        <v>0</v>
      </c>
      <c r="AF140" s="145">
        <v>0</v>
      </c>
      <c r="AG140" s="142">
        <f t="shared" si="12"/>
        <v>0</v>
      </c>
      <c r="AH140" s="141"/>
      <c r="AI140" s="67"/>
      <c r="AJ140" s="67"/>
      <c r="AK140" s="24"/>
      <c r="AL140" s="24"/>
      <c r="AM140" s="24"/>
      <c r="AN140" s="71"/>
      <c r="AO140" s="69"/>
      <c r="AP140" s="141"/>
      <c r="AQ140" s="141"/>
      <c r="AR140" s="141"/>
      <c r="AS140" s="141"/>
      <c r="AT140" s="141"/>
      <c r="AU140" s="141"/>
      <c r="AV140" s="141"/>
      <c r="AW140" s="141"/>
      <c r="AX140" s="141"/>
      <c r="AY140" s="141"/>
    </row>
    <row r="141" spans="1:51" ht="45" customHeight="1">
      <c r="A141" s="153">
        <f t="shared" si="11"/>
        <v>138</v>
      </c>
      <c r="B141" s="153"/>
      <c r="C141" s="153"/>
      <c r="D141" s="28"/>
      <c r="E141" s="69"/>
      <c r="F141" s="39">
        <v>0</v>
      </c>
      <c r="G141" s="21"/>
      <c r="H141" s="21"/>
      <c r="I141" s="21"/>
      <c r="J141" s="141"/>
      <c r="K141" s="21"/>
      <c r="L141" s="69"/>
      <c r="M141" s="141"/>
      <c r="N141" s="59"/>
      <c r="O141" s="59"/>
      <c r="P141" s="105"/>
      <c r="Q141" s="105"/>
      <c r="R141" s="105"/>
      <c r="S141" s="105"/>
      <c r="T141" s="105"/>
      <c r="U141" s="90"/>
      <c r="V141" s="90"/>
      <c r="W141" s="93"/>
      <c r="X141" s="93"/>
      <c r="Y141" s="93"/>
      <c r="Z141" s="29">
        <v>0</v>
      </c>
      <c r="AA141" s="145">
        <v>0</v>
      </c>
      <c r="AB141" s="145">
        <v>0</v>
      </c>
      <c r="AC141" s="145">
        <v>0</v>
      </c>
      <c r="AD141" s="145">
        <v>0</v>
      </c>
      <c r="AE141" s="145">
        <v>0</v>
      </c>
      <c r="AF141" s="145">
        <v>0</v>
      </c>
      <c r="AG141" s="142">
        <f t="shared" si="12"/>
        <v>0</v>
      </c>
      <c r="AH141" s="141"/>
      <c r="AI141" s="67"/>
      <c r="AJ141" s="67"/>
      <c r="AK141" s="24"/>
      <c r="AL141" s="24"/>
      <c r="AM141" s="24"/>
      <c r="AN141" s="71"/>
      <c r="AO141" s="69"/>
      <c r="AP141" s="141"/>
      <c r="AQ141" s="141"/>
      <c r="AR141" s="141"/>
      <c r="AS141" s="141"/>
      <c r="AT141" s="141"/>
      <c r="AU141" s="141"/>
      <c r="AV141" s="141"/>
      <c r="AW141" s="141"/>
      <c r="AX141" s="141"/>
      <c r="AY141" s="141"/>
    </row>
    <row r="142" spans="1:51" ht="45" customHeight="1">
      <c r="A142" s="153">
        <f t="shared" si="11"/>
        <v>139</v>
      </c>
      <c r="B142" s="153"/>
      <c r="C142" s="153"/>
      <c r="D142" s="28"/>
      <c r="E142" s="69"/>
      <c r="F142" s="39">
        <v>0</v>
      </c>
      <c r="G142" s="21"/>
      <c r="H142" s="21"/>
      <c r="I142" s="21"/>
      <c r="J142" s="141"/>
      <c r="K142" s="21"/>
      <c r="L142" s="69"/>
      <c r="M142" s="141"/>
      <c r="N142" s="59"/>
      <c r="O142" s="59"/>
      <c r="P142" s="105"/>
      <c r="Q142" s="105"/>
      <c r="R142" s="105"/>
      <c r="S142" s="105"/>
      <c r="T142" s="105"/>
      <c r="U142" s="90"/>
      <c r="V142" s="90"/>
      <c r="W142" s="93"/>
      <c r="X142" s="93"/>
      <c r="Y142" s="93"/>
      <c r="Z142" s="29">
        <v>0</v>
      </c>
      <c r="AA142" s="145">
        <v>0</v>
      </c>
      <c r="AB142" s="145">
        <v>0</v>
      </c>
      <c r="AC142" s="145">
        <v>0</v>
      </c>
      <c r="AD142" s="145">
        <v>0</v>
      </c>
      <c r="AE142" s="145">
        <v>0</v>
      </c>
      <c r="AF142" s="145">
        <v>0</v>
      </c>
      <c r="AG142" s="142">
        <f t="shared" si="12"/>
        <v>0</v>
      </c>
      <c r="AH142" s="141"/>
      <c r="AI142" s="67"/>
      <c r="AJ142" s="67"/>
      <c r="AK142" s="24"/>
      <c r="AL142" s="24"/>
      <c r="AM142" s="24"/>
      <c r="AN142" s="71"/>
      <c r="AO142" s="69"/>
      <c r="AP142" s="141"/>
      <c r="AQ142" s="141"/>
      <c r="AR142" s="141"/>
      <c r="AS142" s="141"/>
      <c r="AT142" s="141"/>
      <c r="AU142" s="141"/>
      <c r="AV142" s="141"/>
      <c r="AW142" s="141"/>
      <c r="AX142" s="141"/>
      <c r="AY142" s="141"/>
    </row>
    <row r="143" spans="1:51" ht="45" customHeight="1">
      <c r="A143" s="153">
        <f t="shared" si="11"/>
        <v>140</v>
      </c>
      <c r="B143" s="153"/>
      <c r="C143" s="153"/>
      <c r="D143" s="28"/>
      <c r="E143" s="69"/>
      <c r="F143" s="39">
        <v>0</v>
      </c>
      <c r="G143" s="21"/>
      <c r="H143" s="21"/>
      <c r="I143" s="21"/>
      <c r="J143" s="141"/>
      <c r="K143" s="21"/>
      <c r="L143" s="69"/>
      <c r="M143" s="141"/>
      <c r="N143" s="59"/>
      <c r="O143" s="59"/>
      <c r="P143" s="105"/>
      <c r="Q143" s="105"/>
      <c r="R143" s="105"/>
      <c r="S143" s="105"/>
      <c r="T143" s="105"/>
      <c r="U143" s="90"/>
      <c r="V143" s="90"/>
      <c r="W143" s="93"/>
      <c r="X143" s="93"/>
      <c r="Y143" s="93"/>
      <c r="Z143" s="29">
        <v>0</v>
      </c>
      <c r="AA143" s="145">
        <v>0</v>
      </c>
      <c r="AB143" s="145">
        <v>0</v>
      </c>
      <c r="AC143" s="145">
        <v>0</v>
      </c>
      <c r="AD143" s="145">
        <v>0</v>
      </c>
      <c r="AE143" s="145">
        <v>0</v>
      </c>
      <c r="AF143" s="145">
        <v>0</v>
      </c>
      <c r="AG143" s="142">
        <f t="shared" si="12"/>
        <v>0</v>
      </c>
      <c r="AH143" s="141"/>
      <c r="AI143" s="67"/>
      <c r="AJ143" s="67"/>
      <c r="AK143" s="24"/>
      <c r="AL143" s="24"/>
      <c r="AM143" s="24"/>
      <c r="AN143" s="71"/>
      <c r="AO143" s="69"/>
      <c r="AP143" s="141"/>
      <c r="AQ143" s="141"/>
      <c r="AR143" s="141"/>
      <c r="AS143" s="141"/>
      <c r="AT143" s="141"/>
      <c r="AU143" s="141"/>
      <c r="AV143" s="141"/>
      <c r="AW143" s="141"/>
      <c r="AX143" s="141"/>
      <c r="AY143" s="141"/>
    </row>
    <row r="144" spans="1:51" ht="45" customHeight="1">
      <c r="A144" s="153">
        <f t="shared" si="11"/>
        <v>141</v>
      </c>
      <c r="B144" s="153"/>
      <c r="C144" s="153"/>
      <c r="D144" s="28"/>
      <c r="E144" s="69"/>
      <c r="F144" s="39">
        <v>0</v>
      </c>
      <c r="G144" s="21"/>
      <c r="H144" s="21"/>
      <c r="I144" s="21"/>
      <c r="J144" s="141"/>
      <c r="K144" s="21"/>
      <c r="L144" s="69"/>
      <c r="M144" s="141"/>
      <c r="N144" s="59"/>
      <c r="O144" s="59"/>
      <c r="P144" s="105"/>
      <c r="Q144" s="105"/>
      <c r="R144" s="105"/>
      <c r="S144" s="105"/>
      <c r="T144" s="105"/>
      <c r="U144" s="90"/>
      <c r="V144" s="90"/>
      <c r="W144" s="93"/>
      <c r="X144" s="93"/>
      <c r="Y144" s="93"/>
      <c r="Z144" s="29">
        <v>0</v>
      </c>
      <c r="AA144" s="145">
        <v>0</v>
      </c>
      <c r="AB144" s="145">
        <v>0</v>
      </c>
      <c r="AC144" s="145">
        <v>0</v>
      </c>
      <c r="AD144" s="145">
        <v>0</v>
      </c>
      <c r="AE144" s="145">
        <v>0</v>
      </c>
      <c r="AF144" s="145">
        <v>0</v>
      </c>
      <c r="AG144" s="142">
        <f t="shared" si="12"/>
        <v>0</v>
      </c>
      <c r="AH144" s="141"/>
      <c r="AI144" s="67"/>
      <c r="AJ144" s="67"/>
      <c r="AK144" s="24"/>
      <c r="AL144" s="24"/>
      <c r="AM144" s="24"/>
      <c r="AN144" s="71"/>
      <c r="AO144" s="69"/>
      <c r="AP144" s="141"/>
      <c r="AQ144" s="141"/>
      <c r="AR144" s="141"/>
      <c r="AS144" s="141"/>
      <c r="AT144" s="141"/>
      <c r="AU144" s="141"/>
      <c r="AV144" s="141"/>
      <c r="AW144" s="141"/>
      <c r="AX144" s="141"/>
      <c r="AY144" s="141"/>
    </row>
    <row r="145" spans="1:51" ht="45" customHeight="1">
      <c r="A145" s="153">
        <f t="shared" si="11"/>
        <v>142</v>
      </c>
      <c r="B145" s="153"/>
      <c r="C145" s="153"/>
      <c r="D145" s="28"/>
      <c r="E145" s="69"/>
      <c r="F145" s="39">
        <v>0</v>
      </c>
      <c r="G145" s="21"/>
      <c r="H145" s="21"/>
      <c r="I145" s="21"/>
      <c r="J145" s="141"/>
      <c r="K145" s="21"/>
      <c r="L145" s="69"/>
      <c r="M145" s="141"/>
      <c r="N145" s="59">
        <v>0</v>
      </c>
      <c r="O145" s="59"/>
      <c r="P145" s="105"/>
      <c r="Q145" s="105"/>
      <c r="R145" s="105"/>
      <c r="S145" s="105"/>
      <c r="T145" s="105"/>
      <c r="U145" s="90"/>
      <c r="V145" s="90"/>
      <c r="W145" s="93"/>
      <c r="X145" s="93"/>
      <c r="Y145" s="93"/>
      <c r="Z145" s="29">
        <v>0</v>
      </c>
      <c r="AA145" s="145">
        <v>0</v>
      </c>
      <c r="AB145" s="145">
        <v>0</v>
      </c>
      <c r="AC145" s="145">
        <v>0</v>
      </c>
      <c r="AD145" s="145">
        <v>0</v>
      </c>
      <c r="AE145" s="145">
        <v>0</v>
      </c>
      <c r="AF145" s="145">
        <v>0</v>
      </c>
      <c r="AG145" s="142">
        <f t="shared" si="12"/>
        <v>0</v>
      </c>
      <c r="AH145" s="141"/>
      <c r="AI145" s="67"/>
      <c r="AJ145" s="67"/>
      <c r="AK145" s="24"/>
      <c r="AL145" s="24"/>
      <c r="AM145" s="24"/>
      <c r="AN145" s="71"/>
      <c r="AO145" s="69"/>
      <c r="AP145" s="141"/>
      <c r="AQ145" s="141"/>
      <c r="AR145" s="141"/>
      <c r="AS145" s="141"/>
      <c r="AT145" s="141"/>
      <c r="AU145" s="141"/>
      <c r="AV145" s="141"/>
      <c r="AW145" s="141"/>
      <c r="AX145" s="141"/>
      <c r="AY145" s="141"/>
    </row>
    <row r="146" spans="1:51" ht="45" customHeight="1">
      <c r="A146" s="153">
        <f t="shared" si="11"/>
        <v>143</v>
      </c>
      <c r="B146" s="153"/>
      <c r="C146" s="153"/>
      <c r="D146" s="28"/>
      <c r="E146" s="69"/>
      <c r="F146" s="39">
        <v>0</v>
      </c>
      <c r="G146" s="21"/>
      <c r="H146" s="21"/>
      <c r="I146" s="21"/>
      <c r="J146" s="141"/>
      <c r="K146" s="21"/>
      <c r="L146" s="69"/>
      <c r="M146" s="141"/>
      <c r="N146" s="59">
        <v>0.5</v>
      </c>
      <c r="O146" s="59"/>
      <c r="P146" s="105"/>
      <c r="Q146" s="105"/>
      <c r="R146" s="105"/>
      <c r="S146" s="105"/>
      <c r="T146" s="105"/>
      <c r="U146" s="90"/>
      <c r="V146" s="90"/>
      <c r="W146" s="93"/>
      <c r="X146" s="93"/>
      <c r="Y146" s="93"/>
      <c r="Z146" s="29">
        <v>0</v>
      </c>
      <c r="AA146" s="145">
        <v>0</v>
      </c>
      <c r="AB146" s="145">
        <v>0</v>
      </c>
      <c r="AC146" s="145">
        <v>0</v>
      </c>
      <c r="AD146" s="145">
        <v>0</v>
      </c>
      <c r="AE146" s="145">
        <v>0</v>
      </c>
      <c r="AF146" s="145">
        <v>0</v>
      </c>
      <c r="AG146" s="142">
        <f t="shared" si="12"/>
        <v>0</v>
      </c>
      <c r="AH146" s="141"/>
      <c r="AI146" s="67"/>
      <c r="AJ146" s="67"/>
      <c r="AK146" s="24"/>
      <c r="AL146" s="24"/>
      <c r="AM146" s="24"/>
      <c r="AN146" s="71"/>
      <c r="AO146" s="69"/>
      <c r="AP146" s="141"/>
      <c r="AQ146" s="141"/>
      <c r="AR146" s="141"/>
      <c r="AS146" s="141"/>
      <c r="AT146" s="141"/>
      <c r="AU146" s="141"/>
      <c r="AV146" s="141"/>
      <c r="AW146" s="141"/>
      <c r="AX146" s="141"/>
      <c r="AY146" s="141"/>
    </row>
    <row r="147" spans="1:51" ht="45" customHeight="1">
      <c r="A147" s="153">
        <f t="shared" si="11"/>
        <v>144</v>
      </c>
      <c r="B147" s="153"/>
      <c r="C147" s="153"/>
      <c r="D147" s="28"/>
      <c r="E147" s="69"/>
      <c r="F147" s="39">
        <v>0</v>
      </c>
      <c r="G147" s="21"/>
      <c r="H147" s="21"/>
      <c r="I147" s="21"/>
      <c r="J147" s="141"/>
      <c r="K147" s="21"/>
      <c r="L147" s="69"/>
      <c r="M147" s="141"/>
      <c r="N147" s="59">
        <v>1</v>
      </c>
      <c r="O147" s="59"/>
      <c r="P147" s="105"/>
      <c r="Q147" s="105"/>
      <c r="R147" s="105"/>
      <c r="S147" s="105"/>
      <c r="T147" s="105"/>
      <c r="U147" s="90"/>
      <c r="V147" s="90"/>
      <c r="W147" s="93"/>
      <c r="X147" s="93"/>
      <c r="Y147" s="93"/>
      <c r="Z147" s="29">
        <v>0</v>
      </c>
      <c r="AA147" s="145">
        <v>0</v>
      </c>
      <c r="AB147" s="145">
        <v>0</v>
      </c>
      <c r="AC147" s="145">
        <v>0</v>
      </c>
      <c r="AD147" s="145">
        <v>0</v>
      </c>
      <c r="AE147" s="145">
        <v>0</v>
      </c>
      <c r="AF147" s="145">
        <v>0</v>
      </c>
      <c r="AG147" s="142">
        <f t="shared" si="12"/>
        <v>0</v>
      </c>
      <c r="AH147" s="141"/>
      <c r="AI147" s="67"/>
      <c r="AJ147" s="67"/>
      <c r="AK147" s="24"/>
      <c r="AL147" s="24"/>
      <c r="AM147" s="24"/>
      <c r="AN147" s="71"/>
      <c r="AO147" s="69"/>
      <c r="AP147" s="141"/>
      <c r="AQ147" s="141"/>
      <c r="AR147" s="141"/>
      <c r="AS147" s="141"/>
      <c r="AT147" s="141"/>
      <c r="AU147" s="141"/>
      <c r="AV147" s="141"/>
      <c r="AW147" s="141"/>
      <c r="AX147" s="141"/>
      <c r="AY147" s="141"/>
    </row>
    <row r="148" spans="1:51" ht="45" customHeight="1">
      <c r="A148" s="153">
        <f t="shared" si="11"/>
        <v>145</v>
      </c>
      <c r="B148" s="153"/>
      <c r="C148" s="153"/>
      <c r="D148" s="28"/>
      <c r="E148" s="69"/>
      <c r="F148" s="39">
        <v>0</v>
      </c>
      <c r="G148" s="21"/>
      <c r="H148" s="21"/>
      <c r="I148" s="21"/>
      <c r="J148" s="141"/>
      <c r="K148" s="21"/>
      <c r="L148" s="69"/>
      <c r="M148" s="141"/>
      <c r="N148" s="59">
        <v>1.5</v>
      </c>
      <c r="O148" s="59"/>
      <c r="P148" s="105"/>
      <c r="Q148" s="105"/>
      <c r="R148" s="105"/>
      <c r="S148" s="105"/>
      <c r="T148" s="105"/>
      <c r="U148" s="90"/>
      <c r="V148" s="90"/>
      <c r="W148" s="93"/>
      <c r="X148" s="93"/>
      <c r="Y148" s="93"/>
      <c r="Z148" s="29">
        <v>0</v>
      </c>
      <c r="AA148" s="145">
        <v>0</v>
      </c>
      <c r="AB148" s="145">
        <v>0</v>
      </c>
      <c r="AC148" s="145">
        <v>0</v>
      </c>
      <c r="AD148" s="145">
        <v>0</v>
      </c>
      <c r="AE148" s="145">
        <v>0</v>
      </c>
      <c r="AF148" s="145">
        <v>0</v>
      </c>
      <c r="AG148" s="142">
        <f t="shared" si="12"/>
        <v>0</v>
      </c>
      <c r="AH148" s="141"/>
      <c r="AI148" s="67"/>
      <c r="AJ148" s="67"/>
      <c r="AK148" s="24"/>
      <c r="AL148" s="24"/>
      <c r="AM148" s="24"/>
      <c r="AN148" s="71"/>
      <c r="AO148" s="69"/>
      <c r="AP148" s="141"/>
      <c r="AQ148" s="141"/>
      <c r="AR148" s="141"/>
      <c r="AS148" s="141"/>
      <c r="AT148" s="141"/>
      <c r="AU148" s="141"/>
      <c r="AV148" s="141"/>
      <c r="AW148" s="141"/>
      <c r="AX148" s="141"/>
      <c r="AY148" s="141"/>
    </row>
    <row r="149" spans="1:51" ht="45" customHeight="1">
      <c r="A149" s="153">
        <f t="shared" si="11"/>
        <v>146</v>
      </c>
      <c r="B149" s="153"/>
      <c r="C149" s="153"/>
      <c r="D149" s="28"/>
      <c r="E149" s="69"/>
      <c r="F149" s="39">
        <v>0</v>
      </c>
      <c r="G149" s="21"/>
      <c r="H149" s="21"/>
      <c r="I149" s="21"/>
      <c r="J149" s="141"/>
      <c r="K149" s="21"/>
      <c r="L149" s="69"/>
      <c r="M149" s="141"/>
      <c r="N149" s="59">
        <v>2</v>
      </c>
      <c r="O149" s="59"/>
      <c r="P149" s="105"/>
      <c r="Q149" s="105"/>
      <c r="R149" s="105"/>
      <c r="S149" s="105"/>
      <c r="T149" s="105"/>
      <c r="U149" s="90"/>
      <c r="V149" s="90"/>
      <c r="W149" s="93"/>
      <c r="X149" s="93"/>
      <c r="Y149" s="93"/>
      <c r="Z149" s="29">
        <v>0</v>
      </c>
      <c r="AA149" s="145">
        <v>0</v>
      </c>
      <c r="AB149" s="145">
        <v>0</v>
      </c>
      <c r="AC149" s="145">
        <v>0</v>
      </c>
      <c r="AD149" s="145">
        <v>0</v>
      </c>
      <c r="AE149" s="145">
        <v>0</v>
      </c>
      <c r="AF149" s="145">
        <v>0</v>
      </c>
      <c r="AG149" s="142">
        <f t="shared" si="12"/>
        <v>0</v>
      </c>
      <c r="AH149" s="141"/>
      <c r="AI149" s="67"/>
      <c r="AJ149" s="67"/>
      <c r="AK149" s="24"/>
      <c r="AL149" s="24"/>
      <c r="AM149" s="24"/>
      <c r="AN149" s="71"/>
      <c r="AO149" s="69"/>
      <c r="AP149" s="141"/>
      <c r="AQ149" s="141"/>
      <c r="AR149" s="141"/>
      <c r="AS149" s="141"/>
      <c r="AT149" s="141"/>
      <c r="AU149" s="141"/>
      <c r="AV149" s="141"/>
      <c r="AW149" s="141"/>
      <c r="AX149" s="141"/>
      <c r="AY149" s="141"/>
    </row>
    <row r="150" spans="1:51" ht="45" customHeight="1">
      <c r="A150" s="153">
        <f t="shared" si="11"/>
        <v>147</v>
      </c>
      <c r="B150" s="153"/>
      <c r="C150" s="153"/>
      <c r="D150" s="28"/>
      <c r="E150" s="69"/>
      <c r="F150" s="39">
        <v>0</v>
      </c>
      <c r="G150" s="21"/>
      <c r="H150" s="21"/>
      <c r="I150" s="21"/>
      <c r="J150" s="141"/>
      <c r="K150" s="21"/>
      <c r="L150" s="69"/>
      <c r="M150" s="141"/>
      <c r="N150" s="59">
        <v>2.5</v>
      </c>
      <c r="O150" s="59"/>
      <c r="P150" s="105"/>
      <c r="Q150" s="105"/>
      <c r="R150" s="105"/>
      <c r="S150" s="105"/>
      <c r="T150" s="105"/>
      <c r="U150" s="90"/>
      <c r="V150" s="90"/>
      <c r="W150" s="93"/>
      <c r="X150" s="93"/>
      <c r="Y150" s="93"/>
      <c r="Z150" s="29">
        <v>0</v>
      </c>
      <c r="AA150" s="145">
        <v>0</v>
      </c>
      <c r="AB150" s="145">
        <v>0</v>
      </c>
      <c r="AC150" s="145">
        <v>0</v>
      </c>
      <c r="AD150" s="145">
        <v>0</v>
      </c>
      <c r="AE150" s="145">
        <v>0</v>
      </c>
      <c r="AF150" s="145">
        <v>0</v>
      </c>
      <c r="AG150" s="142">
        <f t="shared" si="12"/>
        <v>0</v>
      </c>
      <c r="AH150" s="141"/>
      <c r="AI150" s="67"/>
      <c r="AJ150" s="67"/>
      <c r="AK150" s="24"/>
      <c r="AL150" s="24"/>
      <c r="AM150" s="24"/>
      <c r="AN150" s="71"/>
      <c r="AO150" s="69"/>
      <c r="AP150" s="141"/>
      <c r="AQ150" s="141"/>
      <c r="AR150" s="141"/>
      <c r="AS150" s="141"/>
      <c r="AT150" s="141"/>
      <c r="AU150" s="141"/>
      <c r="AV150" s="141"/>
      <c r="AW150" s="141"/>
      <c r="AX150" s="141"/>
      <c r="AY150" s="141"/>
    </row>
    <row r="151" spans="1:51" ht="45" customHeight="1">
      <c r="A151" s="153">
        <f t="shared" si="11"/>
        <v>148</v>
      </c>
      <c r="B151" s="153"/>
      <c r="C151" s="153"/>
      <c r="D151" s="28"/>
      <c r="E151" s="69"/>
      <c r="F151" s="39">
        <v>0</v>
      </c>
      <c r="G151" s="25"/>
      <c r="H151" s="25"/>
      <c r="I151" s="25"/>
      <c r="J151" s="154"/>
      <c r="K151" s="25"/>
      <c r="L151" s="69"/>
      <c r="M151" s="141"/>
      <c r="N151" s="59">
        <v>3</v>
      </c>
      <c r="O151" s="59"/>
      <c r="P151" s="105"/>
      <c r="Q151" s="105"/>
      <c r="R151" s="105"/>
      <c r="S151" s="105"/>
      <c r="T151" s="105"/>
      <c r="U151" s="90"/>
      <c r="V151" s="90"/>
      <c r="W151" s="93"/>
      <c r="X151" s="94"/>
      <c r="Y151" s="94"/>
      <c r="Z151" s="29">
        <v>0</v>
      </c>
      <c r="AA151" s="145">
        <v>0</v>
      </c>
      <c r="AB151" s="145">
        <v>0</v>
      </c>
      <c r="AC151" s="145">
        <v>0</v>
      </c>
      <c r="AD151" s="145">
        <v>0</v>
      </c>
      <c r="AE151" s="145">
        <v>0</v>
      </c>
      <c r="AF151" s="145">
        <v>0</v>
      </c>
      <c r="AG151" s="142">
        <f t="shared" si="12"/>
        <v>0</v>
      </c>
      <c r="AH151" s="141"/>
      <c r="AI151" s="67"/>
      <c r="AJ151" s="67"/>
      <c r="AK151" s="24"/>
      <c r="AL151" s="24"/>
      <c r="AM151" s="24"/>
      <c r="AN151" s="71"/>
      <c r="AO151" s="69"/>
      <c r="AP151" s="141"/>
      <c r="AQ151" s="141"/>
      <c r="AR151" s="141"/>
      <c r="AS151" s="141"/>
      <c r="AT151" s="141"/>
      <c r="AU151" s="141"/>
      <c r="AV151" s="141"/>
      <c r="AW151" s="141"/>
      <c r="AX151" s="141"/>
      <c r="AY151" s="141"/>
    </row>
    <row r="152" spans="1:51" ht="45" customHeight="1">
      <c r="A152" s="153">
        <f t="shared" si="11"/>
        <v>149</v>
      </c>
      <c r="B152" s="153"/>
      <c r="C152" s="153"/>
      <c r="D152" s="28"/>
      <c r="E152" s="69"/>
      <c r="F152" s="39">
        <v>0</v>
      </c>
      <c r="G152" s="21"/>
      <c r="H152" s="21"/>
      <c r="I152" s="21"/>
      <c r="J152" s="141"/>
      <c r="K152" s="21"/>
      <c r="L152" s="69"/>
      <c r="M152" s="141"/>
      <c r="N152" s="59">
        <v>3.5</v>
      </c>
      <c r="O152" s="59"/>
      <c r="P152" s="105"/>
      <c r="Q152" s="105"/>
      <c r="R152" s="105"/>
      <c r="S152" s="105"/>
      <c r="T152" s="105"/>
      <c r="U152" s="90"/>
      <c r="V152" s="90"/>
      <c r="W152" s="93"/>
      <c r="X152" s="96"/>
      <c r="Y152" s="96"/>
      <c r="Z152" s="29">
        <v>0</v>
      </c>
      <c r="AA152" s="145">
        <v>0</v>
      </c>
      <c r="AB152" s="145">
        <v>0</v>
      </c>
      <c r="AC152" s="145">
        <v>0</v>
      </c>
      <c r="AD152" s="145">
        <v>0</v>
      </c>
      <c r="AE152" s="145">
        <v>0</v>
      </c>
      <c r="AF152" s="145">
        <v>0</v>
      </c>
      <c r="AG152" s="142">
        <f t="shared" si="12"/>
        <v>0</v>
      </c>
      <c r="AH152" s="141"/>
      <c r="AI152" s="67"/>
      <c r="AJ152" s="67"/>
      <c r="AK152" s="24"/>
      <c r="AL152" s="24"/>
      <c r="AM152" s="24"/>
      <c r="AN152" s="71"/>
      <c r="AO152" s="69"/>
      <c r="AP152" s="141"/>
      <c r="AQ152" s="141"/>
      <c r="AR152" s="141"/>
      <c r="AS152" s="141"/>
      <c r="AT152" s="141"/>
      <c r="AU152" s="141"/>
      <c r="AV152" s="141"/>
      <c r="AW152" s="141"/>
      <c r="AX152" s="141"/>
      <c r="AY152" s="141"/>
    </row>
    <row r="153" spans="1:51" ht="45" customHeight="1">
      <c r="A153" s="153">
        <f t="shared" si="11"/>
        <v>150</v>
      </c>
      <c r="B153" s="153"/>
      <c r="C153" s="153"/>
      <c r="D153" s="28"/>
      <c r="E153" s="69"/>
      <c r="F153" s="39">
        <v>0</v>
      </c>
      <c r="G153" s="21"/>
      <c r="H153" s="21"/>
      <c r="I153" s="21"/>
      <c r="J153" s="141"/>
      <c r="K153" s="21"/>
      <c r="L153" s="69"/>
      <c r="M153" s="141"/>
      <c r="N153" s="59">
        <v>4</v>
      </c>
      <c r="O153" s="59"/>
      <c r="P153" s="105"/>
      <c r="Q153" s="105"/>
      <c r="R153" s="105"/>
      <c r="S153" s="105"/>
      <c r="T153" s="105"/>
      <c r="U153" s="90"/>
      <c r="V153" s="90"/>
      <c r="W153" s="93"/>
      <c r="X153" s="96"/>
      <c r="Y153" s="96"/>
      <c r="Z153" s="29">
        <v>0</v>
      </c>
      <c r="AA153" s="145">
        <v>0</v>
      </c>
      <c r="AB153" s="145">
        <v>0</v>
      </c>
      <c r="AC153" s="145">
        <v>0</v>
      </c>
      <c r="AD153" s="145">
        <v>0</v>
      </c>
      <c r="AE153" s="145">
        <v>0</v>
      </c>
      <c r="AF153" s="145">
        <v>0</v>
      </c>
      <c r="AG153" s="142">
        <f t="shared" si="12"/>
        <v>0</v>
      </c>
      <c r="AH153" s="141"/>
      <c r="AI153" s="67"/>
      <c r="AJ153" s="67"/>
      <c r="AK153" s="24"/>
      <c r="AL153" s="24"/>
      <c r="AM153" s="24"/>
      <c r="AN153" s="71"/>
      <c r="AO153" s="69"/>
      <c r="AP153" s="141"/>
      <c r="AQ153" s="141"/>
      <c r="AR153" s="141"/>
      <c r="AS153" s="141"/>
      <c r="AT153" s="141"/>
      <c r="AU153" s="141"/>
      <c r="AV153" s="141"/>
      <c r="AW153" s="141"/>
      <c r="AX153" s="141"/>
      <c r="AY153" s="141"/>
    </row>
    <row r="154" spans="1:51" ht="45" customHeight="1">
      <c r="A154" s="153">
        <f t="shared" si="11"/>
        <v>151</v>
      </c>
      <c r="B154" s="153"/>
      <c r="C154" s="28"/>
      <c r="D154" s="28"/>
      <c r="E154" s="69"/>
      <c r="F154" s="39">
        <v>0</v>
      </c>
      <c r="G154" s="21"/>
      <c r="H154" s="21"/>
      <c r="I154" s="21"/>
      <c r="J154" s="141"/>
      <c r="K154" s="21"/>
      <c r="L154" s="69"/>
      <c r="M154" s="141"/>
      <c r="N154" s="59">
        <v>4.5</v>
      </c>
      <c r="O154" s="59"/>
      <c r="P154" s="105"/>
      <c r="Q154" s="105"/>
      <c r="R154" s="105"/>
      <c r="S154" s="105"/>
      <c r="T154" s="105"/>
      <c r="U154" s="92"/>
      <c r="V154" s="90"/>
      <c r="W154" s="93"/>
      <c r="X154" s="96"/>
      <c r="Y154" s="96"/>
      <c r="Z154" s="29">
        <v>0</v>
      </c>
      <c r="AA154" s="145">
        <v>0</v>
      </c>
      <c r="AB154" s="145">
        <v>0</v>
      </c>
      <c r="AC154" s="145">
        <v>0</v>
      </c>
      <c r="AD154" s="145">
        <v>0</v>
      </c>
      <c r="AE154" s="145">
        <v>0</v>
      </c>
      <c r="AF154" s="145">
        <v>0</v>
      </c>
      <c r="AG154" s="142">
        <f t="shared" si="12"/>
        <v>0</v>
      </c>
      <c r="AH154" s="141"/>
      <c r="AI154" s="67"/>
      <c r="AJ154" s="67"/>
      <c r="AK154" s="24"/>
      <c r="AL154" s="24"/>
      <c r="AM154" s="24"/>
      <c r="AN154" s="71"/>
      <c r="AO154" s="69"/>
      <c r="AP154" s="141"/>
      <c r="AQ154" s="141"/>
      <c r="AR154" s="141"/>
      <c r="AS154" s="141"/>
      <c r="AT154" s="141"/>
      <c r="AU154" s="141"/>
      <c r="AV154" s="141"/>
      <c r="AW154" s="141"/>
      <c r="AX154" s="141"/>
      <c r="AY154" s="141"/>
    </row>
    <row r="155" spans="1:51" ht="45" customHeight="1">
      <c r="A155" s="153">
        <f t="shared" si="11"/>
        <v>152</v>
      </c>
      <c r="B155" s="153"/>
      <c r="C155" s="140"/>
      <c r="D155" s="140"/>
      <c r="E155" s="69"/>
      <c r="F155" s="70">
        <v>0</v>
      </c>
      <c r="G155" s="21"/>
      <c r="H155" s="21"/>
      <c r="I155" s="21"/>
      <c r="J155" s="141"/>
      <c r="K155" s="21"/>
      <c r="L155" s="69"/>
      <c r="M155" s="141"/>
      <c r="N155" s="59">
        <v>5</v>
      </c>
      <c r="O155" s="59"/>
      <c r="P155" s="105"/>
      <c r="Q155" s="105"/>
      <c r="R155" s="105"/>
      <c r="S155" s="105"/>
      <c r="T155" s="105"/>
      <c r="U155" s="90"/>
      <c r="V155" s="91"/>
      <c r="W155" s="93"/>
      <c r="X155" s="96"/>
      <c r="Y155" s="96"/>
      <c r="Z155" s="29">
        <v>0</v>
      </c>
      <c r="AA155" s="145">
        <v>0</v>
      </c>
      <c r="AB155" s="145">
        <v>0</v>
      </c>
      <c r="AC155" s="145">
        <v>0</v>
      </c>
      <c r="AD155" s="145">
        <v>0</v>
      </c>
      <c r="AE155" s="145">
        <v>0</v>
      </c>
      <c r="AF155" s="145">
        <v>0</v>
      </c>
      <c r="AG155" s="142">
        <f t="shared" si="12"/>
        <v>0</v>
      </c>
      <c r="AH155" s="141"/>
      <c r="AI155" s="67"/>
      <c r="AJ155" s="67"/>
      <c r="AK155" s="24"/>
      <c r="AL155" s="24"/>
      <c r="AM155" s="24"/>
      <c r="AN155" s="71"/>
      <c r="AO155" s="69"/>
      <c r="AP155" s="141"/>
      <c r="AQ155" s="141"/>
      <c r="AR155" s="141"/>
      <c r="AS155" s="141"/>
      <c r="AT155" s="141"/>
      <c r="AU155" s="141"/>
      <c r="AV155" s="141"/>
      <c r="AW155" s="141"/>
      <c r="AX155" s="141"/>
      <c r="AY155" s="141"/>
    </row>
  </sheetData>
  <autoFilter ref="A3:AY155" xr:uid="{696602BA-561E-4DCB-9536-28EA9CF1990B}">
    <sortState xmlns:xlrd2="http://schemas.microsoft.com/office/spreadsheetml/2017/richdata2" ref="A4:AY155">
      <sortCondition ref="C3:C155"/>
    </sortState>
  </autoFilter>
  <mergeCells count="6">
    <mergeCell ref="E1:M2"/>
    <mergeCell ref="U1:Y2"/>
    <mergeCell ref="AO1:AT1"/>
    <mergeCell ref="AU1:AY1"/>
    <mergeCell ref="AB2:AC2"/>
    <mergeCell ref="AD2:AF2"/>
  </mergeCells>
  <conditionalFormatting sqref="F4:F155">
    <cfRule type="iconSet" priority="6">
      <iconSet iconSet="5Rating">
        <cfvo type="percent" val="0"/>
        <cfvo type="percent" val="20"/>
        <cfvo type="percent" val="40"/>
        <cfvo type="percent" val="60"/>
        <cfvo type="percent" val="80"/>
      </iconSet>
    </cfRule>
  </conditionalFormatting>
  <conditionalFormatting sqref="N4:T155">
    <cfRule type="colorScale" priority="10">
      <colorScale>
        <cfvo type="min"/>
        <cfvo type="percentile" val="50"/>
        <cfvo type="max"/>
        <color rgb="FFF8696B"/>
        <color rgb="FFFFEB84"/>
        <color rgb="FF63BE7B"/>
      </colorScale>
    </cfRule>
  </conditionalFormatting>
  <conditionalFormatting sqref="P4:Q155">
    <cfRule type="containsText" dxfId="43" priority="1" operator="containsText" text="NON DÉFINI">
      <formula>NOT(ISERROR(SEARCH("NON DÉFINI",P4)))</formula>
    </cfRule>
    <cfRule type="containsText" dxfId="42" priority="2" operator="containsText" text="EXCELLENT">
      <formula>NOT(ISERROR(SEARCH("EXCELLENT",P4)))</formula>
    </cfRule>
    <cfRule type="containsText" dxfId="41" priority="3" operator="containsText" text="BON">
      <formula>NOT(ISERROR(SEARCH("BON",P4)))</formula>
    </cfRule>
    <cfRule type="containsText" dxfId="40" priority="4" operator="containsText" text="WARNING !">
      <formula>NOT(ISERROR(SEARCH("WARNING !",P4)))</formula>
    </cfRule>
    <cfRule type="containsText" dxfId="39" priority="5" operator="containsText" text="A AMÉLIORER">
      <formula>NOT(ISERROR(SEARCH("A AMÉLIORER",P4)))</formula>
    </cfRule>
  </conditionalFormatting>
  <conditionalFormatting sqref="U4:V155">
    <cfRule type="cellIs" dxfId="38" priority="7" operator="between">
      <formula>TODAY()</formula>
      <formula>TODAY()+7</formula>
    </cfRule>
    <cfRule type="cellIs" dxfId="37" priority="8" operator="greaterThanOrEqual">
      <formula>TODAY()+30</formula>
    </cfRule>
    <cfRule type="cellIs" dxfId="36" priority="9" operator="lessThan">
      <formula>TODAY()-30</formula>
    </cfRule>
  </conditionalFormatting>
  <conditionalFormatting sqref="Z4:AG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H4:AJ155 M4:M155" xr:uid="{A8018F36-46C7-4C0B-BBD3-3225A171F3F6}"/>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E3B03C7C-7249-4C37-8D65-DFE675ADE07C}">
          <x14:formula1>
            <xm:f>'Guide suivi GDP '!$E$34:$E$36</xm:f>
          </x14:formula1>
          <xm:sqref>C4:C155</xm:sqref>
        </x14:dataValidation>
        <x14:dataValidation type="list" showInputMessage="1" showErrorMessage="1" xr:uid="{6AC19F32-F991-4BD3-841D-03B6889A449C}">
          <x14:formula1>
            <xm:f>'Guide suivi GDP '!$E$31:$E$33</xm:f>
          </x14:formula1>
          <xm:sqref>B4:B155</xm:sqref>
        </x14:dataValidation>
        <x14:dataValidation type="list" allowBlank="1" showInputMessage="1" showErrorMessage="1" xr:uid="{03310453-9AB1-4F38-B3F9-5490F2557921}">
          <x14:formula1>
            <xm:f>'Guide suivi GDP '!$E$20:$E$24</xm:f>
          </x14:formula1>
          <xm:sqref>K4:K155</xm:sqref>
        </x14:dataValidation>
        <x14:dataValidation type="list" allowBlank="1" showInputMessage="1" showErrorMessage="1" xr:uid="{FB8617F1-D1B7-4519-80F1-EDD9496CDDEE}">
          <x14:formula1>
            <xm:f>'Guide suivi GDP '!$E$3:$E$8</xm:f>
          </x14:formula1>
          <xm:sqref>J4:J155</xm:sqref>
        </x14:dataValidation>
        <x14:dataValidation type="list" showInputMessage="1" showErrorMessage="1" xr:uid="{2F481AD4-2619-4650-A8B8-88BD97719784}">
          <x14:formula1>
            <xm:f>'Guide suivi GDP '!$E$9:$E$13</xm:f>
          </x14:formula1>
          <xm:sqref>P4:Q150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B2BE-20A0-4D99-99B1-883460D945D2}">
  <sheetPr>
    <tabColor rgb="FF92D050"/>
  </sheetPr>
  <dimension ref="A1:AZ155"/>
  <sheetViews>
    <sheetView workbookViewId="0">
      <pane xSplit="4" ySplit="3" topLeftCell="T16" activePane="bottomRight" state="frozen"/>
      <selection pane="topRight"/>
      <selection pane="bottomLeft"/>
      <selection pane="bottomRight" activeCell="Z19" sqref="Z19"/>
    </sheetView>
  </sheetViews>
  <sheetFormatPr baseColWidth="10" defaultColWidth="9.140625" defaultRowHeight="12.75" outlineLevelCol="1"/>
  <cols>
    <col min="1" max="1" width="3.4257812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9" width="12.28515625" style="5" customWidth="1" outlineLevel="1"/>
    <col min="10" max="10" width="11.7109375" style="5" customWidth="1" outlineLevel="1"/>
    <col min="11" max="11" width="17.42578125" style="5" customWidth="1" outlineLevel="1"/>
    <col min="12" max="12" width="16.7109375" style="26" customWidth="1"/>
    <col min="13" max="13" width="12.28515625" style="26" customWidth="1"/>
    <col min="14" max="15" width="9.140625" style="26" hidden="1" customWidth="1"/>
    <col min="16" max="16" width="12.28515625" style="26" bestFit="1" customWidth="1"/>
    <col min="17" max="17" width="11.42578125" style="26" customWidth="1"/>
    <col min="18" max="18" width="9.140625" style="26" customWidth="1"/>
    <col min="19" max="19" width="9.42578125" style="26" customWidth="1"/>
    <col min="20" max="20" width="11.5703125" style="26" customWidth="1"/>
    <col min="21" max="21" width="13.5703125" style="26" customWidth="1"/>
    <col min="22" max="23" width="14.85546875" style="26" customWidth="1"/>
    <col min="24" max="24" width="33.7109375" style="98" customWidth="1"/>
    <col min="25" max="25" width="50.140625" style="98" customWidth="1"/>
    <col min="26" max="26" width="39.28515625" style="98" customWidth="1"/>
    <col min="27" max="27" width="20" style="26" hidden="1" customWidth="1" outlineLevel="1" collapsed="1"/>
    <col min="28" max="28" width="17.7109375" style="26" hidden="1" customWidth="1" outlineLevel="1"/>
    <col min="29" max="29" width="13.28515625" style="26" hidden="1" customWidth="1" outlineLevel="1"/>
    <col min="30" max="30" width="11.140625" style="26" hidden="1" customWidth="1" outlineLevel="1"/>
    <col min="31" max="31" width="11.7109375" style="26" hidden="1" customWidth="1" outlineLevel="1"/>
    <col min="32" max="32" width="12.28515625" style="26" hidden="1" customWidth="1" outlineLevel="1"/>
    <col min="33" max="33" width="31.85546875" style="26" customWidth="1" outlineLevel="1"/>
    <col min="34" max="34" width="9.42578125" style="13" customWidth="1"/>
    <col min="35" max="35" width="28.5703125" style="13" hidden="1" customWidth="1" outlineLevel="1"/>
    <col min="36" max="36" width="21.42578125" style="13" hidden="1" customWidth="1" outlineLevel="1"/>
    <col min="37" max="37" width="26.85546875" style="13" hidden="1" customWidth="1" outlineLevel="1"/>
    <col min="38" max="39" width="30" style="26" hidden="1" customWidth="1" outlineLevel="1"/>
    <col min="40" max="40" width="33.5703125" style="13" hidden="1" customWidth="1" outlineLevel="1"/>
    <col min="41" max="41" width="2" style="13" customWidth="1" collapsed="1"/>
    <col min="42" max="42" width="44.28515625" style="26" customWidth="1"/>
    <col min="43" max="43" width="10.85546875" style="74" customWidth="1" outlineLevel="1"/>
    <col min="44" max="44" width="13.85546875" style="13" customWidth="1" outlineLevel="1"/>
    <col min="45" max="45" width="9.85546875" style="13" customWidth="1" outlineLevel="1"/>
    <col min="46" max="46" width="8.7109375" style="13" customWidth="1" outlineLevel="1"/>
    <col min="47" max="47" width="23.28515625" style="13" customWidth="1" outlineLevel="1"/>
    <col min="48" max="48" width="9.5703125" style="13" customWidth="1" outlineLevel="1"/>
    <col min="49" max="49" width="9.28515625" style="13" customWidth="1" outlineLevel="1"/>
    <col min="50" max="52" width="9.140625" style="13" customWidth="1" outlineLevel="1"/>
    <col min="53" max="53" width="9.140625" style="13" customWidth="1"/>
    <col min="54" max="16384" width="9.140625" style="13"/>
  </cols>
  <sheetData>
    <row r="1" spans="1:52" s="78" customFormat="1" ht="94.5">
      <c r="B1" s="88" t="s">
        <v>1044</v>
      </c>
      <c r="C1" s="99"/>
      <c r="D1" s="88" t="s">
        <v>718</v>
      </c>
      <c r="E1" s="210" t="s">
        <v>720</v>
      </c>
      <c r="F1" s="211"/>
      <c r="G1" s="211"/>
      <c r="H1" s="211"/>
      <c r="I1" s="211"/>
      <c r="J1" s="211"/>
      <c r="K1" s="211"/>
      <c r="L1" s="211"/>
      <c r="M1" s="211"/>
      <c r="N1" s="82" t="s">
        <v>870</v>
      </c>
      <c r="O1" s="82" t="s">
        <v>870</v>
      </c>
      <c r="P1" s="112" t="s">
        <v>871</v>
      </c>
      <c r="Q1" s="112" t="s">
        <v>872</v>
      </c>
      <c r="R1" s="82"/>
      <c r="S1" s="82"/>
      <c r="T1" s="82"/>
      <c r="U1" s="204" t="s">
        <v>719</v>
      </c>
      <c r="V1" s="204"/>
      <c r="W1" s="204"/>
      <c r="X1" s="204"/>
      <c r="Y1" s="204"/>
      <c r="Z1" s="205"/>
      <c r="AA1" s="79" t="s">
        <v>721</v>
      </c>
      <c r="AB1" s="80"/>
      <c r="AC1" s="80"/>
      <c r="AD1" s="80"/>
      <c r="AE1" s="80"/>
      <c r="AF1" s="80"/>
      <c r="AG1" s="80"/>
      <c r="AH1" s="80"/>
      <c r="AI1" s="77" t="s">
        <v>721</v>
      </c>
      <c r="AJ1" s="81"/>
      <c r="AK1" s="81"/>
      <c r="AL1" s="81"/>
      <c r="AM1" s="81"/>
      <c r="AN1" s="81"/>
      <c r="AP1" s="207" t="s">
        <v>722</v>
      </c>
      <c r="AQ1" s="207"/>
      <c r="AR1" s="207"/>
      <c r="AS1" s="207"/>
      <c r="AT1" s="207"/>
      <c r="AU1" s="208"/>
      <c r="AV1" s="206" t="s">
        <v>723</v>
      </c>
      <c r="AW1" s="206"/>
      <c r="AX1" s="206"/>
      <c r="AY1" s="206"/>
      <c r="AZ1" s="206"/>
    </row>
    <row r="2" spans="1:52" s="78" customFormat="1" ht="18">
      <c r="A2" s="82"/>
      <c r="B2" s="82"/>
      <c r="C2" s="82"/>
      <c r="D2" s="87">
        <f>SUBTOTAL(3,D4:D155)</f>
        <v>49</v>
      </c>
      <c r="E2" s="212"/>
      <c r="F2" s="213"/>
      <c r="G2" s="213"/>
      <c r="H2" s="213"/>
      <c r="I2" s="213"/>
      <c r="J2" s="213"/>
      <c r="K2" s="213"/>
      <c r="L2" s="213"/>
      <c r="M2" s="213"/>
      <c r="N2" s="109">
        <f>SUBTOTAL(1,N4:N144)</f>
        <v>3.0151515151515151</v>
      </c>
      <c r="O2" s="109">
        <f>SUBTOTAL(1,O4:O144)</f>
        <v>3.3484848484848486</v>
      </c>
      <c r="P2" s="128"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38.46153846153846</v>
      </c>
      <c r="Q2" s="128"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-14.285714285714278</v>
      </c>
      <c r="R2" s="104"/>
      <c r="S2" s="104"/>
      <c r="T2" s="104"/>
      <c r="U2" s="214"/>
      <c r="V2" s="204"/>
      <c r="W2" s="204"/>
      <c r="X2" s="204"/>
      <c r="Y2" s="204"/>
      <c r="Z2" s="205"/>
      <c r="AA2" s="156" t="s">
        <v>68</v>
      </c>
      <c r="AB2" s="156" t="s">
        <v>69</v>
      </c>
      <c r="AC2" s="209" t="s">
        <v>71</v>
      </c>
      <c r="AD2" s="209"/>
      <c r="AE2" s="209" t="s">
        <v>76</v>
      </c>
      <c r="AF2" s="209"/>
      <c r="AG2" s="209"/>
      <c r="AH2" s="84">
        <f>SUBTOTAL(1,AH4:AH34)</f>
        <v>0</v>
      </c>
      <c r="AI2" s="81"/>
      <c r="AJ2" s="81"/>
      <c r="AK2" s="81"/>
      <c r="AL2" s="81"/>
      <c r="AM2" s="81"/>
      <c r="AN2" s="81"/>
      <c r="AP2" s="85"/>
      <c r="AQ2" s="76">
        <f t="shared" ref="AQ2" si="0">SUBTOTAL(9,AQ4:AQ497)</f>
        <v>245</v>
      </c>
      <c r="AR2" s="75"/>
      <c r="AS2" s="76">
        <f>SUBTOTAL(9,AS4:AS497)</f>
        <v>570</v>
      </c>
      <c r="AT2" s="76">
        <f>SUBTOTAL(9,AT4:AT497)</f>
        <v>1670</v>
      </c>
      <c r="AU2" s="75"/>
      <c r="AV2" s="89">
        <f>SUBTOTAL(3,AV4:AV497)</f>
        <v>30</v>
      </c>
      <c r="AW2" s="89">
        <f t="shared" ref="AW2:AZ2" si="1">SUBTOTAL(3,AW4:AW497)</f>
        <v>37</v>
      </c>
      <c r="AX2" s="89">
        <f t="shared" si="1"/>
        <v>12</v>
      </c>
      <c r="AY2" s="89">
        <f t="shared" si="1"/>
        <v>8</v>
      </c>
      <c r="AZ2" s="89">
        <f t="shared" si="1"/>
        <v>20</v>
      </c>
    </row>
    <row r="3" spans="1:52" ht="63.75">
      <c r="A3" s="72">
        <v>0</v>
      </c>
      <c r="B3" s="72" t="s">
        <v>873</v>
      </c>
      <c r="C3" s="72" t="s">
        <v>598</v>
      </c>
      <c r="D3" s="72" t="s">
        <v>85</v>
      </c>
      <c r="E3" s="73" t="s">
        <v>730</v>
      </c>
      <c r="F3" s="73" t="s">
        <v>229</v>
      </c>
      <c r="G3" s="73" t="s">
        <v>86</v>
      </c>
      <c r="H3" s="73" t="s">
        <v>731</v>
      </c>
      <c r="I3" s="73" t="s">
        <v>874</v>
      </c>
      <c r="J3" s="133" t="s">
        <v>732</v>
      </c>
      <c r="K3" s="133" t="s">
        <v>88</v>
      </c>
      <c r="L3" s="73" t="s">
        <v>729</v>
      </c>
      <c r="M3" s="73" t="s">
        <v>734</v>
      </c>
      <c r="N3" s="107" t="s">
        <v>726</v>
      </c>
      <c r="O3" s="107" t="s">
        <v>727</v>
      </c>
      <c r="P3" s="107" t="s">
        <v>600</v>
      </c>
      <c r="Q3" s="131" t="s">
        <v>875</v>
      </c>
      <c r="R3" s="107" t="s">
        <v>876</v>
      </c>
      <c r="S3" s="97" t="s">
        <v>975</v>
      </c>
      <c r="T3" s="131" t="s">
        <v>976</v>
      </c>
      <c r="U3" s="107" t="s">
        <v>728</v>
      </c>
      <c r="V3" s="72" t="s">
        <v>601</v>
      </c>
      <c r="W3" s="132" t="s">
        <v>1045</v>
      </c>
      <c r="X3" s="97" t="s">
        <v>602</v>
      </c>
      <c r="Y3" s="97" t="s">
        <v>603</v>
      </c>
      <c r="Z3" s="97" t="s">
        <v>604</v>
      </c>
      <c r="AA3" s="73" t="s">
        <v>90</v>
      </c>
      <c r="AB3" s="73" t="s">
        <v>91</v>
      </c>
      <c r="AC3" s="73" t="s">
        <v>92</v>
      </c>
      <c r="AD3" s="73" t="s">
        <v>93</v>
      </c>
      <c r="AE3" s="73" t="s">
        <v>94</v>
      </c>
      <c r="AF3" s="73" t="s">
        <v>95</v>
      </c>
      <c r="AG3" s="73" t="s">
        <v>96</v>
      </c>
      <c r="AH3" s="73" t="s">
        <v>80</v>
      </c>
      <c r="AI3" s="72" t="s">
        <v>735</v>
      </c>
      <c r="AJ3" s="72" t="s">
        <v>736</v>
      </c>
      <c r="AK3" s="72" t="s">
        <v>737</v>
      </c>
      <c r="AL3" s="72" t="s">
        <v>738</v>
      </c>
      <c r="AM3" s="72" t="s">
        <v>739</v>
      </c>
      <c r="AN3" s="72" t="s">
        <v>740</v>
      </c>
      <c r="AO3" s="72"/>
      <c r="AP3" s="72" t="s">
        <v>741</v>
      </c>
      <c r="AQ3" s="102" t="s">
        <v>742</v>
      </c>
      <c r="AR3" s="72" t="s">
        <v>743</v>
      </c>
      <c r="AS3" s="103" t="s">
        <v>744</v>
      </c>
      <c r="AT3" s="103" t="s">
        <v>745</v>
      </c>
      <c r="AU3" s="72" t="s">
        <v>746</v>
      </c>
      <c r="AV3" s="102" t="s">
        <v>85</v>
      </c>
      <c r="AW3" s="102" t="s">
        <v>747</v>
      </c>
      <c r="AX3" s="102" t="s">
        <v>748</v>
      </c>
      <c r="AY3" s="102" t="s">
        <v>749</v>
      </c>
      <c r="AZ3" s="102" t="s">
        <v>750</v>
      </c>
    </row>
    <row r="4" spans="1:52" ht="45" customHeight="1">
      <c r="A4" s="153">
        <f t="shared" ref="A4:A35" si="2">A3+1</f>
        <v>1</v>
      </c>
      <c r="B4" s="153" t="s">
        <v>57</v>
      </c>
      <c r="C4" s="153" t="s">
        <v>65</v>
      </c>
      <c r="D4" s="153" t="s">
        <v>696</v>
      </c>
      <c r="E4" s="69" t="s">
        <v>834</v>
      </c>
      <c r="F4" s="39">
        <v>2</v>
      </c>
      <c r="G4" s="141" t="s">
        <v>835</v>
      </c>
      <c r="H4" s="141" t="s">
        <v>811</v>
      </c>
      <c r="I4" s="141"/>
      <c r="J4" s="141"/>
      <c r="K4" s="141"/>
      <c r="L4" s="69"/>
      <c r="M4" s="141"/>
      <c r="N4" s="59"/>
      <c r="O4" s="59"/>
      <c r="P4" s="105"/>
      <c r="Q4" s="105"/>
      <c r="R4" s="105"/>
      <c r="S4" s="105"/>
      <c r="T4" s="105"/>
      <c r="U4" s="130"/>
      <c r="V4" s="90"/>
      <c r="W4" s="90"/>
      <c r="X4" s="93"/>
      <c r="Y4" s="94"/>
      <c r="Z4" s="94"/>
      <c r="AA4" s="29">
        <v>0</v>
      </c>
      <c r="AB4" s="145">
        <v>0</v>
      </c>
      <c r="AC4" s="145">
        <v>0</v>
      </c>
      <c r="AD4" s="145">
        <v>0</v>
      </c>
      <c r="AE4" s="145">
        <v>0</v>
      </c>
      <c r="AF4" s="145">
        <v>0</v>
      </c>
      <c r="AG4" s="145">
        <v>0</v>
      </c>
      <c r="AH4" s="142">
        <f>AVERAGE(AA4:AG4)</f>
        <v>0</v>
      </c>
      <c r="AI4" s="141"/>
      <c r="AJ4" s="67"/>
      <c r="AK4" s="67"/>
      <c r="AL4" s="24"/>
      <c r="AM4" s="24"/>
      <c r="AN4" s="24"/>
      <c r="AO4" s="71"/>
      <c r="AP4" s="69" t="s">
        <v>836</v>
      </c>
      <c r="AQ4" s="141"/>
      <c r="AR4" s="141"/>
      <c r="AS4" s="141"/>
      <c r="AT4" s="141">
        <v>100</v>
      </c>
      <c r="AU4" s="86">
        <v>45931</v>
      </c>
      <c r="AV4" s="141"/>
      <c r="AW4" s="141" t="s">
        <v>757</v>
      </c>
      <c r="AX4" s="141"/>
      <c r="AY4" s="141"/>
      <c r="AZ4" s="141" t="s">
        <v>757</v>
      </c>
    </row>
    <row r="5" spans="1:52" ht="45" customHeight="1">
      <c r="A5" s="153">
        <f t="shared" si="2"/>
        <v>2</v>
      </c>
      <c r="B5" s="153" t="s">
        <v>57</v>
      </c>
      <c r="C5" s="153" t="s">
        <v>63</v>
      </c>
      <c r="D5" s="28" t="s">
        <v>152</v>
      </c>
      <c r="E5" s="69" t="s">
        <v>845</v>
      </c>
      <c r="F5" s="39">
        <v>3</v>
      </c>
      <c r="G5" s="141" t="s">
        <v>753</v>
      </c>
      <c r="H5" s="141" t="s">
        <v>210</v>
      </c>
      <c r="I5" s="141"/>
      <c r="J5" s="141" t="s">
        <v>14</v>
      </c>
      <c r="K5" s="141"/>
      <c r="L5" s="69"/>
      <c r="M5" s="141"/>
      <c r="N5" s="60">
        <v>2</v>
      </c>
      <c r="O5" s="60">
        <v>4</v>
      </c>
      <c r="P5" s="105" t="s">
        <v>34</v>
      </c>
      <c r="Q5" s="105" t="s">
        <v>35</v>
      </c>
      <c r="R5" s="106"/>
      <c r="S5" s="106" t="s">
        <v>1030</v>
      </c>
      <c r="T5" s="106" t="s">
        <v>753</v>
      </c>
      <c r="U5" s="90">
        <v>45951</v>
      </c>
      <c r="V5" s="90">
        <v>45973</v>
      </c>
      <c r="W5" s="90"/>
      <c r="X5" s="93" t="s">
        <v>686</v>
      </c>
      <c r="Y5" s="95" t="s">
        <v>687</v>
      </c>
      <c r="Z5" s="95"/>
      <c r="AA5" s="29">
        <v>0</v>
      </c>
      <c r="AB5" s="145">
        <v>0</v>
      </c>
      <c r="AC5" s="145">
        <v>0</v>
      </c>
      <c r="AD5" s="145">
        <v>0</v>
      </c>
      <c r="AE5" s="145">
        <v>0</v>
      </c>
      <c r="AF5" s="145">
        <v>0</v>
      </c>
      <c r="AG5" s="145">
        <v>0</v>
      </c>
      <c r="AH5" s="142">
        <f>AVERAGE(AA5:AG5)</f>
        <v>0</v>
      </c>
      <c r="AI5" s="141"/>
      <c r="AJ5" s="67"/>
      <c r="AK5" s="67"/>
      <c r="AL5" s="24"/>
      <c r="AM5" s="24"/>
      <c r="AN5" s="24"/>
      <c r="AO5" s="71"/>
      <c r="AP5" s="69" t="s">
        <v>846</v>
      </c>
      <c r="AQ5" s="141">
        <v>15</v>
      </c>
      <c r="AR5" s="141" t="s">
        <v>761</v>
      </c>
      <c r="AS5" s="141"/>
      <c r="AT5" s="141"/>
      <c r="AU5" s="141"/>
      <c r="AV5" s="141"/>
      <c r="AW5" s="141" t="s">
        <v>757</v>
      </c>
      <c r="AX5" s="141"/>
      <c r="AY5" s="141"/>
      <c r="AZ5" s="141"/>
    </row>
    <row r="6" spans="1:52" ht="45" customHeight="1">
      <c r="A6" s="153">
        <f t="shared" si="2"/>
        <v>3</v>
      </c>
      <c r="B6" s="153" t="s">
        <v>57</v>
      </c>
      <c r="C6" s="153" t="s">
        <v>61</v>
      </c>
      <c r="D6" s="28" t="s">
        <v>615</v>
      </c>
      <c r="E6" s="69" t="s">
        <v>780</v>
      </c>
      <c r="F6" s="39">
        <v>3</v>
      </c>
      <c r="G6" s="141" t="s">
        <v>764</v>
      </c>
      <c r="H6" s="141" t="s">
        <v>770</v>
      </c>
      <c r="I6" s="141"/>
      <c r="J6" s="141" t="s">
        <v>14</v>
      </c>
      <c r="K6" s="141"/>
      <c r="L6" s="69"/>
      <c r="M6" s="141"/>
      <c r="N6" s="59">
        <v>5</v>
      </c>
      <c r="O6" s="59">
        <v>5</v>
      </c>
      <c r="P6" s="105" t="s">
        <v>34</v>
      </c>
      <c r="Q6" s="105" t="s">
        <v>34</v>
      </c>
      <c r="R6" s="105"/>
      <c r="S6" s="105" t="s">
        <v>1046</v>
      </c>
      <c r="T6" s="105" t="s">
        <v>1047</v>
      </c>
      <c r="U6" s="90">
        <v>45965</v>
      </c>
      <c r="V6" s="90">
        <v>45968</v>
      </c>
      <c r="W6" s="90"/>
      <c r="X6" s="93" t="s">
        <v>1020</v>
      </c>
      <c r="Y6" s="96"/>
      <c r="Z6" s="96" t="s">
        <v>1021</v>
      </c>
      <c r="AA6" s="29">
        <v>0</v>
      </c>
      <c r="AB6" s="145">
        <v>0</v>
      </c>
      <c r="AC6" s="145">
        <v>0</v>
      </c>
      <c r="AD6" s="145">
        <v>0</v>
      </c>
      <c r="AE6" s="145">
        <v>0</v>
      </c>
      <c r="AF6" s="145">
        <v>0</v>
      </c>
      <c r="AG6" s="145">
        <v>0</v>
      </c>
      <c r="AH6" s="142">
        <f>AVERAGE(AA6:AG6)</f>
        <v>0</v>
      </c>
      <c r="AI6" s="141"/>
      <c r="AJ6" s="67"/>
      <c r="AK6" s="67"/>
      <c r="AL6" s="24"/>
      <c r="AM6" s="24"/>
      <c r="AN6" s="24"/>
      <c r="AO6" s="71"/>
      <c r="AP6" s="69" t="s">
        <v>781</v>
      </c>
      <c r="AQ6" s="141"/>
      <c r="AR6" s="141"/>
      <c r="AS6" s="141">
        <v>150</v>
      </c>
      <c r="AT6" s="141"/>
      <c r="AU6" s="141"/>
      <c r="AV6" s="141"/>
      <c r="AW6" s="141" t="s">
        <v>757</v>
      </c>
      <c r="AX6" s="141" t="s">
        <v>757</v>
      </c>
      <c r="AY6" s="141" t="s">
        <v>757</v>
      </c>
      <c r="AZ6" s="141"/>
    </row>
    <row r="7" spans="1:52" ht="45" customHeight="1">
      <c r="A7" s="153">
        <f t="shared" si="2"/>
        <v>4</v>
      </c>
      <c r="B7" s="153" t="s">
        <v>57</v>
      </c>
      <c r="C7" s="153" t="s">
        <v>61</v>
      </c>
      <c r="D7" s="28" t="s">
        <v>711</v>
      </c>
      <c r="E7" s="69" t="s">
        <v>711</v>
      </c>
      <c r="F7" s="39">
        <v>3</v>
      </c>
      <c r="G7" s="141" t="s">
        <v>764</v>
      </c>
      <c r="H7" s="141" t="s">
        <v>765</v>
      </c>
      <c r="I7" s="141"/>
      <c r="J7" s="141" t="s">
        <v>6</v>
      </c>
      <c r="K7" s="141"/>
      <c r="L7" s="69"/>
      <c r="M7" s="141"/>
      <c r="N7" s="59"/>
      <c r="O7" s="59"/>
      <c r="P7" s="105"/>
      <c r="Q7" s="105"/>
      <c r="R7" s="105"/>
      <c r="S7" s="105" t="s">
        <v>1048</v>
      </c>
      <c r="T7" s="105" t="s">
        <v>754</v>
      </c>
      <c r="U7" s="90">
        <v>45937</v>
      </c>
      <c r="V7" s="90"/>
      <c r="W7" s="90">
        <v>45976</v>
      </c>
      <c r="X7" s="93" t="s">
        <v>1024</v>
      </c>
      <c r="Y7" s="125" t="s">
        <v>896</v>
      </c>
      <c r="Z7" s="96"/>
      <c r="AA7" s="29"/>
      <c r="AB7" s="145"/>
      <c r="AC7" s="145"/>
      <c r="AD7" s="145"/>
      <c r="AE7" s="145"/>
      <c r="AF7" s="145"/>
      <c r="AG7" s="145"/>
      <c r="AH7" s="142"/>
      <c r="AI7" s="141"/>
      <c r="AJ7" s="67"/>
      <c r="AK7" s="67"/>
      <c r="AL7" s="24"/>
      <c r="AM7" s="24"/>
      <c r="AN7" s="24"/>
      <c r="AO7" s="71"/>
      <c r="AP7" s="69"/>
      <c r="AQ7" s="141">
        <v>5</v>
      </c>
      <c r="AR7" s="141"/>
      <c r="AS7" s="141"/>
      <c r="AT7" s="141"/>
      <c r="AU7" s="86"/>
      <c r="AV7" s="141" t="s">
        <v>757</v>
      </c>
      <c r="AW7" s="141" t="s">
        <v>757</v>
      </c>
      <c r="AX7" s="141"/>
      <c r="AY7" s="141"/>
      <c r="AZ7" s="141" t="s">
        <v>757</v>
      </c>
    </row>
    <row r="8" spans="1:52" ht="45" customHeight="1">
      <c r="A8" s="153">
        <f t="shared" si="2"/>
        <v>5</v>
      </c>
      <c r="B8" s="153" t="s">
        <v>57</v>
      </c>
      <c r="C8" s="153" t="s">
        <v>65</v>
      </c>
      <c r="D8" s="28" t="s">
        <v>707</v>
      </c>
      <c r="E8" s="69" t="s">
        <v>829</v>
      </c>
      <c r="F8" s="39">
        <v>4</v>
      </c>
      <c r="G8" s="141" t="s">
        <v>794</v>
      </c>
      <c r="H8" s="141" t="s">
        <v>797</v>
      </c>
      <c r="I8" s="141"/>
      <c r="J8" s="141" t="s">
        <v>14</v>
      </c>
      <c r="K8" s="141"/>
      <c r="L8" s="69"/>
      <c r="M8" s="141">
        <v>300</v>
      </c>
      <c r="N8" s="59"/>
      <c r="O8" s="59"/>
      <c r="P8" s="105" t="s">
        <v>33</v>
      </c>
      <c r="Q8" s="105" t="s">
        <v>31</v>
      </c>
      <c r="R8" s="105"/>
      <c r="S8" s="105" t="s">
        <v>1049</v>
      </c>
      <c r="T8" s="105" t="s">
        <v>1050</v>
      </c>
      <c r="U8" s="90"/>
      <c r="V8" s="90"/>
      <c r="W8" s="90">
        <v>45978</v>
      </c>
      <c r="X8" s="93" t="s">
        <v>1051</v>
      </c>
      <c r="Y8" s="96"/>
      <c r="Z8" s="96"/>
      <c r="AA8" s="29">
        <v>0</v>
      </c>
      <c r="AB8" s="145">
        <v>0</v>
      </c>
      <c r="AC8" s="145">
        <v>0</v>
      </c>
      <c r="AD8" s="145">
        <v>0</v>
      </c>
      <c r="AE8" s="145">
        <v>0</v>
      </c>
      <c r="AF8" s="145">
        <v>0</v>
      </c>
      <c r="AG8" s="145">
        <v>0</v>
      </c>
      <c r="AH8" s="142">
        <f t="shared" ref="AH8:AH18" si="3">AVERAGE(AA8:AG8)</f>
        <v>0</v>
      </c>
      <c r="AI8" s="141"/>
      <c r="AJ8" s="67"/>
      <c r="AK8" s="67"/>
      <c r="AL8" s="24"/>
      <c r="AM8" s="24"/>
      <c r="AN8" s="24"/>
      <c r="AO8" s="71"/>
      <c r="AP8" s="69" t="s">
        <v>830</v>
      </c>
      <c r="AQ8" s="141">
        <v>10</v>
      </c>
      <c r="AR8" s="141" t="s">
        <v>756</v>
      </c>
      <c r="AS8" s="141">
        <v>300</v>
      </c>
      <c r="AT8" s="141"/>
      <c r="AU8" s="86">
        <v>45901</v>
      </c>
      <c r="AV8" s="141" t="s">
        <v>757</v>
      </c>
      <c r="AW8" s="141"/>
      <c r="AX8" s="141"/>
      <c r="AY8" s="141"/>
      <c r="AZ8" s="141"/>
    </row>
    <row r="9" spans="1:52" ht="45" customHeight="1">
      <c r="A9" s="153">
        <f t="shared" si="2"/>
        <v>6</v>
      </c>
      <c r="B9" s="153" t="s">
        <v>57</v>
      </c>
      <c r="C9" s="153" t="s">
        <v>65</v>
      </c>
      <c r="D9" s="28" t="s">
        <v>671</v>
      </c>
      <c r="E9" s="69" t="s">
        <v>837</v>
      </c>
      <c r="F9" s="39">
        <v>2</v>
      </c>
      <c r="G9" s="141" t="s">
        <v>753</v>
      </c>
      <c r="H9" s="141" t="s">
        <v>805</v>
      </c>
      <c r="I9" s="141"/>
      <c r="J9" s="141" t="s">
        <v>26</v>
      </c>
      <c r="K9" s="141"/>
      <c r="L9" s="69"/>
      <c r="M9" s="141"/>
      <c r="N9" s="59">
        <v>3</v>
      </c>
      <c r="O9" s="59">
        <v>3</v>
      </c>
      <c r="P9" s="105" t="s">
        <v>35</v>
      </c>
      <c r="Q9" s="105" t="s">
        <v>35</v>
      </c>
      <c r="R9" s="105"/>
      <c r="S9" s="105" t="s">
        <v>1052</v>
      </c>
      <c r="T9" s="105" t="s">
        <v>1053</v>
      </c>
      <c r="U9" s="90"/>
      <c r="V9" s="90"/>
      <c r="W9" s="90">
        <v>45968</v>
      </c>
      <c r="X9" s="93" t="s">
        <v>672</v>
      </c>
      <c r="Y9" s="96" t="s">
        <v>1011</v>
      </c>
      <c r="Z9" s="96"/>
      <c r="AA9" s="29">
        <v>0</v>
      </c>
      <c r="AB9" s="145">
        <v>0</v>
      </c>
      <c r="AC9" s="145">
        <v>0</v>
      </c>
      <c r="AD9" s="145">
        <v>0</v>
      </c>
      <c r="AE9" s="145">
        <v>0</v>
      </c>
      <c r="AF9" s="145">
        <v>0</v>
      </c>
      <c r="AG9" s="145">
        <v>0</v>
      </c>
      <c r="AH9" s="142">
        <f t="shared" si="3"/>
        <v>0</v>
      </c>
      <c r="AI9" s="141"/>
      <c r="AJ9" s="67"/>
      <c r="AK9" s="67"/>
      <c r="AL9" s="24"/>
      <c r="AM9" s="24"/>
      <c r="AN9" s="24"/>
      <c r="AO9" s="71"/>
      <c r="AP9" s="69" t="s">
        <v>838</v>
      </c>
      <c r="AQ9" s="141"/>
      <c r="AR9" s="141"/>
      <c r="AS9" s="141"/>
      <c r="AT9" s="141">
        <v>60</v>
      </c>
      <c r="AU9" s="86">
        <v>45962</v>
      </c>
      <c r="AV9" s="141" t="s">
        <v>757</v>
      </c>
      <c r="AW9" s="141" t="s">
        <v>757</v>
      </c>
      <c r="AX9" s="141"/>
      <c r="AY9" s="141"/>
      <c r="AZ9" s="141"/>
    </row>
    <row r="10" spans="1:52" ht="45" customHeight="1">
      <c r="A10" s="153">
        <f t="shared" si="2"/>
        <v>7</v>
      </c>
      <c r="B10" s="153" t="s">
        <v>57</v>
      </c>
      <c r="C10" s="153" t="s">
        <v>61</v>
      </c>
      <c r="D10" s="28" t="s">
        <v>653</v>
      </c>
      <c r="E10" s="69" t="s">
        <v>752</v>
      </c>
      <c r="F10" s="39">
        <v>2</v>
      </c>
      <c r="G10" s="141" t="s">
        <v>753</v>
      </c>
      <c r="H10" s="141" t="s">
        <v>754</v>
      </c>
      <c r="I10" s="141"/>
      <c r="J10" s="141" t="s">
        <v>26</v>
      </c>
      <c r="K10" s="141" t="s">
        <v>48</v>
      </c>
      <c r="L10" s="69"/>
      <c r="M10" s="141"/>
      <c r="N10" s="59">
        <v>4.5</v>
      </c>
      <c r="O10" s="59">
        <v>4.5</v>
      </c>
      <c r="P10" s="105" t="s">
        <v>34</v>
      </c>
      <c r="Q10" s="105" t="s">
        <v>34</v>
      </c>
      <c r="R10" s="105"/>
      <c r="S10" s="105" t="s">
        <v>1054</v>
      </c>
      <c r="T10" s="105" t="s">
        <v>753</v>
      </c>
      <c r="U10" s="90">
        <v>45959</v>
      </c>
      <c r="V10" s="90">
        <v>45966</v>
      </c>
      <c r="W10" s="90">
        <v>45992</v>
      </c>
      <c r="X10" s="93" t="s">
        <v>654</v>
      </c>
      <c r="Y10" s="96"/>
      <c r="Z10" s="96"/>
      <c r="AA10" s="29">
        <v>0</v>
      </c>
      <c r="AB10" s="145">
        <v>0</v>
      </c>
      <c r="AC10" s="145">
        <v>0</v>
      </c>
      <c r="AD10" s="145">
        <v>0</v>
      </c>
      <c r="AE10" s="145">
        <v>0</v>
      </c>
      <c r="AF10" s="145">
        <v>0</v>
      </c>
      <c r="AG10" s="145">
        <v>0</v>
      </c>
      <c r="AH10" s="142">
        <f t="shared" si="3"/>
        <v>0</v>
      </c>
      <c r="AI10" s="141"/>
      <c r="AJ10" s="67"/>
      <c r="AK10" s="67"/>
      <c r="AL10" s="24"/>
      <c r="AM10" s="24"/>
      <c r="AN10" s="24"/>
      <c r="AO10" s="71"/>
      <c r="AP10" s="69" t="s">
        <v>755</v>
      </c>
      <c r="AQ10" s="141">
        <v>5</v>
      </c>
      <c r="AR10" s="141" t="s">
        <v>756</v>
      </c>
      <c r="AS10" s="141"/>
      <c r="AT10" s="141"/>
      <c r="AU10" s="141"/>
      <c r="AV10" s="141"/>
      <c r="AW10" s="141" t="s">
        <v>757</v>
      </c>
      <c r="AX10" s="141"/>
      <c r="AY10" s="141"/>
      <c r="AZ10" s="141"/>
    </row>
    <row r="11" spans="1:52" ht="45" customHeight="1">
      <c r="A11" s="153">
        <f t="shared" si="2"/>
        <v>8</v>
      </c>
      <c r="B11" s="153" t="s">
        <v>57</v>
      </c>
      <c r="C11" s="153" t="s">
        <v>61</v>
      </c>
      <c r="D11" s="28" t="s">
        <v>708</v>
      </c>
      <c r="E11" s="69" t="s">
        <v>758</v>
      </c>
      <c r="F11" s="39">
        <v>2</v>
      </c>
      <c r="G11" s="141" t="s">
        <v>753</v>
      </c>
      <c r="H11" s="141" t="s">
        <v>759</v>
      </c>
      <c r="I11" s="141"/>
      <c r="J11" s="141" t="s">
        <v>26</v>
      </c>
      <c r="K11" s="21"/>
      <c r="L11" s="69"/>
      <c r="M11" s="141"/>
      <c r="N11" s="59">
        <v>2.5</v>
      </c>
      <c r="O11" s="59">
        <v>5</v>
      </c>
      <c r="P11" s="105" t="s">
        <v>33</v>
      </c>
      <c r="Q11" s="105" t="s">
        <v>33</v>
      </c>
      <c r="R11" s="105"/>
      <c r="S11" s="105" t="s">
        <v>1055</v>
      </c>
      <c r="T11" s="105" t="s">
        <v>753</v>
      </c>
      <c r="U11" s="90">
        <v>45950</v>
      </c>
      <c r="V11" s="90">
        <v>45973</v>
      </c>
      <c r="W11" s="90"/>
      <c r="X11" s="93" t="s">
        <v>709</v>
      </c>
      <c r="Y11" s="96" t="s">
        <v>710</v>
      </c>
      <c r="Z11" s="96"/>
      <c r="AA11" s="29">
        <v>0</v>
      </c>
      <c r="AB11" s="145">
        <v>0</v>
      </c>
      <c r="AC11" s="145">
        <v>0</v>
      </c>
      <c r="AD11" s="145">
        <v>0</v>
      </c>
      <c r="AE11" s="145">
        <v>0</v>
      </c>
      <c r="AF11" s="145">
        <v>0</v>
      </c>
      <c r="AG11" s="145">
        <v>0</v>
      </c>
      <c r="AH11" s="142">
        <f t="shared" si="3"/>
        <v>0</v>
      </c>
      <c r="AI11" s="141"/>
      <c r="AJ11" s="67"/>
      <c r="AK11" s="67"/>
      <c r="AL11" s="24"/>
      <c r="AM11" s="24"/>
      <c r="AN11" s="24"/>
      <c r="AO11" s="71"/>
      <c r="AP11" s="69" t="s">
        <v>760</v>
      </c>
      <c r="AQ11" s="141">
        <v>5</v>
      </c>
      <c r="AR11" s="141" t="s">
        <v>761</v>
      </c>
      <c r="AS11" s="141"/>
      <c r="AT11" s="141"/>
      <c r="AU11" s="141"/>
      <c r="AV11" s="141" t="s">
        <v>757</v>
      </c>
      <c r="AW11" s="141" t="s">
        <v>757</v>
      </c>
      <c r="AX11" s="141" t="s">
        <v>757</v>
      </c>
      <c r="AY11" s="141"/>
      <c r="AZ11" s="141"/>
    </row>
    <row r="12" spans="1:52" ht="45" customHeight="1">
      <c r="A12" s="153">
        <f t="shared" si="2"/>
        <v>9</v>
      </c>
      <c r="B12" s="153" t="s">
        <v>57</v>
      </c>
      <c r="C12" s="153" t="s">
        <v>61</v>
      </c>
      <c r="D12" s="28" t="s">
        <v>611</v>
      </c>
      <c r="E12" s="69" t="s">
        <v>772</v>
      </c>
      <c r="F12" s="39">
        <v>2</v>
      </c>
      <c r="G12" s="141" t="s">
        <v>753</v>
      </c>
      <c r="H12" s="141" t="s">
        <v>770</v>
      </c>
      <c r="I12" s="141"/>
      <c r="J12" s="141" t="s">
        <v>26</v>
      </c>
      <c r="K12" s="141"/>
      <c r="L12" s="69"/>
      <c r="M12" s="141"/>
      <c r="N12" s="59">
        <v>4.5</v>
      </c>
      <c r="O12" s="59">
        <v>4.5</v>
      </c>
      <c r="P12" s="105" t="s">
        <v>34</v>
      </c>
      <c r="Q12" s="105" t="s">
        <v>34</v>
      </c>
      <c r="R12" s="105"/>
      <c r="S12" s="105" t="s">
        <v>1056</v>
      </c>
      <c r="T12" s="105" t="s">
        <v>753</v>
      </c>
      <c r="U12" s="90">
        <v>45909</v>
      </c>
      <c r="V12" s="90">
        <v>45979</v>
      </c>
      <c r="W12" s="90"/>
      <c r="X12" s="93" t="s">
        <v>612</v>
      </c>
      <c r="Y12" s="96" t="s">
        <v>613</v>
      </c>
      <c r="Z12" s="96" t="s">
        <v>614</v>
      </c>
      <c r="AA12" s="29">
        <v>0</v>
      </c>
      <c r="AB12" s="145">
        <v>0</v>
      </c>
      <c r="AC12" s="145">
        <v>0</v>
      </c>
      <c r="AD12" s="145">
        <v>0</v>
      </c>
      <c r="AE12" s="145">
        <v>0</v>
      </c>
      <c r="AF12" s="145">
        <v>0</v>
      </c>
      <c r="AG12" s="145">
        <v>0</v>
      </c>
      <c r="AH12" s="142">
        <f t="shared" si="3"/>
        <v>0</v>
      </c>
      <c r="AI12" s="141"/>
      <c r="AJ12" s="67"/>
      <c r="AK12" s="67"/>
      <c r="AL12" s="24"/>
      <c r="AM12" s="24"/>
      <c r="AN12" s="24"/>
      <c r="AO12" s="71"/>
      <c r="AP12" s="69" t="s">
        <v>773</v>
      </c>
      <c r="AQ12" s="141">
        <v>2</v>
      </c>
      <c r="AR12" s="141" t="s">
        <v>756</v>
      </c>
      <c r="AS12" s="141"/>
      <c r="AT12" s="141"/>
      <c r="AU12" s="141"/>
      <c r="AV12" s="141" t="s">
        <v>757</v>
      </c>
      <c r="AW12" s="141" t="s">
        <v>757</v>
      </c>
      <c r="AX12" s="141"/>
      <c r="AY12" s="141"/>
      <c r="AZ12" s="141" t="s">
        <v>757</v>
      </c>
    </row>
    <row r="13" spans="1:52" ht="45" customHeight="1">
      <c r="A13" s="153">
        <f t="shared" si="2"/>
        <v>10</v>
      </c>
      <c r="B13" s="153" t="s">
        <v>57</v>
      </c>
      <c r="C13" s="153" t="s">
        <v>61</v>
      </c>
      <c r="D13" s="28" t="s">
        <v>670</v>
      </c>
      <c r="E13" s="69" t="s">
        <v>763</v>
      </c>
      <c r="F13" s="39">
        <v>2</v>
      </c>
      <c r="G13" s="141" t="s">
        <v>764</v>
      </c>
      <c r="H13" s="141" t="s">
        <v>765</v>
      </c>
      <c r="I13" s="141"/>
      <c r="J13" s="141" t="s">
        <v>22</v>
      </c>
      <c r="K13" s="141"/>
      <c r="L13" s="69"/>
      <c r="M13" s="141"/>
      <c r="N13" s="59">
        <v>1</v>
      </c>
      <c r="O13" s="59">
        <v>4</v>
      </c>
      <c r="P13" s="105" t="s">
        <v>34</v>
      </c>
      <c r="Q13" s="105" t="s">
        <v>34</v>
      </c>
      <c r="R13" s="105"/>
      <c r="S13" s="105" t="s">
        <v>1057</v>
      </c>
      <c r="T13" s="105" t="s">
        <v>835</v>
      </c>
      <c r="U13" s="90"/>
      <c r="V13" s="90">
        <v>45968</v>
      </c>
      <c r="W13" s="90"/>
      <c r="X13" s="93"/>
      <c r="Y13" s="96"/>
      <c r="Z13" s="96"/>
      <c r="AA13" s="29">
        <v>0</v>
      </c>
      <c r="AB13" s="145">
        <v>0</v>
      </c>
      <c r="AC13" s="145">
        <v>0</v>
      </c>
      <c r="AD13" s="145">
        <v>0</v>
      </c>
      <c r="AE13" s="145">
        <v>0</v>
      </c>
      <c r="AF13" s="145">
        <v>0</v>
      </c>
      <c r="AG13" s="145">
        <v>0</v>
      </c>
      <c r="AH13" s="142">
        <f t="shared" si="3"/>
        <v>0</v>
      </c>
      <c r="AI13" s="141"/>
      <c r="AJ13" s="67"/>
      <c r="AK13" s="67"/>
      <c r="AL13" s="24"/>
      <c r="AM13" s="24"/>
      <c r="AN13" s="24"/>
      <c r="AO13" s="71"/>
      <c r="AP13" s="69" t="s">
        <v>766</v>
      </c>
      <c r="AQ13" s="141">
        <v>5</v>
      </c>
      <c r="AR13" s="141" t="s">
        <v>756</v>
      </c>
      <c r="AS13" s="141"/>
      <c r="AT13" s="141"/>
      <c r="AU13" s="141"/>
      <c r="AV13" s="141" t="s">
        <v>757</v>
      </c>
      <c r="AW13" s="141" t="s">
        <v>757</v>
      </c>
      <c r="AX13" s="141"/>
      <c r="AY13" s="141"/>
      <c r="AZ13" s="141"/>
    </row>
    <row r="14" spans="1:52" ht="45" customHeight="1">
      <c r="A14" s="153">
        <f t="shared" si="2"/>
        <v>11</v>
      </c>
      <c r="B14" s="153" t="s">
        <v>57</v>
      </c>
      <c r="C14" s="153" t="s">
        <v>61</v>
      </c>
      <c r="D14" s="28" t="s">
        <v>643</v>
      </c>
      <c r="E14" s="69" t="s">
        <v>789</v>
      </c>
      <c r="F14" s="39">
        <v>2</v>
      </c>
      <c r="G14" s="141" t="s">
        <v>764</v>
      </c>
      <c r="H14" s="141" t="s">
        <v>770</v>
      </c>
      <c r="I14" s="141"/>
      <c r="J14" s="141" t="s">
        <v>10</v>
      </c>
      <c r="K14" s="141"/>
      <c r="L14" s="69"/>
      <c r="M14" s="141" t="s">
        <v>880</v>
      </c>
      <c r="N14" s="59">
        <v>3</v>
      </c>
      <c r="O14" s="59">
        <v>3</v>
      </c>
      <c r="P14" s="105" t="s">
        <v>33</v>
      </c>
      <c r="Q14" s="105" t="s">
        <v>33</v>
      </c>
      <c r="R14" s="105"/>
      <c r="S14" s="105" t="s">
        <v>1022</v>
      </c>
      <c r="T14" s="105" t="s">
        <v>1058</v>
      </c>
      <c r="U14" s="90">
        <v>45961</v>
      </c>
      <c r="V14" s="90">
        <v>45968</v>
      </c>
      <c r="W14" s="90"/>
      <c r="X14" s="93" t="s">
        <v>1059</v>
      </c>
      <c r="Y14" s="96" t="s">
        <v>894</v>
      </c>
      <c r="Z14" s="96" t="s">
        <v>895</v>
      </c>
      <c r="AA14" s="29">
        <v>0</v>
      </c>
      <c r="AB14" s="145">
        <v>0</v>
      </c>
      <c r="AC14" s="145">
        <v>0</v>
      </c>
      <c r="AD14" s="145">
        <v>0</v>
      </c>
      <c r="AE14" s="145">
        <v>0</v>
      </c>
      <c r="AF14" s="145">
        <v>0</v>
      </c>
      <c r="AG14" s="145">
        <v>0</v>
      </c>
      <c r="AH14" s="142">
        <f t="shared" si="3"/>
        <v>0</v>
      </c>
      <c r="AI14" s="141"/>
      <c r="AJ14" s="67"/>
      <c r="AK14" s="67"/>
      <c r="AL14" s="24"/>
      <c r="AM14" s="24"/>
      <c r="AN14" s="24"/>
      <c r="AO14" s="71"/>
      <c r="AP14" s="69" t="s">
        <v>790</v>
      </c>
      <c r="AQ14" s="141"/>
      <c r="AR14" s="141"/>
      <c r="AS14" s="141"/>
      <c r="AT14" s="141">
        <v>35</v>
      </c>
      <c r="AU14" s="86">
        <v>45931</v>
      </c>
      <c r="AV14" s="141" t="s">
        <v>757</v>
      </c>
      <c r="AW14" s="141" t="s">
        <v>757</v>
      </c>
      <c r="AX14" s="141" t="s">
        <v>757</v>
      </c>
      <c r="AY14" s="141" t="s">
        <v>757</v>
      </c>
      <c r="AZ14" s="141"/>
    </row>
    <row r="15" spans="1:52" ht="45" customHeight="1">
      <c r="A15" s="153">
        <f t="shared" si="2"/>
        <v>12</v>
      </c>
      <c r="B15" s="153" t="s">
        <v>57</v>
      </c>
      <c r="C15" s="153" t="s">
        <v>61</v>
      </c>
      <c r="D15" s="28" t="s">
        <v>703</v>
      </c>
      <c r="E15" s="69" t="s">
        <v>791</v>
      </c>
      <c r="F15" s="39">
        <v>2</v>
      </c>
      <c r="G15" s="141" t="s">
        <v>764</v>
      </c>
      <c r="H15" s="141" t="s">
        <v>770</v>
      </c>
      <c r="I15" s="141"/>
      <c r="J15" s="141" t="s">
        <v>6</v>
      </c>
      <c r="K15" s="141"/>
      <c r="L15" s="69"/>
      <c r="M15" s="141"/>
      <c r="N15" s="59">
        <v>2</v>
      </c>
      <c r="O15" s="59">
        <v>2</v>
      </c>
      <c r="P15" s="105"/>
      <c r="Q15" s="105"/>
      <c r="R15" s="105"/>
      <c r="S15" s="105" t="s">
        <v>1060</v>
      </c>
      <c r="T15" s="105" t="s">
        <v>1061</v>
      </c>
      <c r="U15" s="90">
        <v>45915</v>
      </c>
      <c r="V15" s="90">
        <v>45968</v>
      </c>
      <c r="W15" s="90"/>
      <c r="X15" s="93"/>
      <c r="Y15" s="96" t="s">
        <v>704</v>
      </c>
      <c r="Z15" s="96"/>
      <c r="AA15" s="29">
        <v>0</v>
      </c>
      <c r="AB15" s="145">
        <v>0</v>
      </c>
      <c r="AC15" s="145">
        <v>0</v>
      </c>
      <c r="AD15" s="145">
        <v>0</v>
      </c>
      <c r="AE15" s="145">
        <v>0</v>
      </c>
      <c r="AF15" s="145">
        <v>0</v>
      </c>
      <c r="AG15" s="145">
        <v>0</v>
      </c>
      <c r="AH15" s="142">
        <f t="shared" si="3"/>
        <v>0</v>
      </c>
      <c r="AI15" s="141"/>
      <c r="AJ15" s="67"/>
      <c r="AK15" s="67"/>
      <c r="AL15" s="24"/>
      <c r="AM15" s="24"/>
      <c r="AN15" s="24"/>
      <c r="AO15" s="71"/>
      <c r="AP15" s="69" t="s">
        <v>792</v>
      </c>
      <c r="AQ15" s="141"/>
      <c r="AR15" s="141"/>
      <c r="AS15" s="141"/>
      <c r="AT15" s="141">
        <v>35</v>
      </c>
      <c r="AU15" s="86">
        <v>46023</v>
      </c>
      <c r="AV15" s="141" t="s">
        <v>757</v>
      </c>
      <c r="AW15" s="141" t="s">
        <v>757</v>
      </c>
      <c r="AX15" s="141" t="s">
        <v>757</v>
      </c>
      <c r="AY15" s="141"/>
      <c r="AZ15" s="141"/>
    </row>
    <row r="16" spans="1:52" ht="45" customHeight="1">
      <c r="A16" s="153">
        <f t="shared" si="2"/>
        <v>13</v>
      </c>
      <c r="B16" s="153" t="s">
        <v>57</v>
      </c>
      <c r="C16" s="153" t="s">
        <v>61</v>
      </c>
      <c r="D16" s="28" t="s">
        <v>697</v>
      </c>
      <c r="E16" s="69" t="s">
        <v>800</v>
      </c>
      <c r="F16" s="39">
        <v>2</v>
      </c>
      <c r="G16" s="141" t="s">
        <v>764</v>
      </c>
      <c r="H16" s="141" t="s">
        <v>770</v>
      </c>
      <c r="I16" s="141"/>
      <c r="J16" s="141" t="s">
        <v>6</v>
      </c>
      <c r="K16" s="21"/>
      <c r="L16" s="69"/>
      <c r="M16" s="141"/>
      <c r="N16" s="59">
        <v>1</v>
      </c>
      <c r="O16" s="59">
        <v>4</v>
      </c>
      <c r="P16" s="105"/>
      <c r="Q16" s="105"/>
      <c r="R16" s="105"/>
      <c r="S16" s="105"/>
      <c r="T16" s="105" t="s">
        <v>1062</v>
      </c>
      <c r="U16" s="90">
        <v>45778</v>
      </c>
      <c r="V16" s="90">
        <v>45986</v>
      </c>
      <c r="W16" s="90"/>
      <c r="X16" s="93" t="s">
        <v>899</v>
      </c>
      <c r="Y16" s="126" t="s">
        <v>699</v>
      </c>
      <c r="Z16" s="96"/>
      <c r="AA16" s="29">
        <v>0</v>
      </c>
      <c r="AB16" s="145">
        <v>0</v>
      </c>
      <c r="AC16" s="145">
        <v>0</v>
      </c>
      <c r="AD16" s="145">
        <v>0</v>
      </c>
      <c r="AE16" s="145">
        <v>0</v>
      </c>
      <c r="AF16" s="145">
        <v>0</v>
      </c>
      <c r="AG16" s="145">
        <v>0</v>
      </c>
      <c r="AH16" s="142">
        <f t="shared" si="3"/>
        <v>0</v>
      </c>
      <c r="AI16" s="141"/>
      <c r="AJ16" s="67"/>
      <c r="AK16" s="67"/>
      <c r="AL16" s="24"/>
      <c r="AM16" s="24"/>
      <c r="AN16" s="24"/>
      <c r="AO16" s="71"/>
      <c r="AP16" s="69" t="s">
        <v>801</v>
      </c>
      <c r="AQ16" s="141"/>
      <c r="AR16" s="141"/>
      <c r="AS16" s="141"/>
      <c r="AT16" s="141">
        <v>100</v>
      </c>
      <c r="AU16" s="86">
        <v>46023</v>
      </c>
      <c r="AV16" s="141" t="s">
        <v>757</v>
      </c>
      <c r="AW16" s="141" t="s">
        <v>757</v>
      </c>
      <c r="AX16" s="141"/>
      <c r="AY16" s="141"/>
      <c r="AZ16" s="141"/>
    </row>
    <row r="17" spans="1:52" ht="45" hidden="1" customHeight="1">
      <c r="A17" s="153">
        <f t="shared" si="2"/>
        <v>14</v>
      </c>
      <c r="B17" s="153" t="s">
        <v>57</v>
      </c>
      <c r="C17" s="153" t="s">
        <v>61</v>
      </c>
      <c r="D17" s="28" t="s">
        <v>693</v>
      </c>
      <c r="E17" s="69" t="s">
        <v>775</v>
      </c>
      <c r="F17" s="39">
        <v>2</v>
      </c>
      <c r="G17" s="141" t="s">
        <v>764</v>
      </c>
      <c r="H17" s="141" t="s">
        <v>770</v>
      </c>
      <c r="I17" s="141"/>
      <c r="J17" s="141" t="s">
        <v>26</v>
      </c>
      <c r="K17" s="141"/>
      <c r="L17" s="69"/>
      <c r="M17" s="141"/>
      <c r="N17" s="59">
        <v>3</v>
      </c>
      <c r="O17" s="59">
        <v>4</v>
      </c>
      <c r="P17" s="105" t="s">
        <v>34</v>
      </c>
      <c r="Q17" s="105" t="s">
        <v>32</v>
      </c>
      <c r="R17" s="105"/>
      <c r="S17" s="105" t="s">
        <v>1063</v>
      </c>
      <c r="T17" s="105" t="s">
        <v>1064</v>
      </c>
      <c r="U17" s="90">
        <v>45958</v>
      </c>
      <c r="V17" s="90">
        <v>45966</v>
      </c>
      <c r="W17" s="90">
        <v>45992</v>
      </c>
      <c r="X17" s="93" t="s">
        <v>1025</v>
      </c>
      <c r="Y17" s="96" t="s">
        <v>695</v>
      </c>
      <c r="Z17" s="96"/>
      <c r="AA17" s="29">
        <v>0</v>
      </c>
      <c r="AB17" s="145">
        <v>0</v>
      </c>
      <c r="AC17" s="145">
        <v>0</v>
      </c>
      <c r="AD17" s="145">
        <v>0</v>
      </c>
      <c r="AE17" s="145">
        <v>0</v>
      </c>
      <c r="AF17" s="145">
        <v>0</v>
      </c>
      <c r="AG17" s="145">
        <v>0</v>
      </c>
      <c r="AH17" s="142">
        <f t="shared" si="3"/>
        <v>0</v>
      </c>
      <c r="AI17" s="141"/>
      <c r="AJ17" s="67"/>
      <c r="AK17" s="67"/>
      <c r="AL17" s="24"/>
      <c r="AM17" s="24"/>
      <c r="AN17" s="24"/>
      <c r="AO17" s="71"/>
      <c r="AP17" s="69" t="s">
        <v>776</v>
      </c>
      <c r="AQ17" s="141">
        <v>5</v>
      </c>
      <c r="AR17" s="141" t="s">
        <v>761</v>
      </c>
      <c r="AS17" s="141"/>
      <c r="AT17" s="141"/>
      <c r="AU17" s="141"/>
      <c r="AV17" s="141" t="s">
        <v>757</v>
      </c>
      <c r="AW17" s="141" t="s">
        <v>757</v>
      </c>
      <c r="AX17" s="141"/>
      <c r="AY17" s="141"/>
      <c r="AZ17" s="141" t="s">
        <v>757</v>
      </c>
    </row>
    <row r="18" spans="1:52" ht="99" customHeight="1">
      <c r="A18" s="153">
        <f t="shared" si="2"/>
        <v>15</v>
      </c>
      <c r="B18" s="153" t="s">
        <v>57</v>
      </c>
      <c r="C18" s="153" t="s">
        <v>65</v>
      </c>
      <c r="D18" s="28" t="s">
        <v>650</v>
      </c>
      <c r="E18" s="69" t="s">
        <v>827</v>
      </c>
      <c r="F18" s="39">
        <v>3</v>
      </c>
      <c r="G18" s="141" t="s">
        <v>150</v>
      </c>
      <c r="H18" s="141" t="s">
        <v>797</v>
      </c>
      <c r="I18" s="141"/>
      <c r="J18" s="141" t="s">
        <v>14</v>
      </c>
      <c r="K18" s="21"/>
      <c r="L18" s="69"/>
      <c r="M18" s="141"/>
      <c r="N18" s="59">
        <v>4</v>
      </c>
      <c r="O18" s="59">
        <v>4</v>
      </c>
      <c r="P18" s="105" t="s">
        <v>34</v>
      </c>
      <c r="Q18" s="105" t="s">
        <v>31</v>
      </c>
      <c r="R18" s="105"/>
      <c r="S18" s="105" t="s">
        <v>1065</v>
      </c>
      <c r="T18" s="105" t="s">
        <v>759</v>
      </c>
      <c r="U18" s="90">
        <v>45965</v>
      </c>
      <c r="V18" s="90">
        <v>45979</v>
      </c>
      <c r="W18" s="90">
        <v>45979</v>
      </c>
      <c r="X18" s="93" t="s">
        <v>1066</v>
      </c>
      <c r="Y18" s="96" t="s">
        <v>1003</v>
      </c>
      <c r="Z18" s="96" t="s">
        <v>1067</v>
      </c>
      <c r="AA18" s="29">
        <v>0</v>
      </c>
      <c r="AB18" s="145">
        <v>0</v>
      </c>
      <c r="AC18" s="145">
        <v>0</v>
      </c>
      <c r="AD18" s="145">
        <v>0</v>
      </c>
      <c r="AE18" s="145">
        <v>0</v>
      </c>
      <c r="AF18" s="145">
        <v>0</v>
      </c>
      <c r="AG18" s="145">
        <v>0</v>
      </c>
      <c r="AH18" s="142">
        <f t="shared" si="3"/>
        <v>0</v>
      </c>
      <c r="AI18" s="141"/>
      <c r="AJ18" s="67"/>
      <c r="AK18" s="67"/>
      <c r="AL18" s="24"/>
      <c r="AM18" s="24"/>
      <c r="AN18" s="24"/>
      <c r="AO18" s="71"/>
      <c r="AP18" s="69" t="s">
        <v>828</v>
      </c>
      <c r="AQ18" s="141"/>
      <c r="AR18" s="141"/>
      <c r="AS18" s="141">
        <v>80</v>
      </c>
      <c r="AT18" s="141"/>
      <c r="AU18" s="141"/>
      <c r="AV18" s="141"/>
      <c r="AW18" s="141" t="s">
        <v>757</v>
      </c>
      <c r="AX18" s="141" t="s">
        <v>757</v>
      </c>
      <c r="AY18" s="141"/>
      <c r="AZ18" s="141"/>
    </row>
    <row r="19" spans="1:52" ht="45" customHeight="1">
      <c r="A19" s="153">
        <f t="shared" si="2"/>
        <v>16</v>
      </c>
      <c r="B19" s="153" t="s">
        <v>57</v>
      </c>
      <c r="C19" s="153" t="s">
        <v>61</v>
      </c>
      <c r="D19" s="28" t="s">
        <v>904</v>
      </c>
      <c r="E19" s="69" t="s">
        <v>905</v>
      </c>
      <c r="F19" s="39">
        <v>1</v>
      </c>
      <c r="G19" s="141" t="s">
        <v>753</v>
      </c>
      <c r="H19" s="141" t="s">
        <v>754</v>
      </c>
      <c r="I19" s="141"/>
      <c r="J19" s="141" t="s">
        <v>26</v>
      </c>
      <c r="K19" s="141"/>
      <c r="L19" s="69"/>
      <c r="M19" s="141"/>
      <c r="N19" s="59"/>
      <c r="O19" s="59"/>
      <c r="P19" s="105" t="s">
        <v>34</v>
      </c>
      <c r="Q19" s="105" t="s">
        <v>34</v>
      </c>
      <c r="R19" s="105"/>
      <c r="S19" s="105" t="s">
        <v>1068</v>
      </c>
      <c r="T19" s="105" t="s">
        <v>753</v>
      </c>
      <c r="U19" s="90"/>
      <c r="V19" s="90">
        <v>45982</v>
      </c>
      <c r="W19" s="90"/>
      <c r="X19" s="93"/>
      <c r="Y19" s="96"/>
      <c r="Z19" s="96"/>
      <c r="AA19" s="29"/>
      <c r="AB19" s="145"/>
      <c r="AC19" s="145"/>
      <c r="AD19" s="145"/>
      <c r="AE19" s="145"/>
      <c r="AF19" s="145"/>
      <c r="AG19" s="145"/>
      <c r="AH19" s="142"/>
      <c r="AI19" s="141"/>
      <c r="AJ19" s="67"/>
      <c r="AK19" s="67"/>
      <c r="AL19" s="24"/>
      <c r="AM19" s="24"/>
      <c r="AN19" s="24"/>
      <c r="AO19" s="71"/>
      <c r="AP19" s="69"/>
      <c r="AQ19" s="141"/>
      <c r="AR19" s="141"/>
      <c r="AS19" s="141"/>
      <c r="AT19" s="141"/>
      <c r="AU19" s="141"/>
      <c r="AV19" s="141"/>
      <c r="AW19" s="141"/>
      <c r="AX19" s="141"/>
      <c r="AY19" s="141"/>
      <c r="AZ19" s="141"/>
    </row>
    <row r="20" spans="1:52" ht="45" customHeight="1">
      <c r="A20" s="153">
        <f t="shared" si="2"/>
        <v>17</v>
      </c>
      <c r="B20" s="153" t="s">
        <v>57</v>
      </c>
      <c r="C20" s="153" t="s">
        <v>61</v>
      </c>
      <c r="D20" s="28" t="s">
        <v>906</v>
      </c>
      <c r="E20" s="69" t="s">
        <v>907</v>
      </c>
      <c r="F20" s="39">
        <v>1</v>
      </c>
      <c r="G20" s="141" t="s">
        <v>764</v>
      </c>
      <c r="H20" s="141"/>
      <c r="I20" s="141"/>
      <c r="J20" s="141" t="s">
        <v>6</v>
      </c>
      <c r="K20" s="141"/>
      <c r="L20" s="69"/>
      <c r="M20" s="141"/>
      <c r="N20" s="59"/>
      <c r="O20" s="59"/>
      <c r="P20" s="105"/>
      <c r="Q20" s="105"/>
      <c r="R20" s="105"/>
      <c r="S20" s="105" t="s">
        <v>1069</v>
      </c>
      <c r="T20" s="105"/>
      <c r="U20" s="90"/>
      <c r="V20" s="90">
        <v>45976</v>
      </c>
      <c r="W20" s="90"/>
      <c r="X20" s="93"/>
      <c r="Y20" s="96" t="s">
        <v>908</v>
      </c>
      <c r="Z20" s="96"/>
      <c r="AA20" s="29"/>
      <c r="AB20" s="145"/>
      <c r="AC20" s="145"/>
      <c r="AD20" s="145"/>
      <c r="AE20" s="145"/>
      <c r="AF20" s="145"/>
      <c r="AG20" s="145"/>
      <c r="AH20" s="142"/>
      <c r="AI20" s="141"/>
      <c r="AJ20" s="67"/>
      <c r="AK20" s="67"/>
      <c r="AL20" s="24"/>
      <c r="AM20" s="24"/>
      <c r="AN20" s="24"/>
      <c r="AO20" s="71"/>
      <c r="AP20" s="69"/>
      <c r="AQ20" s="141"/>
      <c r="AR20" s="141"/>
      <c r="AS20" s="141"/>
      <c r="AT20" s="141"/>
      <c r="AU20" s="141"/>
      <c r="AV20" s="141"/>
      <c r="AW20" s="141"/>
      <c r="AX20" s="141"/>
      <c r="AY20" s="141"/>
      <c r="AZ20" s="141"/>
    </row>
    <row r="21" spans="1:52" ht="45" customHeight="1">
      <c r="A21" s="153">
        <f t="shared" si="2"/>
        <v>18</v>
      </c>
      <c r="B21" s="153" t="s">
        <v>57</v>
      </c>
      <c r="C21" s="153" t="s">
        <v>65</v>
      </c>
      <c r="D21" s="28" t="s">
        <v>143</v>
      </c>
      <c r="E21" s="69" t="s">
        <v>820</v>
      </c>
      <c r="F21" s="39">
        <v>1</v>
      </c>
      <c r="G21" s="141" t="s">
        <v>794</v>
      </c>
      <c r="H21" s="141" t="s">
        <v>765</v>
      </c>
      <c r="I21" s="141"/>
      <c r="J21" s="141" t="s">
        <v>6</v>
      </c>
      <c r="K21" s="21"/>
      <c r="L21" s="69"/>
      <c r="M21" s="141"/>
      <c r="N21" s="59">
        <v>3</v>
      </c>
      <c r="O21" s="59">
        <v>3</v>
      </c>
      <c r="P21" s="105" t="s">
        <v>33</v>
      </c>
      <c r="Q21" s="105" t="s">
        <v>33</v>
      </c>
      <c r="R21" s="105"/>
      <c r="S21" s="105"/>
      <c r="T21" s="105"/>
      <c r="U21" s="90"/>
      <c r="V21" s="90">
        <v>45985</v>
      </c>
      <c r="W21" s="90">
        <v>45986</v>
      </c>
      <c r="X21" s="93" t="s">
        <v>1070</v>
      </c>
      <c r="Y21" s="96" t="s">
        <v>1071</v>
      </c>
      <c r="Z21" s="96"/>
      <c r="AA21" s="29">
        <v>0</v>
      </c>
      <c r="AB21" s="145">
        <v>0</v>
      </c>
      <c r="AC21" s="145">
        <v>0</v>
      </c>
      <c r="AD21" s="145">
        <v>0</v>
      </c>
      <c r="AE21" s="145">
        <v>0</v>
      </c>
      <c r="AF21" s="145">
        <v>0</v>
      </c>
      <c r="AG21" s="145">
        <v>0</v>
      </c>
      <c r="AH21" s="142">
        <f t="shared" ref="AH21:AH31" si="4">AVERAGE(AA21:AG21)</f>
        <v>0</v>
      </c>
      <c r="AI21" s="141"/>
      <c r="AJ21" s="67"/>
      <c r="AK21" s="67"/>
      <c r="AL21" s="24"/>
      <c r="AM21" s="24"/>
      <c r="AN21" s="24"/>
      <c r="AO21" s="71"/>
      <c r="AP21" s="69" t="s">
        <v>821</v>
      </c>
      <c r="AQ21" s="141">
        <v>2</v>
      </c>
      <c r="AR21" s="141" t="s">
        <v>761</v>
      </c>
      <c r="AS21" s="141"/>
      <c r="AT21" s="141">
        <v>100</v>
      </c>
      <c r="AU21" s="86">
        <v>45931</v>
      </c>
      <c r="AV21" s="141" t="s">
        <v>757</v>
      </c>
      <c r="AW21" s="141" t="s">
        <v>757</v>
      </c>
      <c r="AX21" s="141"/>
      <c r="AY21" s="141"/>
      <c r="AZ21" s="141" t="s">
        <v>757</v>
      </c>
    </row>
    <row r="22" spans="1:52" ht="45" customHeight="1">
      <c r="A22" s="153">
        <f t="shared" si="2"/>
        <v>19</v>
      </c>
      <c r="B22" s="153" t="s">
        <v>57</v>
      </c>
      <c r="C22" s="153" t="s">
        <v>65</v>
      </c>
      <c r="D22" s="28" t="s">
        <v>624</v>
      </c>
      <c r="E22" s="69"/>
      <c r="F22" s="39">
        <v>2</v>
      </c>
      <c r="G22" s="141" t="s">
        <v>123</v>
      </c>
      <c r="H22" s="141" t="s">
        <v>797</v>
      </c>
      <c r="I22" s="141"/>
      <c r="J22" s="141" t="s">
        <v>26</v>
      </c>
      <c r="K22" s="141"/>
      <c r="L22" s="69"/>
      <c r="M22" s="141"/>
      <c r="N22" s="59">
        <v>4</v>
      </c>
      <c r="O22" s="59">
        <v>4</v>
      </c>
      <c r="P22" s="105" t="s">
        <v>34</v>
      </c>
      <c r="Q22" s="105" t="s">
        <v>31</v>
      </c>
      <c r="R22" s="105" t="s">
        <v>987</v>
      </c>
      <c r="S22" s="105" t="s">
        <v>988</v>
      </c>
      <c r="T22" s="105" t="s">
        <v>123</v>
      </c>
      <c r="U22" s="90">
        <v>45965</v>
      </c>
      <c r="V22" s="90">
        <v>45972</v>
      </c>
      <c r="W22" s="90"/>
      <c r="X22" s="93" t="s">
        <v>1072</v>
      </c>
      <c r="Y22" s="96" t="s">
        <v>990</v>
      </c>
      <c r="Z22" s="96" t="s">
        <v>991</v>
      </c>
      <c r="AA22" s="29">
        <v>0</v>
      </c>
      <c r="AB22" s="145">
        <v>0</v>
      </c>
      <c r="AC22" s="145">
        <v>0</v>
      </c>
      <c r="AD22" s="145">
        <v>0</v>
      </c>
      <c r="AE22" s="145">
        <v>0</v>
      </c>
      <c r="AF22" s="145">
        <v>0</v>
      </c>
      <c r="AG22" s="145">
        <v>0</v>
      </c>
      <c r="AH22" s="142">
        <f t="shared" si="4"/>
        <v>0</v>
      </c>
      <c r="AI22" s="141"/>
      <c r="AJ22" s="67"/>
      <c r="AK22" s="67"/>
      <c r="AL22" s="24"/>
      <c r="AM22" s="24"/>
      <c r="AN22" s="24"/>
      <c r="AO22" s="71"/>
      <c r="AP22" s="69" t="s">
        <v>809</v>
      </c>
      <c r="AQ22" s="141">
        <v>16</v>
      </c>
      <c r="AR22" s="141" t="s">
        <v>761</v>
      </c>
      <c r="AS22" s="141"/>
      <c r="AT22" s="141"/>
      <c r="AU22" s="141"/>
      <c r="AV22" s="141"/>
      <c r="AW22" s="141" t="s">
        <v>757</v>
      </c>
      <c r="AX22" s="141"/>
      <c r="AY22" s="141"/>
      <c r="AZ22" s="141"/>
    </row>
    <row r="23" spans="1:52" ht="45" customHeight="1">
      <c r="A23" s="153">
        <f t="shared" si="2"/>
        <v>20</v>
      </c>
      <c r="B23" s="153" t="s">
        <v>57</v>
      </c>
      <c r="C23" s="153" t="s">
        <v>65</v>
      </c>
      <c r="D23" s="28" t="s">
        <v>620</v>
      </c>
      <c r="E23" s="69"/>
      <c r="F23" s="39">
        <v>1</v>
      </c>
      <c r="G23" s="141" t="s">
        <v>123</v>
      </c>
      <c r="H23" s="141" t="s">
        <v>811</v>
      </c>
      <c r="I23" s="141"/>
      <c r="J23" s="141" t="s">
        <v>26</v>
      </c>
      <c r="K23" s="141"/>
      <c r="L23" s="69"/>
      <c r="M23" s="141"/>
      <c r="N23" s="59">
        <v>4</v>
      </c>
      <c r="O23" s="59">
        <v>4</v>
      </c>
      <c r="P23" s="105" t="s">
        <v>34</v>
      </c>
      <c r="Q23" s="105" t="s">
        <v>31</v>
      </c>
      <c r="R23" s="105"/>
      <c r="S23" s="105" t="s">
        <v>1073</v>
      </c>
      <c r="T23" s="105" t="s">
        <v>1074</v>
      </c>
      <c r="U23" s="90">
        <v>45965</v>
      </c>
      <c r="V23" s="90">
        <v>45965</v>
      </c>
      <c r="W23" s="90"/>
      <c r="X23" s="93" t="s">
        <v>1075</v>
      </c>
      <c r="Y23" s="122" t="s">
        <v>993</v>
      </c>
      <c r="Z23" s="96" t="s">
        <v>1076</v>
      </c>
      <c r="AA23" s="29">
        <v>0</v>
      </c>
      <c r="AB23" s="145">
        <v>0</v>
      </c>
      <c r="AC23" s="145">
        <v>0</v>
      </c>
      <c r="AD23" s="145">
        <v>0</v>
      </c>
      <c r="AE23" s="145">
        <v>0</v>
      </c>
      <c r="AF23" s="145">
        <v>0</v>
      </c>
      <c r="AG23" s="145">
        <v>0</v>
      </c>
      <c r="AH23" s="142">
        <f t="shared" si="4"/>
        <v>0</v>
      </c>
      <c r="AI23" s="141"/>
      <c r="AJ23" s="67"/>
      <c r="AK23" s="67"/>
      <c r="AL23" s="24"/>
      <c r="AM23" s="24"/>
      <c r="AN23" s="24"/>
      <c r="AO23" s="71"/>
      <c r="AP23" s="69"/>
      <c r="AQ23" s="141">
        <v>12</v>
      </c>
      <c r="AR23" s="141" t="s">
        <v>812</v>
      </c>
      <c r="AS23" s="141"/>
      <c r="AT23" s="141">
        <v>100</v>
      </c>
      <c r="AU23" s="86">
        <v>45901</v>
      </c>
      <c r="AV23" s="141" t="s">
        <v>757</v>
      </c>
      <c r="AW23" s="141" t="s">
        <v>757</v>
      </c>
      <c r="AX23" s="141"/>
      <c r="AY23" s="141" t="s">
        <v>757</v>
      </c>
      <c r="AZ23" s="141"/>
    </row>
    <row r="24" spans="1:52" ht="45" customHeight="1">
      <c r="A24" s="153">
        <f t="shared" si="2"/>
        <v>21</v>
      </c>
      <c r="B24" s="153" t="s">
        <v>57</v>
      </c>
      <c r="C24" s="153" t="s">
        <v>61</v>
      </c>
      <c r="D24" s="28" t="s">
        <v>630</v>
      </c>
      <c r="E24" s="69" t="s">
        <v>793</v>
      </c>
      <c r="F24" s="39">
        <v>1</v>
      </c>
      <c r="G24" s="141" t="s">
        <v>794</v>
      </c>
      <c r="H24" s="141" t="s">
        <v>765</v>
      </c>
      <c r="I24" s="141"/>
      <c r="J24" s="141" t="s">
        <v>6</v>
      </c>
      <c r="K24" s="21"/>
      <c r="L24" s="69"/>
      <c r="M24" s="141"/>
      <c r="N24" s="59">
        <v>2</v>
      </c>
      <c r="O24" s="59">
        <v>4</v>
      </c>
      <c r="P24" s="105" t="s">
        <v>32</v>
      </c>
      <c r="Q24" s="105" t="s">
        <v>32</v>
      </c>
      <c r="R24" s="105"/>
      <c r="S24" s="105"/>
      <c r="T24" s="105"/>
      <c r="U24" s="90">
        <v>45952</v>
      </c>
      <c r="V24" s="90">
        <v>45952</v>
      </c>
      <c r="W24" s="90"/>
      <c r="X24" s="93" t="s">
        <v>631</v>
      </c>
      <c r="Y24" s="96" t="s">
        <v>632</v>
      </c>
      <c r="Z24" s="96"/>
      <c r="AA24" s="29">
        <v>0</v>
      </c>
      <c r="AB24" s="145">
        <v>0</v>
      </c>
      <c r="AC24" s="145">
        <v>0</v>
      </c>
      <c r="AD24" s="145">
        <v>0</v>
      </c>
      <c r="AE24" s="145">
        <v>0</v>
      </c>
      <c r="AF24" s="145">
        <v>0</v>
      </c>
      <c r="AG24" s="145">
        <v>0</v>
      </c>
      <c r="AH24" s="142">
        <f t="shared" si="4"/>
        <v>0</v>
      </c>
      <c r="AI24" s="141"/>
      <c r="AJ24" s="67"/>
      <c r="AK24" s="67"/>
      <c r="AL24" s="24"/>
      <c r="AM24" s="24"/>
      <c r="AN24" s="24"/>
      <c r="AO24" s="71"/>
      <c r="AP24" s="69" t="s">
        <v>795</v>
      </c>
      <c r="AQ24" s="141"/>
      <c r="AR24" s="141"/>
      <c r="AS24" s="141"/>
      <c r="AT24" s="141">
        <v>40</v>
      </c>
      <c r="AU24" s="86">
        <v>45931</v>
      </c>
      <c r="AV24" s="141" t="s">
        <v>757</v>
      </c>
      <c r="AW24" s="141"/>
      <c r="AX24" s="141"/>
      <c r="AY24" s="141"/>
      <c r="AZ24" s="141" t="s">
        <v>757</v>
      </c>
    </row>
    <row r="25" spans="1:52" ht="45" customHeight="1">
      <c r="A25" s="153">
        <f t="shared" si="2"/>
        <v>22</v>
      </c>
      <c r="B25" s="153" t="s">
        <v>57</v>
      </c>
      <c r="C25" s="153" t="s">
        <v>65</v>
      </c>
      <c r="D25" s="28" t="s">
        <v>658</v>
      </c>
      <c r="E25" s="69" t="s">
        <v>804</v>
      </c>
      <c r="F25" s="39">
        <v>2</v>
      </c>
      <c r="G25" s="141" t="s">
        <v>150</v>
      </c>
      <c r="H25" s="141" t="s">
        <v>805</v>
      </c>
      <c r="I25" s="141"/>
      <c r="J25" s="141" t="s">
        <v>6</v>
      </c>
      <c r="K25" s="141"/>
      <c r="L25" s="69"/>
      <c r="M25" s="141"/>
      <c r="N25" s="59">
        <v>4</v>
      </c>
      <c r="O25" s="59">
        <v>4</v>
      </c>
      <c r="P25" s="105" t="s">
        <v>34</v>
      </c>
      <c r="Q25" s="105" t="s">
        <v>34</v>
      </c>
      <c r="R25" s="105"/>
      <c r="S25" s="105" t="s">
        <v>1077</v>
      </c>
      <c r="T25" s="105" t="s">
        <v>1078</v>
      </c>
      <c r="U25" s="90">
        <v>45933</v>
      </c>
      <c r="V25" s="90">
        <v>45974</v>
      </c>
      <c r="W25" s="90">
        <v>45978</v>
      </c>
      <c r="X25" s="129"/>
      <c r="Y25" s="96" t="s">
        <v>1079</v>
      </c>
      <c r="Z25" s="96" t="s">
        <v>661</v>
      </c>
      <c r="AA25" s="29">
        <v>0</v>
      </c>
      <c r="AB25" s="145">
        <v>0</v>
      </c>
      <c r="AC25" s="145">
        <v>0</v>
      </c>
      <c r="AD25" s="145">
        <v>0</v>
      </c>
      <c r="AE25" s="145">
        <v>0</v>
      </c>
      <c r="AF25" s="145">
        <v>0</v>
      </c>
      <c r="AG25" s="145">
        <v>0</v>
      </c>
      <c r="AH25" s="142">
        <f t="shared" si="4"/>
        <v>0</v>
      </c>
      <c r="AI25" s="141"/>
      <c r="AJ25" s="67"/>
      <c r="AK25" s="67"/>
      <c r="AL25" s="24"/>
      <c r="AM25" s="24"/>
      <c r="AN25" s="24"/>
      <c r="AO25" s="71"/>
      <c r="AP25" s="69" t="s">
        <v>806</v>
      </c>
      <c r="AQ25" s="141">
        <v>4</v>
      </c>
      <c r="AR25" s="141" t="s">
        <v>761</v>
      </c>
      <c r="AS25" s="141"/>
      <c r="AT25" s="141"/>
      <c r="AU25" s="141"/>
      <c r="AV25" s="141"/>
      <c r="AW25" s="141" t="s">
        <v>757</v>
      </c>
      <c r="AX25" s="141"/>
      <c r="AY25" s="141" t="s">
        <v>757</v>
      </c>
      <c r="AZ25" s="141"/>
    </row>
    <row r="26" spans="1:52" ht="45" customHeight="1">
      <c r="A26" s="153">
        <f t="shared" si="2"/>
        <v>23</v>
      </c>
      <c r="B26" s="153" t="s">
        <v>57</v>
      </c>
      <c r="C26" s="153" t="s">
        <v>65</v>
      </c>
      <c r="D26" s="28" t="s">
        <v>605</v>
      </c>
      <c r="E26" s="69" t="s">
        <v>842</v>
      </c>
      <c r="F26" s="39">
        <v>2</v>
      </c>
      <c r="G26" s="141" t="s">
        <v>123</v>
      </c>
      <c r="H26" s="141" t="s">
        <v>811</v>
      </c>
      <c r="I26" s="141"/>
      <c r="J26" s="141" t="s">
        <v>6</v>
      </c>
      <c r="K26" s="21"/>
      <c r="L26" s="69"/>
      <c r="M26" s="141"/>
      <c r="N26" s="59"/>
      <c r="O26" s="59"/>
      <c r="P26" s="105"/>
      <c r="Q26" s="105" t="s">
        <v>31</v>
      </c>
      <c r="R26" s="105" t="s">
        <v>897</v>
      </c>
      <c r="S26" s="105"/>
      <c r="T26" s="105"/>
      <c r="U26" s="90"/>
      <c r="V26" s="90">
        <v>45992</v>
      </c>
      <c r="W26" s="90">
        <v>45992</v>
      </c>
      <c r="X26" s="93" t="s">
        <v>994</v>
      </c>
      <c r="Y26" s="96" t="s">
        <v>898</v>
      </c>
      <c r="Z26" s="96"/>
      <c r="AA26" s="29">
        <v>0</v>
      </c>
      <c r="AB26" s="145">
        <v>0</v>
      </c>
      <c r="AC26" s="145">
        <v>0</v>
      </c>
      <c r="AD26" s="145">
        <v>0</v>
      </c>
      <c r="AE26" s="145">
        <v>0</v>
      </c>
      <c r="AF26" s="145">
        <v>0</v>
      </c>
      <c r="AG26" s="145">
        <v>0</v>
      </c>
      <c r="AH26" s="142">
        <f t="shared" si="4"/>
        <v>0</v>
      </c>
      <c r="AI26" s="141"/>
      <c r="AJ26" s="67"/>
      <c r="AK26" s="67"/>
      <c r="AL26" s="24"/>
      <c r="AM26" s="24"/>
      <c r="AN26" s="24"/>
      <c r="AO26" s="71"/>
      <c r="AP26" s="69" t="s">
        <v>843</v>
      </c>
      <c r="AQ26" s="141"/>
      <c r="AR26" s="141"/>
      <c r="AS26" s="141"/>
      <c r="AT26" s="141">
        <v>15</v>
      </c>
      <c r="AU26" s="86">
        <v>45901</v>
      </c>
      <c r="AV26" s="141" t="s">
        <v>757</v>
      </c>
      <c r="AW26" s="141"/>
      <c r="AX26" s="141"/>
      <c r="AY26" s="141"/>
      <c r="AZ26" s="141"/>
    </row>
    <row r="27" spans="1:52" ht="45" customHeight="1">
      <c r="A27" s="153">
        <f t="shared" si="2"/>
        <v>24</v>
      </c>
      <c r="B27" s="153" t="s">
        <v>57</v>
      </c>
      <c r="C27" s="153" t="s">
        <v>65</v>
      </c>
      <c r="D27" s="28" t="s">
        <v>662</v>
      </c>
      <c r="E27" s="69"/>
      <c r="F27" s="39">
        <v>0</v>
      </c>
      <c r="G27" s="141" t="s">
        <v>150</v>
      </c>
      <c r="H27" s="141" t="s">
        <v>805</v>
      </c>
      <c r="I27" s="141"/>
      <c r="J27" s="141"/>
      <c r="K27" s="21" t="s">
        <v>44</v>
      </c>
      <c r="L27" s="69"/>
      <c r="M27" s="141"/>
      <c r="N27" s="59"/>
      <c r="O27" s="59"/>
      <c r="P27" s="105" t="s">
        <v>35</v>
      </c>
      <c r="Q27" s="105" t="s">
        <v>35</v>
      </c>
      <c r="R27" s="105"/>
      <c r="S27" s="105" t="s">
        <v>1080</v>
      </c>
      <c r="T27" s="105" t="s">
        <v>1081</v>
      </c>
      <c r="U27" s="90">
        <v>45966</v>
      </c>
      <c r="V27" s="90">
        <v>45975</v>
      </c>
      <c r="W27" s="90">
        <v>45978</v>
      </c>
      <c r="X27" s="93" t="s">
        <v>1082</v>
      </c>
      <c r="Y27" s="96" t="s">
        <v>1083</v>
      </c>
      <c r="Z27" s="96"/>
      <c r="AA27" s="29">
        <v>0</v>
      </c>
      <c r="AB27" s="145">
        <v>0</v>
      </c>
      <c r="AC27" s="145">
        <v>0</v>
      </c>
      <c r="AD27" s="145">
        <v>0</v>
      </c>
      <c r="AE27" s="145">
        <v>0</v>
      </c>
      <c r="AF27" s="145">
        <v>0</v>
      </c>
      <c r="AG27" s="145">
        <v>0</v>
      </c>
      <c r="AH27" s="142">
        <f t="shared" si="4"/>
        <v>0</v>
      </c>
      <c r="AI27" s="141"/>
      <c r="AJ27" s="67"/>
      <c r="AK27" s="67"/>
      <c r="AL27" s="24"/>
      <c r="AM27" s="24"/>
      <c r="AN27" s="24"/>
      <c r="AO27" s="71"/>
      <c r="AP27" s="69"/>
      <c r="AQ27" s="141"/>
      <c r="AR27" s="141"/>
      <c r="AS27" s="141"/>
      <c r="AT27" s="141"/>
      <c r="AU27" s="141"/>
      <c r="AV27" s="141"/>
      <c r="AW27" s="141"/>
      <c r="AX27" s="141"/>
      <c r="AY27" s="141"/>
      <c r="AZ27" s="141"/>
    </row>
    <row r="28" spans="1:52" ht="45" customHeight="1">
      <c r="A28" s="153">
        <f t="shared" si="2"/>
        <v>25</v>
      </c>
      <c r="B28" s="153" t="s">
        <v>57</v>
      </c>
      <c r="C28" s="153" t="s">
        <v>65</v>
      </c>
      <c r="D28" s="28" t="s">
        <v>690</v>
      </c>
      <c r="E28" s="69"/>
      <c r="F28" s="39">
        <v>3</v>
      </c>
      <c r="G28" s="141" t="s">
        <v>123</v>
      </c>
      <c r="H28" s="141" t="s">
        <v>816</v>
      </c>
      <c r="I28" s="141"/>
      <c r="J28" s="141"/>
      <c r="K28" s="141" t="s">
        <v>48</v>
      </c>
      <c r="L28" s="69"/>
      <c r="M28" s="141"/>
      <c r="N28" s="59">
        <v>4</v>
      </c>
      <c r="O28" s="59">
        <v>4</v>
      </c>
      <c r="P28" s="105" t="s">
        <v>34</v>
      </c>
      <c r="Q28" s="105" t="s">
        <v>31</v>
      </c>
      <c r="R28" s="105"/>
      <c r="S28" s="105" t="s">
        <v>1084</v>
      </c>
      <c r="T28" s="105" t="s">
        <v>1085</v>
      </c>
      <c r="U28" s="90">
        <v>45958</v>
      </c>
      <c r="V28" s="90">
        <v>45964</v>
      </c>
      <c r="W28" s="90"/>
      <c r="X28" s="93" t="s">
        <v>1086</v>
      </c>
      <c r="Y28" s="96" t="s">
        <v>1087</v>
      </c>
      <c r="Z28" s="96"/>
      <c r="AA28" s="29">
        <v>0</v>
      </c>
      <c r="AB28" s="145">
        <v>0</v>
      </c>
      <c r="AC28" s="145">
        <v>0</v>
      </c>
      <c r="AD28" s="145">
        <v>0</v>
      </c>
      <c r="AE28" s="145">
        <v>0</v>
      </c>
      <c r="AF28" s="145">
        <v>0</v>
      </c>
      <c r="AG28" s="145">
        <v>0</v>
      </c>
      <c r="AH28" s="142">
        <f t="shared" si="4"/>
        <v>0</v>
      </c>
      <c r="AI28" s="141"/>
      <c r="AJ28" s="67"/>
      <c r="AK28" s="67"/>
      <c r="AL28" s="24"/>
      <c r="AM28" s="24"/>
      <c r="AN28" s="24"/>
      <c r="AO28" s="71"/>
      <c r="AP28" s="69" t="s">
        <v>817</v>
      </c>
      <c r="AQ28" s="141">
        <v>35</v>
      </c>
      <c r="AR28" s="141" t="s">
        <v>756</v>
      </c>
      <c r="AS28" s="141"/>
      <c r="AT28" s="141"/>
      <c r="AU28" s="141"/>
      <c r="AV28" s="141"/>
      <c r="AW28" s="141" t="s">
        <v>757</v>
      </c>
      <c r="AX28" s="141"/>
      <c r="AY28" s="141"/>
      <c r="AZ28" s="141" t="s">
        <v>757</v>
      </c>
    </row>
    <row r="29" spans="1:52" ht="45" customHeight="1">
      <c r="A29" s="153">
        <f t="shared" si="2"/>
        <v>26</v>
      </c>
      <c r="B29" s="153" t="s">
        <v>57</v>
      </c>
      <c r="C29" s="153" t="s">
        <v>65</v>
      </c>
      <c r="D29" s="28" t="s">
        <v>655</v>
      </c>
      <c r="E29" s="69" t="s">
        <v>824</v>
      </c>
      <c r="F29" s="39">
        <v>2</v>
      </c>
      <c r="G29" s="141" t="s">
        <v>123</v>
      </c>
      <c r="H29" s="141" t="s">
        <v>811</v>
      </c>
      <c r="I29" s="141"/>
      <c r="J29" s="141"/>
      <c r="K29" s="141"/>
      <c r="L29" s="69"/>
      <c r="M29" s="141"/>
      <c r="N29" s="59">
        <v>5</v>
      </c>
      <c r="O29" s="59">
        <v>5</v>
      </c>
      <c r="P29" s="105" t="s">
        <v>33</v>
      </c>
      <c r="Q29" s="105" t="s">
        <v>31</v>
      </c>
      <c r="R29" s="105"/>
      <c r="S29" s="105" t="s">
        <v>1088</v>
      </c>
      <c r="T29" s="105" t="s">
        <v>1089</v>
      </c>
      <c r="U29" s="90">
        <v>45973</v>
      </c>
      <c r="V29" s="90">
        <v>45980</v>
      </c>
      <c r="W29" s="90">
        <v>45980</v>
      </c>
      <c r="X29" s="93" t="s">
        <v>1090</v>
      </c>
      <c r="Y29" s="96" t="s">
        <v>657</v>
      </c>
      <c r="Z29" s="96" t="s">
        <v>1091</v>
      </c>
      <c r="AA29" s="29">
        <v>0</v>
      </c>
      <c r="AB29" s="145">
        <v>0</v>
      </c>
      <c r="AC29" s="145">
        <v>0</v>
      </c>
      <c r="AD29" s="145">
        <v>0</v>
      </c>
      <c r="AE29" s="145">
        <v>0</v>
      </c>
      <c r="AF29" s="145">
        <v>0</v>
      </c>
      <c r="AG29" s="145">
        <v>0</v>
      </c>
      <c r="AH29" s="142">
        <f t="shared" si="4"/>
        <v>0</v>
      </c>
      <c r="AI29" s="141"/>
      <c r="AJ29" s="67"/>
      <c r="AK29" s="67"/>
      <c r="AL29" s="24"/>
      <c r="AM29" s="24"/>
      <c r="AN29" s="24"/>
      <c r="AO29" s="71"/>
      <c r="AP29" s="69" t="s">
        <v>825</v>
      </c>
      <c r="AQ29" s="141">
        <v>4</v>
      </c>
      <c r="AR29" s="141" t="s">
        <v>756</v>
      </c>
      <c r="AS29" s="141"/>
      <c r="AT29" s="141"/>
      <c r="AU29" s="141"/>
      <c r="AV29" s="141" t="s">
        <v>757</v>
      </c>
      <c r="AW29" s="141" t="s">
        <v>757</v>
      </c>
      <c r="AX29" s="141"/>
      <c r="AY29" s="141"/>
      <c r="AZ29" s="141" t="s">
        <v>757</v>
      </c>
    </row>
    <row r="30" spans="1:52" ht="45" customHeight="1">
      <c r="A30" s="153">
        <f t="shared" si="2"/>
        <v>27</v>
      </c>
      <c r="B30" s="153" t="s">
        <v>57</v>
      </c>
      <c r="C30" s="153" t="s">
        <v>63</v>
      </c>
      <c r="D30" s="28" t="s">
        <v>674</v>
      </c>
      <c r="E30" s="69"/>
      <c r="F30" s="39">
        <v>3</v>
      </c>
      <c r="G30" s="141" t="s">
        <v>150</v>
      </c>
      <c r="H30" s="141" t="s">
        <v>805</v>
      </c>
      <c r="I30" s="141"/>
      <c r="J30" s="141" t="s">
        <v>26</v>
      </c>
      <c r="K30" s="21"/>
      <c r="L30" s="69"/>
      <c r="M30" s="141"/>
      <c r="N30" s="59">
        <v>4</v>
      </c>
      <c r="O30" s="59">
        <v>4</v>
      </c>
      <c r="P30" s="105" t="s">
        <v>34</v>
      </c>
      <c r="Q30" s="105" t="s">
        <v>34</v>
      </c>
      <c r="R30" s="105" t="s">
        <v>1031</v>
      </c>
      <c r="S30" s="105" t="s">
        <v>1092</v>
      </c>
      <c r="T30" s="105" t="s">
        <v>1078</v>
      </c>
      <c r="U30" s="90">
        <v>45965</v>
      </c>
      <c r="V30" s="90">
        <v>45972</v>
      </c>
      <c r="W30" s="90">
        <v>45979</v>
      </c>
      <c r="X30" s="93" t="s">
        <v>1093</v>
      </c>
      <c r="Y30" s="96" t="s">
        <v>1094</v>
      </c>
      <c r="Z30" s="96"/>
      <c r="AA30" s="29">
        <v>0</v>
      </c>
      <c r="AB30" s="145">
        <v>0</v>
      </c>
      <c r="AC30" s="145">
        <v>0</v>
      </c>
      <c r="AD30" s="145">
        <v>0</v>
      </c>
      <c r="AE30" s="145">
        <v>0</v>
      </c>
      <c r="AF30" s="145">
        <v>0</v>
      </c>
      <c r="AG30" s="145">
        <v>0</v>
      </c>
      <c r="AH30" s="142">
        <f t="shared" si="4"/>
        <v>0</v>
      </c>
      <c r="AI30" s="141"/>
      <c r="AJ30" s="67"/>
      <c r="AK30" s="67"/>
      <c r="AL30" s="24"/>
      <c r="AM30" s="24"/>
      <c r="AN30" s="24"/>
      <c r="AO30" s="71"/>
      <c r="AP30" s="69" t="s">
        <v>849</v>
      </c>
      <c r="AQ30" s="141">
        <v>4</v>
      </c>
      <c r="AR30" s="141" t="s">
        <v>756</v>
      </c>
      <c r="AS30" s="141"/>
      <c r="AT30" s="141">
        <v>100</v>
      </c>
      <c r="AU30" s="86">
        <v>45901</v>
      </c>
      <c r="AV30" s="141" t="s">
        <v>757</v>
      </c>
      <c r="AW30" s="141" t="s">
        <v>757</v>
      </c>
      <c r="AX30" s="141" t="s">
        <v>757</v>
      </c>
      <c r="AY30" s="141" t="s">
        <v>757</v>
      </c>
      <c r="AZ30" s="141" t="s">
        <v>757</v>
      </c>
    </row>
    <row r="31" spans="1:52" ht="108" customHeight="1">
      <c r="A31" s="153">
        <f t="shared" si="2"/>
        <v>28</v>
      </c>
      <c r="B31" s="153" t="s">
        <v>57</v>
      </c>
      <c r="C31" s="153" t="s">
        <v>63</v>
      </c>
      <c r="D31" s="28" t="s">
        <v>154</v>
      </c>
      <c r="E31" s="69" t="s">
        <v>851</v>
      </c>
      <c r="F31" s="39">
        <v>1</v>
      </c>
      <c r="G31" s="141" t="s">
        <v>150</v>
      </c>
      <c r="H31" s="141" t="s">
        <v>765</v>
      </c>
      <c r="I31" s="141"/>
      <c r="J31" s="141" t="s">
        <v>26</v>
      </c>
      <c r="K31" s="141"/>
      <c r="L31" s="69"/>
      <c r="M31" s="141"/>
      <c r="N31" s="59">
        <v>5</v>
      </c>
      <c r="O31" s="59">
        <v>5</v>
      </c>
      <c r="P31" s="105" t="s">
        <v>34</v>
      </c>
      <c r="Q31" s="105" t="s">
        <v>32</v>
      </c>
      <c r="R31" s="105"/>
      <c r="S31" s="105" t="s">
        <v>1095</v>
      </c>
      <c r="T31" s="105" t="s">
        <v>1096</v>
      </c>
      <c r="U31" s="90">
        <v>45973</v>
      </c>
      <c r="V31" s="90">
        <v>45975</v>
      </c>
      <c r="W31" s="90">
        <v>45991</v>
      </c>
      <c r="X31" s="93" t="s">
        <v>1097</v>
      </c>
      <c r="Y31" s="96" t="s">
        <v>1098</v>
      </c>
      <c r="Z31" s="96" t="s">
        <v>920</v>
      </c>
      <c r="AA31" s="29">
        <v>0</v>
      </c>
      <c r="AB31" s="145">
        <v>0</v>
      </c>
      <c r="AC31" s="145">
        <v>0</v>
      </c>
      <c r="AD31" s="145">
        <v>0</v>
      </c>
      <c r="AE31" s="145">
        <v>0</v>
      </c>
      <c r="AF31" s="145">
        <v>0</v>
      </c>
      <c r="AG31" s="145">
        <v>0</v>
      </c>
      <c r="AH31" s="142">
        <f t="shared" si="4"/>
        <v>0</v>
      </c>
      <c r="AI31" s="141"/>
      <c r="AJ31" s="67"/>
      <c r="AK31" s="67"/>
      <c r="AL31" s="24"/>
      <c r="AM31" s="24"/>
      <c r="AN31" s="24"/>
      <c r="AO31" s="71"/>
      <c r="AP31" s="69" t="s">
        <v>852</v>
      </c>
      <c r="AQ31" s="141">
        <v>5</v>
      </c>
      <c r="AR31" s="141" t="s">
        <v>756</v>
      </c>
      <c r="AS31" s="141"/>
      <c r="AT31" s="141"/>
      <c r="AU31" s="141"/>
      <c r="AV31" s="141" t="s">
        <v>757</v>
      </c>
      <c r="AW31" s="141" t="s">
        <v>757</v>
      </c>
      <c r="AX31" s="141" t="s">
        <v>757</v>
      </c>
      <c r="AY31" s="141"/>
      <c r="AZ31" s="141" t="s">
        <v>757</v>
      </c>
    </row>
    <row r="32" spans="1:52" ht="45" customHeight="1">
      <c r="A32" s="153">
        <f t="shared" si="2"/>
        <v>29</v>
      </c>
      <c r="B32" s="153" t="s">
        <v>57</v>
      </c>
      <c r="C32" s="153" t="s">
        <v>65</v>
      </c>
      <c r="D32" s="28" t="s">
        <v>909</v>
      </c>
      <c r="E32" s="69" t="s">
        <v>910</v>
      </c>
      <c r="F32" s="39">
        <v>1</v>
      </c>
      <c r="G32" s="141" t="s">
        <v>123</v>
      </c>
      <c r="H32" s="141" t="s">
        <v>911</v>
      </c>
      <c r="I32" s="141"/>
      <c r="J32" s="141" t="s">
        <v>10</v>
      </c>
      <c r="K32" s="141"/>
      <c r="L32" s="69"/>
      <c r="M32" s="141"/>
      <c r="N32" s="59"/>
      <c r="O32" s="59"/>
      <c r="P32" s="105"/>
      <c r="Q32" s="105" t="s">
        <v>31</v>
      </c>
      <c r="R32" s="105" t="s">
        <v>1012</v>
      </c>
      <c r="S32" s="105"/>
      <c r="T32" s="105"/>
      <c r="U32" s="90">
        <v>45957</v>
      </c>
      <c r="V32" s="90" t="s">
        <v>1013</v>
      </c>
      <c r="W32" s="90"/>
      <c r="X32" s="93" t="s">
        <v>1099</v>
      </c>
      <c r="Y32" s="96" t="s">
        <v>913</v>
      </c>
      <c r="Z32" s="96" t="s">
        <v>1015</v>
      </c>
      <c r="AA32" s="29"/>
      <c r="AB32" s="145"/>
      <c r="AC32" s="145"/>
      <c r="AD32" s="145"/>
      <c r="AE32" s="145"/>
      <c r="AF32" s="145"/>
      <c r="AG32" s="145"/>
      <c r="AH32" s="142"/>
      <c r="AI32" s="141"/>
      <c r="AJ32" s="67"/>
      <c r="AK32" s="67"/>
      <c r="AL32" s="24"/>
      <c r="AM32" s="24"/>
      <c r="AN32" s="24"/>
      <c r="AO32" s="71"/>
      <c r="AP32" s="69" t="s">
        <v>914</v>
      </c>
      <c r="AQ32" s="141"/>
      <c r="AR32" s="141"/>
      <c r="AS32" s="141"/>
      <c r="AT32" s="141"/>
      <c r="AU32" s="86"/>
      <c r="AV32" s="141"/>
      <c r="AW32" s="141"/>
      <c r="AX32" s="141"/>
      <c r="AY32" s="141"/>
      <c r="AZ32" s="141"/>
    </row>
    <row r="33" spans="1:52" ht="45" customHeight="1">
      <c r="A33" s="153">
        <f t="shared" si="2"/>
        <v>30</v>
      </c>
      <c r="B33" s="153" t="s">
        <v>57</v>
      </c>
      <c r="C33" s="153" t="s">
        <v>63</v>
      </c>
      <c r="D33" s="28" t="s">
        <v>608</v>
      </c>
      <c r="E33" s="69"/>
      <c r="F33" s="39">
        <v>1</v>
      </c>
      <c r="G33" s="141" t="s">
        <v>150</v>
      </c>
      <c r="H33" s="141" t="s">
        <v>765</v>
      </c>
      <c r="I33" s="141"/>
      <c r="J33" s="141" t="s">
        <v>26</v>
      </c>
      <c r="K33" s="141"/>
      <c r="L33" s="69"/>
      <c r="M33" s="141"/>
      <c r="N33" s="59">
        <v>0</v>
      </c>
      <c r="O33" s="59">
        <v>0</v>
      </c>
      <c r="P33" s="105" t="s">
        <v>34</v>
      </c>
      <c r="Q33" s="105" t="s">
        <v>34</v>
      </c>
      <c r="R33" s="105"/>
      <c r="S33" s="105" t="s">
        <v>1100</v>
      </c>
      <c r="T33" s="105" t="s">
        <v>1081</v>
      </c>
      <c r="U33" s="90">
        <v>45966</v>
      </c>
      <c r="V33" s="90">
        <v>45980</v>
      </c>
      <c r="W33" s="90">
        <v>46001</v>
      </c>
      <c r="X33" s="93" t="s">
        <v>1101</v>
      </c>
      <c r="Y33" s="96" t="s">
        <v>1102</v>
      </c>
      <c r="Z33" s="96"/>
      <c r="AA33" s="29">
        <v>0</v>
      </c>
      <c r="AB33" s="145">
        <v>0</v>
      </c>
      <c r="AC33" s="145">
        <v>0</v>
      </c>
      <c r="AD33" s="145">
        <v>0</v>
      </c>
      <c r="AE33" s="145">
        <v>0</v>
      </c>
      <c r="AF33" s="145">
        <v>0</v>
      </c>
      <c r="AG33" s="145">
        <v>0</v>
      </c>
      <c r="AH33" s="142">
        <f t="shared" ref="AH33:AH50" si="5">AVERAGE(AA33:AG33)</f>
        <v>0</v>
      </c>
      <c r="AI33" s="141"/>
      <c r="AJ33" s="67"/>
      <c r="AK33" s="67"/>
      <c r="AL33" s="24"/>
      <c r="AM33" s="24"/>
      <c r="AN33" s="24"/>
      <c r="AO33" s="71"/>
      <c r="AP33" s="69" t="s">
        <v>857</v>
      </c>
      <c r="AQ33" s="141">
        <v>5</v>
      </c>
      <c r="AR33" s="141" t="s">
        <v>761</v>
      </c>
      <c r="AS33" s="141"/>
      <c r="AT33" s="141">
        <v>80</v>
      </c>
      <c r="AU33" s="86">
        <v>45931</v>
      </c>
      <c r="AV33" s="141" t="s">
        <v>757</v>
      </c>
      <c r="AW33" s="141" t="s">
        <v>757</v>
      </c>
      <c r="AX33" s="141"/>
      <c r="AY33" s="141"/>
      <c r="AZ33" s="141" t="s">
        <v>757</v>
      </c>
    </row>
    <row r="34" spans="1:52" ht="45" customHeight="1">
      <c r="A34" s="153">
        <f t="shared" si="2"/>
        <v>31</v>
      </c>
      <c r="B34" s="153" t="s">
        <v>57</v>
      </c>
      <c r="C34" s="153" t="s">
        <v>63</v>
      </c>
      <c r="D34" s="28" t="s">
        <v>683</v>
      </c>
      <c r="E34" s="69"/>
      <c r="F34" s="39">
        <v>1</v>
      </c>
      <c r="G34" s="141" t="s">
        <v>794</v>
      </c>
      <c r="H34" s="141" t="s">
        <v>765</v>
      </c>
      <c r="I34" s="141"/>
      <c r="J34" s="141" t="s">
        <v>26</v>
      </c>
      <c r="K34" s="141"/>
      <c r="L34" s="69"/>
      <c r="M34" s="141"/>
      <c r="N34" s="59">
        <v>5</v>
      </c>
      <c r="O34" s="59">
        <v>5</v>
      </c>
      <c r="P34" s="105" t="s">
        <v>34</v>
      </c>
      <c r="Q34" s="105" t="s">
        <v>34</v>
      </c>
      <c r="R34" s="105"/>
      <c r="S34" s="105" t="s">
        <v>1103</v>
      </c>
      <c r="T34" s="105" t="s">
        <v>1104</v>
      </c>
      <c r="U34" s="90">
        <v>45974</v>
      </c>
      <c r="V34" s="90"/>
      <c r="W34" s="90">
        <v>45978</v>
      </c>
      <c r="X34" s="93" t="s">
        <v>1105</v>
      </c>
      <c r="Y34" s="96" t="s">
        <v>684</v>
      </c>
      <c r="Z34" s="96" t="s">
        <v>1106</v>
      </c>
      <c r="AA34" s="29">
        <v>0</v>
      </c>
      <c r="AB34" s="145">
        <v>0</v>
      </c>
      <c r="AC34" s="145">
        <v>0</v>
      </c>
      <c r="AD34" s="145">
        <v>0</v>
      </c>
      <c r="AE34" s="145">
        <v>0</v>
      </c>
      <c r="AF34" s="145">
        <v>0</v>
      </c>
      <c r="AG34" s="145">
        <v>0</v>
      </c>
      <c r="AH34" s="142">
        <f t="shared" si="5"/>
        <v>0</v>
      </c>
      <c r="AI34" s="141"/>
      <c r="AJ34" s="67"/>
      <c r="AK34" s="67"/>
      <c r="AL34" s="24"/>
      <c r="AM34" s="24"/>
      <c r="AN34" s="24"/>
      <c r="AO34" s="71"/>
      <c r="AP34" s="69" t="s">
        <v>858</v>
      </c>
      <c r="AQ34" s="141">
        <v>5</v>
      </c>
      <c r="AR34" s="141" t="s">
        <v>756</v>
      </c>
      <c r="AS34" s="141"/>
      <c r="AT34" s="141">
        <v>250</v>
      </c>
      <c r="AU34" s="86">
        <v>45931</v>
      </c>
      <c r="AV34" s="141" t="s">
        <v>757</v>
      </c>
      <c r="AW34" s="141" t="s">
        <v>757</v>
      </c>
      <c r="AX34" s="141"/>
      <c r="AY34" s="141"/>
      <c r="AZ34" s="141"/>
    </row>
    <row r="35" spans="1:52" ht="45" customHeight="1">
      <c r="A35" s="153">
        <f t="shared" si="2"/>
        <v>32</v>
      </c>
      <c r="B35" s="153" t="s">
        <v>57</v>
      </c>
      <c r="C35" s="153" t="s">
        <v>63</v>
      </c>
      <c r="D35" s="28" t="s">
        <v>680</v>
      </c>
      <c r="E35" s="69"/>
      <c r="F35" s="39">
        <v>1</v>
      </c>
      <c r="G35" s="141" t="s">
        <v>150</v>
      </c>
      <c r="H35" s="141" t="s">
        <v>765</v>
      </c>
      <c r="I35" s="141"/>
      <c r="J35" s="141" t="s">
        <v>26</v>
      </c>
      <c r="K35" s="141"/>
      <c r="L35" s="69"/>
      <c r="M35" s="141"/>
      <c r="N35" s="59">
        <v>5</v>
      </c>
      <c r="O35" s="59">
        <v>5</v>
      </c>
      <c r="P35" s="105" t="s">
        <v>34</v>
      </c>
      <c r="Q35" s="105" t="s">
        <v>34</v>
      </c>
      <c r="R35" s="105"/>
      <c r="S35" s="105" t="s">
        <v>1107</v>
      </c>
      <c r="T35" s="105" t="s">
        <v>150</v>
      </c>
      <c r="U35" s="90">
        <v>45959</v>
      </c>
      <c r="V35" s="90">
        <v>45978</v>
      </c>
      <c r="W35" s="90">
        <v>45978</v>
      </c>
      <c r="X35" s="93" t="s">
        <v>1108</v>
      </c>
      <c r="Y35" s="96" t="s">
        <v>1042</v>
      </c>
      <c r="Z35" s="96"/>
      <c r="AA35" s="29">
        <v>0</v>
      </c>
      <c r="AB35" s="145">
        <v>0</v>
      </c>
      <c r="AC35" s="145">
        <v>0</v>
      </c>
      <c r="AD35" s="145">
        <v>0</v>
      </c>
      <c r="AE35" s="145">
        <v>0</v>
      </c>
      <c r="AF35" s="145">
        <v>0</v>
      </c>
      <c r="AG35" s="145">
        <v>0</v>
      </c>
      <c r="AH35" s="142">
        <f t="shared" si="5"/>
        <v>0</v>
      </c>
      <c r="AI35" s="141"/>
      <c r="AJ35" s="67"/>
      <c r="AK35" s="67"/>
      <c r="AL35" s="24"/>
      <c r="AM35" s="24"/>
      <c r="AN35" s="24"/>
      <c r="AO35" s="71"/>
      <c r="AP35" s="69" t="s">
        <v>860</v>
      </c>
      <c r="AQ35" s="141">
        <v>5</v>
      </c>
      <c r="AR35" s="141" t="s">
        <v>756</v>
      </c>
      <c r="AS35" s="141"/>
      <c r="AT35" s="141"/>
      <c r="AU35" s="141"/>
      <c r="AV35" s="141"/>
      <c r="AW35" s="141"/>
      <c r="AX35" s="141"/>
      <c r="AY35" s="141"/>
      <c r="AZ35" s="141" t="s">
        <v>757</v>
      </c>
    </row>
    <row r="36" spans="1:52" ht="45" customHeight="1">
      <c r="A36" s="153">
        <f t="shared" ref="A36:A67" si="6">A35+1</f>
        <v>33</v>
      </c>
      <c r="B36" s="153" t="s">
        <v>57</v>
      </c>
      <c r="C36" s="153" t="s">
        <v>63</v>
      </c>
      <c r="D36" s="28" t="s">
        <v>1109</v>
      </c>
      <c r="E36" s="69"/>
      <c r="F36" s="39">
        <v>1</v>
      </c>
      <c r="G36" s="141" t="s">
        <v>150</v>
      </c>
      <c r="H36" s="141" t="s">
        <v>764</v>
      </c>
      <c r="I36" s="141"/>
      <c r="J36" s="141" t="s">
        <v>26</v>
      </c>
      <c r="K36" s="141"/>
      <c r="L36" s="69"/>
      <c r="M36" s="141"/>
      <c r="N36" s="59">
        <v>4</v>
      </c>
      <c r="O36" s="59">
        <v>4</v>
      </c>
      <c r="P36" s="105" t="s">
        <v>34</v>
      </c>
      <c r="Q36" s="105" t="s">
        <v>32</v>
      </c>
      <c r="R36" s="105"/>
      <c r="S36" s="105"/>
      <c r="T36" s="105"/>
      <c r="U36" s="90"/>
      <c r="V36" s="90">
        <v>45925</v>
      </c>
      <c r="W36" s="90"/>
      <c r="X36" s="93" t="s">
        <v>714</v>
      </c>
      <c r="Y36" s="96" t="s">
        <v>715</v>
      </c>
      <c r="Z36" s="96"/>
      <c r="AA36" s="29">
        <v>0</v>
      </c>
      <c r="AB36" s="145">
        <v>0</v>
      </c>
      <c r="AC36" s="145">
        <v>0</v>
      </c>
      <c r="AD36" s="145">
        <v>0</v>
      </c>
      <c r="AE36" s="145">
        <v>0</v>
      </c>
      <c r="AF36" s="145">
        <v>0</v>
      </c>
      <c r="AG36" s="145">
        <v>0</v>
      </c>
      <c r="AH36" s="142">
        <f t="shared" si="5"/>
        <v>0</v>
      </c>
      <c r="AI36" s="141"/>
      <c r="AJ36" s="67"/>
      <c r="AK36" s="67"/>
      <c r="AL36" s="24"/>
      <c r="AM36" s="24"/>
      <c r="AN36" s="24"/>
      <c r="AO36" s="71"/>
      <c r="AP36" s="69" t="s">
        <v>864</v>
      </c>
      <c r="AQ36" s="141"/>
      <c r="AR36" s="141"/>
      <c r="AS36" s="141"/>
      <c r="AT36" s="141">
        <v>50</v>
      </c>
      <c r="AU36" s="86">
        <v>45901</v>
      </c>
      <c r="AV36" s="141" t="s">
        <v>757</v>
      </c>
      <c r="AW36" s="141" t="s">
        <v>757</v>
      </c>
      <c r="AX36" s="141"/>
      <c r="AY36" s="141"/>
      <c r="AZ36" s="141" t="s">
        <v>757</v>
      </c>
    </row>
    <row r="37" spans="1:52" ht="45" customHeight="1">
      <c r="A37" s="153">
        <f t="shared" si="6"/>
        <v>34</v>
      </c>
      <c r="B37" s="153" t="s">
        <v>57</v>
      </c>
      <c r="C37" s="153" t="s">
        <v>63</v>
      </c>
      <c r="D37" s="28" t="s">
        <v>648</v>
      </c>
      <c r="E37" s="69"/>
      <c r="F37" s="39">
        <v>2</v>
      </c>
      <c r="G37" s="141" t="s">
        <v>150</v>
      </c>
      <c r="H37" s="141" t="s">
        <v>805</v>
      </c>
      <c r="I37" s="141"/>
      <c r="J37" s="141" t="s">
        <v>6</v>
      </c>
      <c r="K37" s="141"/>
      <c r="L37" s="69"/>
      <c r="M37" s="141"/>
      <c r="N37" s="59"/>
      <c r="O37" s="59"/>
      <c r="P37" s="105" t="s">
        <v>33</v>
      </c>
      <c r="Q37" s="105" t="s">
        <v>33</v>
      </c>
      <c r="R37" s="105"/>
      <c r="S37" s="105" t="s">
        <v>1110</v>
      </c>
      <c r="T37" s="105" t="s">
        <v>1081</v>
      </c>
      <c r="U37" s="90">
        <v>45925</v>
      </c>
      <c r="V37" s="90">
        <v>45967</v>
      </c>
      <c r="W37" s="90">
        <v>45974</v>
      </c>
      <c r="X37" s="93"/>
      <c r="Y37" s="96" t="s">
        <v>649</v>
      </c>
      <c r="Z37" s="96"/>
      <c r="AA37" s="29">
        <v>0</v>
      </c>
      <c r="AB37" s="145">
        <v>0</v>
      </c>
      <c r="AC37" s="145">
        <v>0</v>
      </c>
      <c r="AD37" s="145">
        <v>0</v>
      </c>
      <c r="AE37" s="145">
        <v>0</v>
      </c>
      <c r="AF37" s="145">
        <v>0</v>
      </c>
      <c r="AG37" s="145">
        <v>0</v>
      </c>
      <c r="AH37" s="142">
        <f t="shared" si="5"/>
        <v>0</v>
      </c>
      <c r="AI37" s="141"/>
      <c r="AJ37" s="67"/>
      <c r="AK37" s="67"/>
      <c r="AL37" s="24"/>
      <c r="AM37" s="24"/>
      <c r="AN37" s="24"/>
      <c r="AO37" s="71"/>
      <c r="AP37" s="69" t="s">
        <v>866</v>
      </c>
      <c r="AQ37" s="141"/>
      <c r="AR37" s="141"/>
      <c r="AS37" s="141"/>
      <c r="AT37" s="141">
        <v>30</v>
      </c>
      <c r="AU37" s="86">
        <v>45901</v>
      </c>
      <c r="AV37" s="141" t="s">
        <v>757</v>
      </c>
      <c r="AW37" s="141" t="s">
        <v>757</v>
      </c>
      <c r="AX37" s="141" t="s">
        <v>757</v>
      </c>
      <c r="AY37" s="141"/>
      <c r="AZ37" s="141"/>
    </row>
    <row r="38" spans="1:52" ht="45" customHeight="1">
      <c r="A38" s="153">
        <f t="shared" si="6"/>
        <v>35</v>
      </c>
      <c r="B38" s="153" t="s">
        <v>57</v>
      </c>
      <c r="C38" s="153" t="s">
        <v>63</v>
      </c>
      <c r="D38" s="28" t="s">
        <v>628</v>
      </c>
      <c r="E38" s="69"/>
      <c r="F38" s="39">
        <v>2</v>
      </c>
      <c r="G38" s="141" t="s">
        <v>150</v>
      </c>
      <c r="H38" s="141" t="s">
        <v>797</v>
      </c>
      <c r="I38" s="141"/>
      <c r="J38" s="141" t="s">
        <v>6</v>
      </c>
      <c r="K38" s="141"/>
      <c r="L38" s="69"/>
      <c r="M38" s="141"/>
      <c r="N38" s="59"/>
      <c r="O38" s="59"/>
      <c r="P38" s="105" t="s">
        <v>33</v>
      </c>
      <c r="Q38" s="105" t="s">
        <v>33</v>
      </c>
      <c r="R38" s="105"/>
      <c r="S38" s="105"/>
      <c r="T38" s="105"/>
      <c r="U38" s="90"/>
      <c r="V38" s="90"/>
      <c r="W38" s="90"/>
      <c r="X38" s="93" t="s">
        <v>629</v>
      </c>
      <c r="Y38" s="93"/>
      <c r="Z38" s="96"/>
      <c r="AA38" s="29">
        <v>0</v>
      </c>
      <c r="AB38" s="145">
        <v>0</v>
      </c>
      <c r="AC38" s="145">
        <v>0</v>
      </c>
      <c r="AD38" s="145">
        <v>0</v>
      </c>
      <c r="AE38" s="145">
        <v>0</v>
      </c>
      <c r="AF38" s="145">
        <v>0</v>
      </c>
      <c r="AG38" s="145">
        <v>0</v>
      </c>
      <c r="AH38" s="142">
        <f t="shared" si="5"/>
        <v>0</v>
      </c>
      <c r="AI38" s="141"/>
      <c r="AJ38" s="67"/>
      <c r="AK38" s="67"/>
      <c r="AL38" s="24"/>
      <c r="AM38" s="24"/>
      <c r="AN38" s="24"/>
      <c r="AO38" s="71"/>
      <c r="AP38" s="69" t="s">
        <v>868</v>
      </c>
      <c r="AQ38" s="141"/>
      <c r="AR38" s="141"/>
      <c r="AS38" s="141"/>
      <c r="AT38" s="141">
        <v>60</v>
      </c>
      <c r="AU38" s="86">
        <v>45962</v>
      </c>
      <c r="AV38" s="141" t="s">
        <v>757</v>
      </c>
      <c r="AW38" s="141" t="s">
        <v>757</v>
      </c>
      <c r="AX38" s="141"/>
      <c r="AY38" s="141"/>
      <c r="AZ38" s="141" t="s">
        <v>757</v>
      </c>
    </row>
    <row r="39" spans="1:52" ht="45" customHeight="1">
      <c r="A39" s="153">
        <f t="shared" si="6"/>
        <v>36</v>
      </c>
      <c r="B39" s="153" t="s">
        <v>57</v>
      </c>
      <c r="C39" s="153" t="s">
        <v>63</v>
      </c>
      <c r="D39" s="28" t="s">
        <v>1111</v>
      </c>
      <c r="E39" s="69" t="s">
        <v>1112</v>
      </c>
      <c r="F39" s="39">
        <v>0</v>
      </c>
      <c r="G39" s="141" t="s">
        <v>150</v>
      </c>
      <c r="H39" s="141" t="s">
        <v>759</v>
      </c>
      <c r="I39" s="141"/>
      <c r="J39" s="141" t="s">
        <v>6</v>
      </c>
      <c r="K39" s="141"/>
      <c r="L39" s="69"/>
      <c r="M39" s="141"/>
      <c r="N39" s="59"/>
      <c r="O39" s="59"/>
      <c r="P39" s="105" t="s">
        <v>33</v>
      </c>
      <c r="Q39" s="105" t="s">
        <v>33</v>
      </c>
      <c r="R39" s="105"/>
      <c r="S39" s="105" t="s">
        <v>1113</v>
      </c>
      <c r="T39" s="105" t="s">
        <v>753</v>
      </c>
      <c r="U39" s="90"/>
      <c r="V39" s="90">
        <v>45978</v>
      </c>
      <c r="W39" s="90"/>
      <c r="X39" s="93"/>
      <c r="Y39" s="96" t="s">
        <v>1114</v>
      </c>
      <c r="Z39" s="96"/>
      <c r="AA39" s="29">
        <v>0</v>
      </c>
      <c r="AB39" s="145">
        <v>0</v>
      </c>
      <c r="AC39" s="145">
        <v>0</v>
      </c>
      <c r="AD39" s="145">
        <v>0</v>
      </c>
      <c r="AE39" s="145">
        <v>0</v>
      </c>
      <c r="AF39" s="145">
        <v>0</v>
      </c>
      <c r="AG39" s="145">
        <v>0</v>
      </c>
      <c r="AH39" s="142">
        <f t="shared" si="5"/>
        <v>0</v>
      </c>
      <c r="AI39" s="141"/>
      <c r="AJ39" s="67"/>
      <c r="AK39" s="67"/>
      <c r="AL39" s="24"/>
      <c r="AM39" s="24"/>
      <c r="AN39" s="24"/>
      <c r="AO39" s="71"/>
      <c r="AP39" s="69"/>
      <c r="AQ39" s="141"/>
      <c r="AR39" s="141"/>
      <c r="AS39" s="141"/>
      <c r="AT39" s="141"/>
      <c r="AU39" s="141"/>
      <c r="AV39" s="141"/>
      <c r="AW39" s="141"/>
      <c r="AX39" s="141"/>
      <c r="AY39" s="141"/>
      <c r="AZ39" s="141"/>
    </row>
    <row r="40" spans="1:52" ht="127.5" customHeight="1">
      <c r="A40" s="153">
        <f t="shared" si="6"/>
        <v>37</v>
      </c>
      <c r="B40" s="153" t="s">
        <v>57</v>
      </c>
      <c r="C40" s="153" t="s">
        <v>63</v>
      </c>
      <c r="D40" s="28" t="s">
        <v>705</v>
      </c>
      <c r="E40" s="69"/>
      <c r="F40" s="39">
        <v>2</v>
      </c>
      <c r="G40" s="141" t="s">
        <v>409</v>
      </c>
      <c r="H40" s="141" t="s">
        <v>861</v>
      </c>
      <c r="I40" s="141"/>
      <c r="J40" s="141" t="s">
        <v>26</v>
      </c>
      <c r="K40" s="141"/>
      <c r="L40" s="69"/>
      <c r="M40" s="141"/>
      <c r="N40" s="59"/>
      <c r="O40" s="59"/>
      <c r="P40" s="105" t="s">
        <v>33</v>
      </c>
      <c r="Q40" s="105" t="s">
        <v>33</v>
      </c>
      <c r="R40" s="105"/>
      <c r="S40" s="105"/>
      <c r="T40" s="105"/>
      <c r="U40" s="90"/>
      <c r="V40" s="90"/>
      <c r="W40" s="90"/>
      <c r="X40" s="93" t="s">
        <v>1115</v>
      </c>
      <c r="Y40" s="96" t="s">
        <v>706</v>
      </c>
      <c r="Z40" s="96"/>
      <c r="AA40" s="29">
        <v>0</v>
      </c>
      <c r="AB40" s="145">
        <v>0</v>
      </c>
      <c r="AC40" s="145">
        <v>0</v>
      </c>
      <c r="AD40" s="145">
        <v>0</v>
      </c>
      <c r="AE40" s="145">
        <v>0</v>
      </c>
      <c r="AF40" s="145">
        <v>0</v>
      </c>
      <c r="AG40" s="145">
        <v>0</v>
      </c>
      <c r="AH40" s="142">
        <f t="shared" si="5"/>
        <v>0</v>
      </c>
      <c r="AI40" s="141"/>
      <c r="AJ40" s="67"/>
      <c r="AK40" s="67"/>
      <c r="AL40" s="24"/>
      <c r="AM40" s="24"/>
      <c r="AN40" s="24"/>
      <c r="AO40" s="71"/>
      <c r="AP40" s="69" t="s">
        <v>862</v>
      </c>
      <c r="AQ40" s="141">
        <v>10</v>
      </c>
      <c r="AR40" s="141" t="s">
        <v>761</v>
      </c>
      <c r="AS40" s="141"/>
      <c r="AT40" s="141"/>
      <c r="AU40" s="141"/>
      <c r="AV40" s="141" t="s">
        <v>757</v>
      </c>
      <c r="AW40" s="141" t="s">
        <v>757</v>
      </c>
      <c r="AX40" s="141" t="s">
        <v>757</v>
      </c>
      <c r="AY40" s="141"/>
      <c r="AZ40" s="141"/>
    </row>
    <row r="41" spans="1:52" ht="121.5" customHeight="1">
      <c r="A41" s="153">
        <f t="shared" si="6"/>
        <v>38</v>
      </c>
      <c r="B41" s="153" t="s">
        <v>57</v>
      </c>
      <c r="C41" s="153" t="s">
        <v>65</v>
      </c>
      <c r="D41" s="28" t="s">
        <v>665</v>
      </c>
      <c r="E41" s="69"/>
      <c r="F41" s="39">
        <v>1</v>
      </c>
      <c r="G41" s="141" t="s">
        <v>123</v>
      </c>
      <c r="H41" s="141" t="s">
        <v>797</v>
      </c>
      <c r="I41" s="141"/>
      <c r="J41" s="141" t="s">
        <v>14</v>
      </c>
      <c r="K41" s="141" t="s">
        <v>48</v>
      </c>
      <c r="L41" s="69"/>
      <c r="M41" s="141"/>
      <c r="N41" s="59">
        <v>0</v>
      </c>
      <c r="O41" s="59">
        <v>0</v>
      </c>
      <c r="P41" s="105" t="s">
        <v>34</v>
      </c>
      <c r="Q41" s="105" t="s">
        <v>32</v>
      </c>
      <c r="R41" s="105" t="s">
        <v>977</v>
      </c>
      <c r="S41" s="105" t="s">
        <v>1116</v>
      </c>
      <c r="T41" s="105" t="s">
        <v>123</v>
      </c>
      <c r="U41" s="90">
        <v>45967</v>
      </c>
      <c r="V41" s="90">
        <v>45968</v>
      </c>
      <c r="W41" s="90">
        <v>45982</v>
      </c>
      <c r="X41" s="93" t="s">
        <v>1117</v>
      </c>
      <c r="Y41" s="93" t="s">
        <v>1118</v>
      </c>
      <c r="Z41" s="96" t="s">
        <v>980</v>
      </c>
      <c r="AA41" s="29">
        <v>0</v>
      </c>
      <c r="AB41" s="145">
        <v>0</v>
      </c>
      <c r="AC41" s="145">
        <v>0</v>
      </c>
      <c r="AD41" s="145">
        <v>0</v>
      </c>
      <c r="AE41" s="145">
        <v>0</v>
      </c>
      <c r="AF41" s="145">
        <v>0</v>
      </c>
      <c r="AG41" s="145">
        <v>0</v>
      </c>
      <c r="AH41" s="142">
        <f t="shared" si="5"/>
        <v>0</v>
      </c>
      <c r="AI41" s="141"/>
      <c r="AJ41" s="67"/>
      <c r="AK41" s="67"/>
      <c r="AL41" s="24"/>
      <c r="AM41" s="24"/>
      <c r="AN41" s="24"/>
      <c r="AO41" s="71"/>
      <c r="AP41" s="69" t="s">
        <v>814</v>
      </c>
      <c r="AQ41" s="141">
        <v>70</v>
      </c>
      <c r="AR41" s="141" t="s">
        <v>812</v>
      </c>
      <c r="AS41" s="141"/>
      <c r="AT41" s="141"/>
      <c r="AU41" s="141"/>
      <c r="AV41" s="141" t="s">
        <v>757</v>
      </c>
      <c r="AW41" s="141" t="s">
        <v>757</v>
      </c>
      <c r="AX41" s="141"/>
      <c r="AY41" s="141" t="s">
        <v>757</v>
      </c>
      <c r="AZ41" s="141" t="s">
        <v>757</v>
      </c>
    </row>
    <row r="42" spans="1:52" ht="148.5" customHeight="1">
      <c r="A42" s="153">
        <f t="shared" si="6"/>
        <v>39</v>
      </c>
      <c r="B42" s="153" t="s">
        <v>57</v>
      </c>
      <c r="C42" s="153" t="s">
        <v>65</v>
      </c>
      <c r="D42" s="28" t="s">
        <v>125</v>
      </c>
      <c r="E42" s="69"/>
      <c r="F42" s="39">
        <v>3</v>
      </c>
      <c r="G42" s="141" t="s">
        <v>123</v>
      </c>
      <c r="H42" s="141" t="s">
        <v>797</v>
      </c>
      <c r="I42" s="141"/>
      <c r="J42" s="141" t="s">
        <v>26</v>
      </c>
      <c r="K42" s="141"/>
      <c r="L42" s="69"/>
      <c r="M42" s="141"/>
      <c r="N42" s="59">
        <v>0</v>
      </c>
      <c r="O42" s="59">
        <v>0</v>
      </c>
      <c r="P42" s="105" t="s">
        <v>32</v>
      </c>
      <c r="Q42" s="105" t="s">
        <v>32</v>
      </c>
      <c r="R42" s="105" t="s">
        <v>981</v>
      </c>
      <c r="S42" s="105" t="s">
        <v>982</v>
      </c>
      <c r="T42" s="105" t="s">
        <v>983</v>
      </c>
      <c r="U42" s="90">
        <v>45964</v>
      </c>
      <c r="V42" s="90">
        <v>45971</v>
      </c>
      <c r="W42" s="90">
        <v>45991</v>
      </c>
      <c r="X42" s="93" t="s">
        <v>1119</v>
      </c>
      <c r="Y42" s="96" t="s">
        <v>1120</v>
      </c>
      <c r="Z42" s="121" t="s">
        <v>986</v>
      </c>
      <c r="AA42" s="29">
        <v>0</v>
      </c>
      <c r="AB42" s="145">
        <v>0</v>
      </c>
      <c r="AC42" s="145">
        <v>0</v>
      </c>
      <c r="AD42" s="145">
        <v>0</v>
      </c>
      <c r="AE42" s="145">
        <v>0</v>
      </c>
      <c r="AF42" s="145">
        <v>0</v>
      </c>
      <c r="AG42" s="145">
        <v>0</v>
      </c>
      <c r="AH42" s="142">
        <f t="shared" si="5"/>
        <v>0</v>
      </c>
      <c r="AI42" s="141"/>
      <c r="AJ42" s="67"/>
      <c r="AK42" s="67"/>
      <c r="AL42" s="24"/>
      <c r="AM42" s="24"/>
      <c r="AN42" s="24"/>
      <c r="AO42" s="71"/>
      <c r="AP42" s="69" t="s">
        <v>819</v>
      </c>
      <c r="AQ42" s="141">
        <v>2</v>
      </c>
      <c r="AR42" s="141" t="s">
        <v>761</v>
      </c>
      <c r="AS42" s="141"/>
      <c r="AT42" s="141"/>
      <c r="AU42" s="141"/>
      <c r="AV42" s="141"/>
      <c r="AW42" s="141" t="s">
        <v>757</v>
      </c>
      <c r="AX42" s="141"/>
      <c r="AY42" s="141"/>
      <c r="AZ42" s="141" t="s">
        <v>757</v>
      </c>
    </row>
    <row r="43" spans="1:52" ht="209.25" customHeight="1">
      <c r="A43" s="153">
        <f t="shared" si="6"/>
        <v>40</v>
      </c>
      <c r="B43" s="153" t="s">
        <v>57</v>
      </c>
      <c r="C43" s="153" t="s">
        <v>61</v>
      </c>
      <c r="D43" s="28" t="s">
        <v>633</v>
      </c>
      <c r="E43" s="69" t="s">
        <v>787</v>
      </c>
      <c r="F43" s="39">
        <v>3</v>
      </c>
      <c r="G43" s="141" t="s">
        <v>764</v>
      </c>
      <c r="H43" s="141" t="s">
        <v>770</v>
      </c>
      <c r="I43" s="141"/>
      <c r="J43" s="141" t="s">
        <v>14</v>
      </c>
      <c r="K43" s="141"/>
      <c r="L43" s="69"/>
      <c r="M43" s="141"/>
      <c r="N43" s="59">
        <v>4</v>
      </c>
      <c r="O43" s="59">
        <v>2</v>
      </c>
      <c r="P43" s="105" t="s">
        <v>31</v>
      </c>
      <c r="Q43" s="105" t="s">
        <v>31</v>
      </c>
      <c r="R43" s="105" t="s">
        <v>902</v>
      </c>
      <c r="S43" s="105" t="s">
        <v>1121</v>
      </c>
      <c r="T43" s="105" t="s">
        <v>764</v>
      </c>
      <c r="U43" s="90">
        <v>45951</v>
      </c>
      <c r="V43" s="90">
        <v>45965</v>
      </c>
      <c r="W43" s="90">
        <v>45973</v>
      </c>
      <c r="X43" s="93" t="s">
        <v>903</v>
      </c>
      <c r="Y43" s="96" t="s">
        <v>1027</v>
      </c>
      <c r="Z43" s="96"/>
      <c r="AA43" s="29">
        <v>0</v>
      </c>
      <c r="AB43" s="145">
        <v>0</v>
      </c>
      <c r="AC43" s="145">
        <v>0</v>
      </c>
      <c r="AD43" s="145">
        <v>0</v>
      </c>
      <c r="AE43" s="145">
        <v>0</v>
      </c>
      <c r="AF43" s="145">
        <v>0</v>
      </c>
      <c r="AG43" s="145">
        <v>0</v>
      </c>
      <c r="AH43" s="142">
        <f t="shared" si="5"/>
        <v>0</v>
      </c>
      <c r="AI43" s="141"/>
      <c r="AJ43" s="67"/>
      <c r="AK43" s="67"/>
      <c r="AL43" s="24"/>
      <c r="AM43" s="24"/>
      <c r="AN43" s="24"/>
      <c r="AO43" s="71"/>
      <c r="AP43" s="69" t="s">
        <v>788</v>
      </c>
      <c r="AQ43" s="141"/>
      <c r="AR43" s="141"/>
      <c r="AS43" s="141">
        <v>35</v>
      </c>
      <c r="AT43" s="141"/>
      <c r="AU43" s="141"/>
      <c r="AV43" s="141"/>
      <c r="AW43" s="141" t="s">
        <v>757</v>
      </c>
      <c r="AX43" s="141" t="s">
        <v>757</v>
      </c>
      <c r="AY43" s="141" t="s">
        <v>757</v>
      </c>
      <c r="AZ43" s="141"/>
    </row>
    <row r="44" spans="1:52" ht="45" customHeight="1">
      <c r="A44" s="153">
        <f t="shared" si="6"/>
        <v>41</v>
      </c>
      <c r="B44" s="153" t="s">
        <v>57</v>
      </c>
      <c r="C44" s="153" t="s">
        <v>61</v>
      </c>
      <c r="D44" s="28" t="s">
        <v>677</v>
      </c>
      <c r="E44" s="69" t="s">
        <v>769</v>
      </c>
      <c r="F44" s="39">
        <v>2</v>
      </c>
      <c r="G44" s="141" t="s">
        <v>764</v>
      </c>
      <c r="H44" s="141" t="s">
        <v>770</v>
      </c>
      <c r="I44" s="141"/>
      <c r="J44" s="141" t="s">
        <v>26</v>
      </c>
      <c r="K44" s="141"/>
      <c r="L44" s="69"/>
      <c r="M44" s="141"/>
      <c r="N44" s="59">
        <v>2</v>
      </c>
      <c r="O44" s="59">
        <v>2</v>
      </c>
      <c r="P44" s="105" t="s">
        <v>31</v>
      </c>
      <c r="Q44" s="105" t="s">
        <v>31</v>
      </c>
      <c r="R44" s="105" t="s">
        <v>881</v>
      </c>
      <c r="S44" s="105" t="s">
        <v>1122</v>
      </c>
      <c r="T44" s="105" t="s">
        <v>1123</v>
      </c>
      <c r="U44" s="90">
        <v>45922</v>
      </c>
      <c r="V44" s="90">
        <v>45980</v>
      </c>
      <c r="W44" s="90"/>
      <c r="X44" s="93" t="s">
        <v>1029</v>
      </c>
      <c r="Y44" s="96" t="s">
        <v>679</v>
      </c>
      <c r="Z44" s="96"/>
      <c r="AA44" s="29">
        <v>0</v>
      </c>
      <c r="AB44" s="145">
        <v>0</v>
      </c>
      <c r="AC44" s="145">
        <v>0</v>
      </c>
      <c r="AD44" s="145">
        <v>0</v>
      </c>
      <c r="AE44" s="145">
        <v>0</v>
      </c>
      <c r="AF44" s="145">
        <v>0</v>
      </c>
      <c r="AG44" s="145">
        <v>0</v>
      </c>
      <c r="AH44" s="142">
        <f t="shared" si="5"/>
        <v>0</v>
      </c>
      <c r="AI44" s="141"/>
      <c r="AJ44" s="67"/>
      <c r="AK44" s="67"/>
      <c r="AL44" s="24"/>
      <c r="AM44" s="24"/>
      <c r="AN44" s="24"/>
      <c r="AO44" s="71"/>
      <c r="AP44" s="69" t="s">
        <v>771</v>
      </c>
      <c r="AQ44" s="141">
        <v>5</v>
      </c>
      <c r="AR44" s="141" t="s">
        <v>761</v>
      </c>
      <c r="AS44" s="141"/>
      <c r="AT44" s="141"/>
      <c r="AU44" s="141"/>
      <c r="AV44" s="141" t="s">
        <v>757</v>
      </c>
      <c r="AW44" s="141" t="s">
        <v>757</v>
      </c>
      <c r="AX44" s="141"/>
      <c r="AY44" s="141"/>
      <c r="AZ44" s="141"/>
    </row>
    <row r="45" spans="1:52" ht="45" customHeight="1">
      <c r="A45" s="153">
        <f t="shared" si="6"/>
        <v>42</v>
      </c>
      <c r="B45" s="153" t="s">
        <v>57</v>
      </c>
      <c r="C45" s="153" t="s">
        <v>61</v>
      </c>
      <c r="D45" s="28" t="s">
        <v>639</v>
      </c>
      <c r="E45" s="69" t="s">
        <v>796</v>
      </c>
      <c r="F45" s="39">
        <v>3</v>
      </c>
      <c r="G45" s="141" t="s">
        <v>794</v>
      </c>
      <c r="H45" s="141" t="s">
        <v>797</v>
      </c>
      <c r="I45" s="141"/>
      <c r="J45" s="141" t="s">
        <v>6</v>
      </c>
      <c r="K45" s="21"/>
      <c r="L45" s="69"/>
      <c r="M45" s="141"/>
      <c r="N45" s="59"/>
      <c r="O45" s="59"/>
      <c r="P45" s="105"/>
      <c r="Q45" s="105" t="s">
        <v>31</v>
      </c>
      <c r="R45" s="105"/>
      <c r="S45" s="105" t="s">
        <v>1124</v>
      </c>
      <c r="T45" s="105" t="s">
        <v>1125</v>
      </c>
      <c r="U45" s="90"/>
      <c r="V45" s="90"/>
      <c r="W45" s="90"/>
      <c r="X45" s="93" t="s">
        <v>1126</v>
      </c>
      <c r="Y45" s="96"/>
      <c r="Z45" s="96"/>
      <c r="AA45" s="29">
        <v>0</v>
      </c>
      <c r="AB45" s="145">
        <v>0</v>
      </c>
      <c r="AC45" s="145">
        <v>0</v>
      </c>
      <c r="AD45" s="145">
        <v>0</v>
      </c>
      <c r="AE45" s="145">
        <v>0</v>
      </c>
      <c r="AF45" s="145">
        <v>0</v>
      </c>
      <c r="AG45" s="145">
        <v>0</v>
      </c>
      <c r="AH45" s="142">
        <f t="shared" si="5"/>
        <v>0</v>
      </c>
      <c r="AI45" s="141"/>
      <c r="AJ45" s="67"/>
      <c r="AK45" s="67"/>
      <c r="AL45" s="24"/>
      <c r="AM45" s="24"/>
      <c r="AN45" s="24"/>
      <c r="AO45" s="71"/>
      <c r="AP45" s="69" t="s">
        <v>798</v>
      </c>
      <c r="AQ45" s="141"/>
      <c r="AR45" s="141"/>
      <c r="AS45" s="141"/>
      <c r="AT45" s="141">
        <v>40</v>
      </c>
      <c r="AU45" s="86">
        <v>45962</v>
      </c>
      <c r="AV45" s="141" t="s">
        <v>757</v>
      </c>
      <c r="AW45" s="141"/>
      <c r="AX45" s="141"/>
      <c r="AY45" s="141"/>
      <c r="AZ45" s="141" t="s">
        <v>757</v>
      </c>
    </row>
    <row r="46" spans="1:52" ht="45" customHeight="1">
      <c r="A46" s="153">
        <f t="shared" si="6"/>
        <v>43</v>
      </c>
      <c r="B46" s="153" t="s">
        <v>57</v>
      </c>
      <c r="C46" s="153" t="s">
        <v>65</v>
      </c>
      <c r="D46" s="28" t="s">
        <v>995</v>
      </c>
      <c r="E46" s="69"/>
      <c r="F46" s="39">
        <v>3</v>
      </c>
      <c r="G46" s="141" t="s">
        <v>123</v>
      </c>
      <c r="H46" s="141" t="s">
        <v>805</v>
      </c>
      <c r="I46" s="141"/>
      <c r="J46" s="141" t="s">
        <v>26</v>
      </c>
      <c r="K46" s="141" t="s">
        <v>45</v>
      </c>
      <c r="L46" s="69"/>
      <c r="M46" s="141"/>
      <c r="N46" s="59"/>
      <c r="O46" s="59"/>
      <c r="P46" s="105" t="s">
        <v>34</v>
      </c>
      <c r="Q46" s="105" t="s">
        <v>34</v>
      </c>
      <c r="R46" s="105"/>
      <c r="S46" s="105" t="s">
        <v>1127</v>
      </c>
      <c r="T46" s="105" t="s">
        <v>409</v>
      </c>
      <c r="U46" s="90">
        <v>45964</v>
      </c>
      <c r="V46" s="90">
        <v>45973</v>
      </c>
      <c r="W46" s="90"/>
      <c r="X46" s="93" t="s">
        <v>1128</v>
      </c>
      <c r="Y46" s="95" t="s">
        <v>1129</v>
      </c>
      <c r="Z46" s="95" t="s">
        <v>999</v>
      </c>
      <c r="AA46" s="29">
        <v>0</v>
      </c>
      <c r="AB46" s="145">
        <v>0</v>
      </c>
      <c r="AC46" s="145">
        <v>0</v>
      </c>
      <c r="AD46" s="145">
        <v>0</v>
      </c>
      <c r="AE46" s="145">
        <v>0</v>
      </c>
      <c r="AF46" s="145">
        <v>0</v>
      </c>
      <c r="AG46" s="145">
        <v>0</v>
      </c>
      <c r="AH46" s="142">
        <f t="shared" si="5"/>
        <v>0</v>
      </c>
      <c r="AI46" s="141"/>
      <c r="AJ46" s="67"/>
      <c r="AK46" s="67"/>
      <c r="AL46" s="24"/>
      <c r="AM46" s="24"/>
      <c r="AN46" s="24"/>
      <c r="AO46" s="71"/>
      <c r="AP46" s="69" t="s">
        <v>818</v>
      </c>
      <c r="AQ46" s="141">
        <v>2</v>
      </c>
      <c r="AR46" s="141" t="s">
        <v>761</v>
      </c>
      <c r="AS46" s="141"/>
      <c r="AT46" s="141"/>
      <c r="AU46" s="141"/>
      <c r="AV46" s="141" t="s">
        <v>757</v>
      </c>
      <c r="AW46" s="141" t="s">
        <v>757</v>
      </c>
      <c r="AX46" s="141" t="s">
        <v>757</v>
      </c>
      <c r="AY46" s="141"/>
      <c r="AZ46" s="141"/>
    </row>
    <row r="47" spans="1:52" ht="45" customHeight="1">
      <c r="A47" s="153">
        <f t="shared" si="6"/>
        <v>44</v>
      </c>
      <c r="B47" s="153" t="s">
        <v>57</v>
      </c>
      <c r="C47" s="153" t="s">
        <v>61</v>
      </c>
      <c r="D47" s="28" t="s">
        <v>617</v>
      </c>
      <c r="E47" s="69" t="s">
        <v>775</v>
      </c>
      <c r="F47" s="39">
        <v>2</v>
      </c>
      <c r="G47" s="141" t="s">
        <v>150</v>
      </c>
      <c r="H47" s="141" t="s">
        <v>764</v>
      </c>
      <c r="I47" s="141"/>
      <c r="J47" s="141" t="s">
        <v>26</v>
      </c>
      <c r="K47" s="141"/>
      <c r="L47" s="69"/>
      <c r="M47" s="141"/>
      <c r="N47" s="59">
        <v>4</v>
      </c>
      <c r="O47" s="59">
        <v>3.5</v>
      </c>
      <c r="P47" s="105" t="s">
        <v>32</v>
      </c>
      <c r="Q47" s="105" t="s">
        <v>31</v>
      </c>
      <c r="R47" s="105"/>
      <c r="S47" s="105" t="s">
        <v>1130</v>
      </c>
      <c r="T47" s="105" t="s">
        <v>150</v>
      </c>
      <c r="U47" s="90">
        <v>45966</v>
      </c>
      <c r="V47" s="90">
        <v>45967</v>
      </c>
      <c r="W47" s="90">
        <v>45978</v>
      </c>
      <c r="X47" s="93" t="s">
        <v>1131</v>
      </c>
      <c r="Y47" s="96" t="s">
        <v>619</v>
      </c>
      <c r="Z47" s="96"/>
      <c r="AA47" s="29">
        <v>0</v>
      </c>
      <c r="AB47" s="145">
        <v>0</v>
      </c>
      <c r="AC47" s="145">
        <v>0</v>
      </c>
      <c r="AD47" s="145">
        <v>0</v>
      </c>
      <c r="AE47" s="145">
        <v>0</v>
      </c>
      <c r="AF47" s="145">
        <v>0</v>
      </c>
      <c r="AG47" s="145">
        <v>0</v>
      </c>
      <c r="AH47" s="142">
        <f t="shared" si="5"/>
        <v>0</v>
      </c>
      <c r="AI47" s="141"/>
      <c r="AJ47" s="67"/>
      <c r="AK47" s="67"/>
      <c r="AL47" s="24"/>
      <c r="AM47" s="24"/>
      <c r="AN47" s="24"/>
      <c r="AO47" s="71"/>
      <c r="AP47" s="69" t="s">
        <v>778</v>
      </c>
      <c r="AQ47" s="141">
        <v>5</v>
      </c>
      <c r="AR47" s="141" t="s">
        <v>761</v>
      </c>
      <c r="AS47" s="141"/>
      <c r="AT47" s="141"/>
      <c r="AU47" s="141"/>
      <c r="AV47" s="141"/>
      <c r="AW47" s="141" t="s">
        <v>757</v>
      </c>
      <c r="AX47" s="141"/>
      <c r="AY47" s="141"/>
      <c r="AZ47" s="141" t="s">
        <v>757</v>
      </c>
    </row>
    <row r="48" spans="1:52" ht="105.75" customHeight="1">
      <c r="A48" s="153">
        <f t="shared" si="6"/>
        <v>45</v>
      </c>
      <c r="B48" s="153" t="s">
        <v>57</v>
      </c>
      <c r="C48" s="153" t="s">
        <v>61</v>
      </c>
      <c r="D48" s="28" t="s">
        <v>246</v>
      </c>
      <c r="E48" s="69" t="s">
        <v>784</v>
      </c>
      <c r="F48" s="39">
        <v>2</v>
      </c>
      <c r="G48" s="141" t="s">
        <v>150</v>
      </c>
      <c r="H48" s="141" t="s">
        <v>753</v>
      </c>
      <c r="I48" s="141"/>
      <c r="J48" s="141" t="s">
        <v>14</v>
      </c>
      <c r="K48" s="141"/>
      <c r="L48" s="69"/>
      <c r="M48" s="141"/>
      <c r="N48" s="59">
        <v>1</v>
      </c>
      <c r="O48" s="59">
        <v>1</v>
      </c>
      <c r="P48" s="105" t="s">
        <v>31</v>
      </c>
      <c r="Q48" s="105" t="s">
        <v>31</v>
      </c>
      <c r="R48" s="105" t="s">
        <v>882</v>
      </c>
      <c r="S48" s="105" t="s">
        <v>1132</v>
      </c>
      <c r="T48" s="105" t="s">
        <v>753</v>
      </c>
      <c r="U48" s="90">
        <v>45965</v>
      </c>
      <c r="V48" s="90">
        <v>45982</v>
      </c>
      <c r="W48" s="90">
        <v>45982</v>
      </c>
      <c r="X48" s="93" t="s">
        <v>1133</v>
      </c>
      <c r="Y48" s="96" t="s">
        <v>701</v>
      </c>
      <c r="Z48" s="96" t="s">
        <v>1134</v>
      </c>
      <c r="AA48" s="29">
        <v>0</v>
      </c>
      <c r="AB48" s="145">
        <v>0</v>
      </c>
      <c r="AC48" s="145">
        <v>0</v>
      </c>
      <c r="AD48" s="145">
        <v>0</v>
      </c>
      <c r="AE48" s="145">
        <v>0</v>
      </c>
      <c r="AF48" s="145">
        <v>0</v>
      </c>
      <c r="AG48" s="145">
        <v>0</v>
      </c>
      <c r="AH48" s="142">
        <f t="shared" si="5"/>
        <v>0</v>
      </c>
      <c r="AI48" s="141"/>
      <c r="AJ48" s="67"/>
      <c r="AK48" s="67"/>
      <c r="AL48" s="24"/>
      <c r="AM48" s="24"/>
      <c r="AN48" s="24"/>
      <c r="AO48" s="71"/>
      <c r="AP48" s="69" t="s">
        <v>785</v>
      </c>
      <c r="AQ48" s="141"/>
      <c r="AR48" s="141"/>
      <c r="AS48" s="141">
        <v>5</v>
      </c>
      <c r="AT48" s="141">
        <v>10</v>
      </c>
      <c r="AU48" s="141"/>
      <c r="AV48" s="141"/>
      <c r="AW48" s="141" t="s">
        <v>757</v>
      </c>
      <c r="AX48" s="141"/>
      <c r="AY48" s="141" t="s">
        <v>757</v>
      </c>
      <c r="AZ48" s="141" t="s">
        <v>757</v>
      </c>
    </row>
    <row r="49" spans="1:52" ht="45" customHeight="1">
      <c r="A49" s="153">
        <f t="shared" si="6"/>
        <v>46</v>
      </c>
      <c r="B49" s="153" t="s">
        <v>57</v>
      </c>
      <c r="C49" s="153" t="s">
        <v>65</v>
      </c>
      <c r="D49" s="28" t="s">
        <v>688</v>
      </c>
      <c r="E49" s="69" t="s">
        <v>832</v>
      </c>
      <c r="F49" s="39">
        <v>1</v>
      </c>
      <c r="G49" s="141" t="s">
        <v>123</v>
      </c>
      <c r="H49" s="141" t="s">
        <v>805</v>
      </c>
      <c r="I49" s="141"/>
      <c r="J49" s="141"/>
      <c r="K49" s="141"/>
      <c r="L49" s="69"/>
      <c r="M49" s="141"/>
      <c r="N49" s="59"/>
      <c r="O49" s="59"/>
      <c r="P49" s="105"/>
      <c r="Q49" s="105"/>
      <c r="R49" s="105"/>
      <c r="S49" s="105" t="s">
        <v>1010</v>
      </c>
      <c r="T49" s="105" t="s">
        <v>123</v>
      </c>
      <c r="U49" s="90">
        <v>45936</v>
      </c>
      <c r="V49" s="90">
        <v>45998</v>
      </c>
      <c r="W49" s="90"/>
      <c r="X49" s="93" t="s">
        <v>689</v>
      </c>
      <c r="Y49" s="96"/>
      <c r="Z49" s="96"/>
      <c r="AA49" s="29">
        <v>0</v>
      </c>
      <c r="AB49" s="145">
        <v>0</v>
      </c>
      <c r="AC49" s="145">
        <v>0</v>
      </c>
      <c r="AD49" s="145">
        <v>0</v>
      </c>
      <c r="AE49" s="145">
        <v>0</v>
      </c>
      <c r="AF49" s="145">
        <v>0</v>
      </c>
      <c r="AG49" s="145">
        <v>0</v>
      </c>
      <c r="AH49" s="142">
        <f t="shared" si="5"/>
        <v>0</v>
      </c>
      <c r="AI49" s="141"/>
      <c r="AJ49" s="67"/>
      <c r="AK49" s="67"/>
      <c r="AL49" s="24"/>
      <c r="AM49" s="24"/>
      <c r="AN49" s="24"/>
      <c r="AO49" s="71"/>
      <c r="AP49" s="69" t="s">
        <v>833</v>
      </c>
      <c r="AQ49" s="141"/>
      <c r="AR49" s="141"/>
      <c r="AS49" s="141"/>
      <c r="AT49" s="141">
        <v>400</v>
      </c>
      <c r="AU49" s="86">
        <v>45931</v>
      </c>
      <c r="AV49" s="141" t="s">
        <v>757</v>
      </c>
      <c r="AW49" s="141" t="s">
        <v>757</v>
      </c>
      <c r="AX49" s="141"/>
      <c r="AY49" s="141"/>
      <c r="AZ49" s="141" t="s">
        <v>757</v>
      </c>
    </row>
    <row r="50" spans="1:52" ht="82.5" customHeight="1">
      <c r="A50" s="153">
        <f t="shared" si="6"/>
        <v>47</v>
      </c>
      <c r="B50" s="153" t="s">
        <v>57</v>
      </c>
      <c r="C50" s="153" t="s">
        <v>63</v>
      </c>
      <c r="D50" s="28" t="s">
        <v>141</v>
      </c>
      <c r="E50" s="69"/>
      <c r="F50" s="39">
        <v>1</v>
      </c>
      <c r="G50" s="141" t="s">
        <v>150</v>
      </c>
      <c r="H50" s="141" t="s">
        <v>210</v>
      </c>
      <c r="I50" s="141"/>
      <c r="J50" s="141" t="s">
        <v>26</v>
      </c>
      <c r="K50" s="141"/>
      <c r="L50" s="69"/>
      <c r="M50" s="141"/>
      <c r="N50" s="59">
        <v>0</v>
      </c>
      <c r="O50" s="59">
        <v>0</v>
      </c>
      <c r="P50" s="105" t="s">
        <v>31</v>
      </c>
      <c r="Q50" s="105" t="s">
        <v>31</v>
      </c>
      <c r="R50" s="105" t="s">
        <v>1037</v>
      </c>
      <c r="S50" s="105" t="s">
        <v>1135</v>
      </c>
      <c r="T50" s="105" t="s">
        <v>1081</v>
      </c>
      <c r="U50" s="90">
        <v>45945</v>
      </c>
      <c r="V50" s="90">
        <v>45971</v>
      </c>
      <c r="W50" s="90">
        <v>45973</v>
      </c>
      <c r="X50" s="93" t="s">
        <v>1038</v>
      </c>
      <c r="Y50" s="96" t="s">
        <v>638</v>
      </c>
      <c r="Z50" s="96" t="s">
        <v>922</v>
      </c>
      <c r="AA50" s="29">
        <v>0</v>
      </c>
      <c r="AB50" s="145">
        <v>0</v>
      </c>
      <c r="AC50" s="145">
        <v>0</v>
      </c>
      <c r="AD50" s="145">
        <v>0</v>
      </c>
      <c r="AE50" s="145">
        <v>0</v>
      </c>
      <c r="AF50" s="145">
        <v>0</v>
      </c>
      <c r="AG50" s="145">
        <v>0</v>
      </c>
      <c r="AH50" s="142">
        <f t="shared" si="5"/>
        <v>0</v>
      </c>
      <c r="AI50" s="141"/>
      <c r="AJ50" s="67"/>
      <c r="AK50" s="67"/>
      <c r="AL50" s="24"/>
      <c r="AM50" s="24"/>
      <c r="AN50" s="24"/>
      <c r="AO50" s="71"/>
      <c r="AP50" s="69" t="s">
        <v>854</v>
      </c>
      <c r="AQ50" s="141">
        <v>2</v>
      </c>
      <c r="AR50" s="141" t="s">
        <v>855</v>
      </c>
      <c r="AS50" s="141"/>
      <c r="AT50" s="141">
        <v>50</v>
      </c>
      <c r="AU50" s="86">
        <v>45962</v>
      </c>
      <c r="AV50" s="141" t="s">
        <v>757</v>
      </c>
      <c r="AW50" s="141" t="s">
        <v>757</v>
      </c>
      <c r="AX50" s="141" t="s">
        <v>757</v>
      </c>
      <c r="AY50" s="141"/>
      <c r="AZ50" s="141"/>
    </row>
    <row r="51" spans="1:52" ht="45" customHeight="1">
      <c r="A51" s="153">
        <f t="shared" si="6"/>
        <v>48</v>
      </c>
      <c r="B51" s="153" t="s">
        <v>57</v>
      </c>
      <c r="C51" s="153" t="s">
        <v>65</v>
      </c>
      <c r="D51" s="28" t="s">
        <v>915</v>
      </c>
      <c r="E51" s="69" t="s">
        <v>916</v>
      </c>
      <c r="F51" s="39"/>
      <c r="G51" s="141" t="s">
        <v>123</v>
      </c>
      <c r="H51" s="141" t="s">
        <v>759</v>
      </c>
      <c r="I51" s="141"/>
      <c r="J51" s="141" t="s">
        <v>6</v>
      </c>
      <c r="K51" s="141"/>
      <c r="L51" s="69"/>
      <c r="M51" s="141"/>
      <c r="N51" s="59"/>
      <c r="O51" s="59"/>
      <c r="P51" s="105"/>
      <c r="Q51" s="105"/>
      <c r="R51" s="105"/>
      <c r="S51" s="105" t="s">
        <v>1136</v>
      </c>
      <c r="T51" s="105" t="s">
        <v>1137</v>
      </c>
      <c r="U51" s="90">
        <v>45966</v>
      </c>
      <c r="V51" s="90">
        <v>45976</v>
      </c>
      <c r="W51" s="90">
        <v>45990</v>
      </c>
      <c r="X51" s="93" t="s">
        <v>1138</v>
      </c>
      <c r="Y51" s="96" t="s">
        <v>1139</v>
      </c>
      <c r="Z51" s="96"/>
      <c r="AA51" s="29"/>
      <c r="AB51" s="145"/>
      <c r="AC51" s="145"/>
      <c r="AD51" s="145"/>
      <c r="AE51" s="145"/>
      <c r="AF51" s="145"/>
      <c r="AG51" s="145"/>
      <c r="AH51" s="142"/>
      <c r="AI51" s="141"/>
      <c r="AJ51" s="67"/>
      <c r="AK51" s="67"/>
      <c r="AL51" s="24"/>
      <c r="AM51" s="24"/>
      <c r="AN51" s="24"/>
      <c r="AO51" s="71"/>
      <c r="AP51" s="69" t="s">
        <v>919</v>
      </c>
      <c r="AQ51" s="141"/>
      <c r="AR51" s="141"/>
      <c r="AS51" s="141"/>
      <c r="AT51" s="141"/>
      <c r="AU51" s="86"/>
      <c r="AV51" s="141"/>
      <c r="AW51" s="141"/>
      <c r="AX51" s="141"/>
      <c r="AY51" s="141"/>
      <c r="AZ51" s="141"/>
    </row>
    <row r="52" spans="1:52" ht="45" customHeight="1">
      <c r="A52" s="153">
        <f t="shared" si="6"/>
        <v>49</v>
      </c>
      <c r="B52" s="153" t="s">
        <v>57</v>
      </c>
      <c r="C52" s="153" t="s">
        <v>65</v>
      </c>
      <c r="D52" s="28" t="s">
        <v>667</v>
      </c>
      <c r="E52" s="69" t="s">
        <v>839</v>
      </c>
      <c r="F52" s="39">
        <v>2</v>
      </c>
      <c r="G52" s="141" t="s">
        <v>123</v>
      </c>
      <c r="H52" s="141" t="s">
        <v>797</v>
      </c>
      <c r="I52" s="141"/>
      <c r="J52" s="141"/>
      <c r="K52" s="141"/>
      <c r="L52" s="69"/>
      <c r="M52" s="141"/>
      <c r="N52" s="59">
        <v>4</v>
      </c>
      <c r="O52" s="59">
        <v>4</v>
      </c>
      <c r="P52" s="105" t="s">
        <v>33</v>
      </c>
      <c r="Q52" s="105" t="s">
        <v>33</v>
      </c>
      <c r="R52" s="105"/>
      <c r="S52" s="105" t="s">
        <v>1140</v>
      </c>
      <c r="T52" s="105" t="s">
        <v>1141</v>
      </c>
      <c r="U52" s="90">
        <v>45967</v>
      </c>
      <c r="V52" s="90">
        <v>45966</v>
      </c>
      <c r="W52" s="90"/>
      <c r="X52" s="93" t="s">
        <v>1142</v>
      </c>
      <c r="Y52" s="96" t="s">
        <v>1019</v>
      </c>
      <c r="Z52" s="96"/>
      <c r="AA52" s="29">
        <v>0</v>
      </c>
      <c r="AB52" s="145">
        <v>0</v>
      </c>
      <c r="AC52" s="145">
        <v>0</v>
      </c>
      <c r="AD52" s="145">
        <v>0</v>
      </c>
      <c r="AE52" s="145">
        <v>0</v>
      </c>
      <c r="AF52" s="145">
        <v>0</v>
      </c>
      <c r="AG52" s="145">
        <v>0</v>
      </c>
      <c r="AH52" s="142">
        <f t="shared" ref="AH52:AH83" si="7">AVERAGE(AA52:AG52)</f>
        <v>0</v>
      </c>
      <c r="AI52" s="141"/>
      <c r="AJ52" s="67"/>
      <c r="AK52" s="67"/>
      <c r="AL52" s="24"/>
      <c r="AM52" s="24"/>
      <c r="AN52" s="24"/>
      <c r="AO52" s="71"/>
      <c r="AP52" s="69" t="s">
        <v>840</v>
      </c>
      <c r="AQ52" s="141"/>
      <c r="AR52" s="141"/>
      <c r="AS52" s="141"/>
      <c r="AT52" s="141">
        <v>15</v>
      </c>
      <c r="AU52" s="86">
        <v>45992</v>
      </c>
      <c r="AV52" s="141" t="s">
        <v>757</v>
      </c>
      <c r="AW52" s="141"/>
      <c r="AX52" s="141"/>
      <c r="AY52" s="141"/>
      <c r="AZ52" s="141"/>
    </row>
    <row r="53" spans="1:52" ht="45" customHeight="1">
      <c r="A53" s="153">
        <f t="shared" si="6"/>
        <v>50</v>
      </c>
      <c r="B53" s="153" t="s">
        <v>57</v>
      </c>
      <c r="C53" s="153"/>
      <c r="D53" s="28"/>
      <c r="E53" s="69"/>
      <c r="F53" s="39">
        <v>0</v>
      </c>
      <c r="G53" s="141"/>
      <c r="H53" s="141"/>
      <c r="I53" s="141"/>
      <c r="J53" s="141"/>
      <c r="K53" s="141"/>
      <c r="L53" s="69"/>
      <c r="M53" s="141"/>
      <c r="N53" s="59"/>
      <c r="O53" s="59"/>
      <c r="P53" s="105"/>
      <c r="Q53" s="105"/>
      <c r="R53" s="105"/>
      <c r="S53" s="105"/>
      <c r="T53" s="105"/>
      <c r="U53" s="90"/>
      <c r="V53" s="90"/>
      <c r="W53" s="90"/>
      <c r="X53" s="93"/>
      <c r="Y53" s="96"/>
      <c r="Z53" s="96"/>
      <c r="AA53" s="29">
        <v>0</v>
      </c>
      <c r="AB53" s="145">
        <v>0</v>
      </c>
      <c r="AC53" s="145">
        <v>0</v>
      </c>
      <c r="AD53" s="145">
        <v>0</v>
      </c>
      <c r="AE53" s="145">
        <v>0</v>
      </c>
      <c r="AF53" s="145">
        <v>0</v>
      </c>
      <c r="AG53" s="145">
        <v>0</v>
      </c>
      <c r="AH53" s="142">
        <f t="shared" si="7"/>
        <v>0</v>
      </c>
      <c r="AI53" s="141"/>
      <c r="AJ53" s="67"/>
      <c r="AK53" s="67"/>
      <c r="AL53" s="24"/>
      <c r="AM53" s="24"/>
      <c r="AN53" s="24"/>
      <c r="AO53" s="71"/>
      <c r="AP53" s="69"/>
      <c r="AQ53" s="141"/>
      <c r="AR53" s="141"/>
      <c r="AS53" s="141"/>
      <c r="AT53" s="141"/>
      <c r="AU53" s="141"/>
      <c r="AV53" s="141"/>
      <c r="AW53" s="141"/>
      <c r="AX53" s="141"/>
      <c r="AY53" s="141"/>
      <c r="AZ53" s="141"/>
    </row>
    <row r="54" spans="1:52" ht="45" customHeight="1">
      <c r="A54" s="153">
        <f t="shared" si="6"/>
        <v>51</v>
      </c>
      <c r="B54" s="153" t="s">
        <v>57</v>
      </c>
      <c r="C54" s="153"/>
      <c r="D54" s="28"/>
      <c r="E54" s="69"/>
      <c r="F54" s="39">
        <v>0</v>
      </c>
      <c r="G54" s="141"/>
      <c r="H54" s="141"/>
      <c r="I54" s="141"/>
      <c r="J54" s="141"/>
      <c r="K54" s="141"/>
      <c r="L54" s="69"/>
      <c r="M54" s="141"/>
      <c r="N54" s="59"/>
      <c r="O54" s="59"/>
      <c r="P54" s="105"/>
      <c r="Q54" s="105"/>
      <c r="R54" s="105"/>
      <c r="S54" s="105"/>
      <c r="T54" s="105"/>
      <c r="U54" s="90"/>
      <c r="V54" s="90"/>
      <c r="W54" s="90"/>
      <c r="X54" s="93"/>
      <c r="Y54" s="96"/>
      <c r="Z54" s="96"/>
      <c r="AA54" s="29">
        <v>0</v>
      </c>
      <c r="AB54" s="145">
        <v>0</v>
      </c>
      <c r="AC54" s="145">
        <v>0</v>
      </c>
      <c r="AD54" s="145">
        <v>0</v>
      </c>
      <c r="AE54" s="145">
        <v>0</v>
      </c>
      <c r="AF54" s="145">
        <v>0</v>
      </c>
      <c r="AG54" s="145">
        <v>0</v>
      </c>
      <c r="AH54" s="142">
        <f t="shared" si="7"/>
        <v>0</v>
      </c>
      <c r="AI54" s="141"/>
      <c r="AJ54" s="67"/>
      <c r="AK54" s="67"/>
      <c r="AL54" s="24"/>
      <c r="AM54" s="24"/>
      <c r="AN54" s="24"/>
      <c r="AO54" s="71"/>
      <c r="AP54" s="69"/>
      <c r="AQ54" s="141"/>
      <c r="AR54" s="141"/>
      <c r="AS54" s="141"/>
      <c r="AT54" s="141"/>
      <c r="AU54" s="141"/>
      <c r="AV54" s="141"/>
      <c r="AW54" s="141"/>
      <c r="AX54" s="141"/>
      <c r="AY54" s="141"/>
      <c r="AZ54" s="141"/>
    </row>
    <row r="55" spans="1:52" ht="45" customHeight="1">
      <c r="A55" s="153">
        <f t="shared" si="6"/>
        <v>52</v>
      </c>
      <c r="B55" s="153" t="s">
        <v>57</v>
      </c>
      <c r="C55" s="153"/>
      <c r="D55" s="28"/>
      <c r="E55" s="69"/>
      <c r="F55" s="39">
        <v>0</v>
      </c>
      <c r="G55" s="141"/>
      <c r="H55" s="141"/>
      <c r="I55" s="141"/>
      <c r="J55" s="141"/>
      <c r="K55" s="141"/>
      <c r="L55" s="69"/>
      <c r="M55" s="141"/>
      <c r="N55" s="59"/>
      <c r="O55" s="59"/>
      <c r="P55" s="105"/>
      <c r="Q55" s="105"/>
      <c r="R55" s="105"/>
      <c r="S55" s="105"/>
      <c r="T55" s="105"/>
      <c r="U55" s="90"/>
      <c r="V55" s="90"/>
      <c r="W55" s="90"/>
      <c r="X55" s="93"/>
      <c r="Y55" s="96"/>
      <c r="Z55" s="96"/>
      <c r="AA55" s="29">
        <v>0</v>
      </c>
      <c r="AB55" s="145">
        <v>0</v>
      </c>
      <c r="AC55" s="145">
        <v>0</v>
      </c>
      <c r="AD55" s="145">
        <v>0</v>
      </c>
      <c r="AE55" s="145">
        <v>0</v>
      </c>
      <c r="AF55" s="145">
        <v>0</v>
      </c>
      <c r="AG55" s="145">
        <v>0</v>
      </c>
      <c r="AH55" s="142">
        <f t="shared" si="7"/>
        <v>0</v>
      </c>
      <c r="AI55" s="141"/>
      <c r="AJ55" s="67"/>
      <c r="AK55" s="67"/>
      <c r="AL55" s="24"/>
      <c r="AM55" s="24"/>
      <c r="AN55" s="24"/>
      <c r="AO55" s="71"/>
      <c r="AP55" s="69"/>
      <c r="AQ55" s="141"/>
      <c r="AR55" s="141"/>
      <c r="AS55" s="141"/>
      <c r="AT55" s="141"/>
      <c r="AU55" s="141"/>
      <c r="AV55" s="141"/>
      <c r="AW55" s="141"/>
      <c r="AX55" s="141"/>
      <c r="AY55" s="141"/>
      <c r="AZ55" s="141"/>
    </row>
    <row r="56" spans="1:52" ht="45" customHeight="1">
      <c r="A56" s="153">
        <f t="shared" si="6"/>
        <v>53</v>
      </c>
      <c r="B56" s="153" t="s">
        <v>57</v>
      </c>
      <c r="C56" s="153"/>
      <c r="D56" s="28"/>
      <c r="E56" s="69"/>
      <c r="F56" s="39">
        <v>0</v>
      </c>
      <c r="G56" s="141"/>
      <c r="H56" s="141"/>
      <c r="I56" s="141"/>
      <c r="J56" s="141"/>
      <c r="K56" s="141"/>
      <c r="L56" s="69"/>
      <c r="M56" s="141"/>
      <c r="N56" s="59"/>
      <c r="O56" s="59"/>
      <c r="P56" s="105"/>
      <c r="Q56" s="105"/>
      <c r="R56" s="105"/>
      <c r="S56" s="105"/>
      <c r="T56" s="105"/>
      <c r="U56" s="90"/>
      <c r="V56" s="90"/>
      <c r="W56" s="90"/>
      <c r="X56" s="93"/>
      <c r="Y56" s="96"/>
      <c r="Z56" s="96"/>
      <c r="AA56" s="29">
        <v>0</v>
      </c>
      <c r="AB56" s="145">
        <v>0</v>
      </c>
      <c r="AC56" s="145">
        <v>0</v>
      </c>
      <c r="AD56" s="145">
        <v>0</v>
      </c>
      <c r="AE56" s="145">
        <v>0</v>
      </c>
      <c r="AF56" s="145">
        <v>0</v>
      </c>
      <c r="AG56" s="145">
        <v>0</v>
      </c>
      <c r="AH56" s="142">
        <f t="shared" si="7"/>
        <v>0</v>
      </c>
      <c r="AI56" s="141"/>
      <c r="AJ56" s="67"/>
      <c r="AK56" s="67"/>
      <c r="AL56" s="24"/>
      <c r="AM56" s="24"/>
      <c r="AN56" s="24"/>
      <c r="AO56" s="71"/>
      <c r="AP56" s="69"/>
      <c r="AQ56" s="141"/>
      <c r="AR56" s="141"/>
      <c r="AS56" s="141"/>
      <c r="AT56" s="141"/>
      <c r="AU56" s="141"/>
      <c r="AV56" s="141"/>
      <c r="AW56" s="141"/>
      <c r="AX56" s="141"/>
      <c r="AY56" s="141"/>
      <c r="AZ56" s="141"/>
    </row>
    <row r="57" spans="1:52" ht="45" customHeight="1">
      <c r="A57" s="153">
        <f t="shared" si="6"/>
        <v>54</v>
      </c>
      <c r="B57" s="153" t="s">
        <v>57</v>
      </c>
      <c r="C57" s="153"/>
      <c r="D57" s="28"/>
      <c r="E57" s="69"/>
      <c r="F57" s="39">
        <v>0</v>
      </c>
      <c r="G57" s="141"/>
      <c r="H57" s="141"/>
      <c r="I57" s="141"/>
      <c r="J57" s="141"/>
      <c r="K57" s="141"/>
      <c r="L57" s="69"/>
      <c r="M57" s="141"/>
      <c r="N57" s="59"/>
      <c r="O57" s="59"/>
      <c r="P57" s="105"/>
      <c r="Q57" s="105"/>
      <c r="R57" s="105"/>
      <c r="S57" s="105"/>
      <c r="T57" s="105"/>
      <c r="U57" s="90"/>
      <c r="V57" s="90"/>
      <c r="W57" s="90"/>
      <c r="X57" s="93"/>
      <c r="Y57" s="96"/>
      <c r="Z57" s="96"/>
      <c r="AA57" s="29">
        <v>0</v>
      </c>
      <c r="AB57" s="145">
        <v>0</v>
      </c>
      <c r="AC57" s="145">
        <v>0</v>
      </c>
      <c r="AD57" s="145">
        <v>0</v>
      </c>
      <c r="AE57" s="145">
        <v>0</v>
      </c>
      <c r="AF57" s="145">
        <v>0</v>
      </c>
      <c r="AG57" s="145">
        <v>0</v>
      </c>
      <c r="AH57" s="142">
        <f t="shared" si="7"/>
        <v>0</v>
      </c>
      <c r="AI57" s="141"/>
      <c r="AJ57" s="67"/>
      <c r="AK57" s="67"/>
      <c r="AL57" s="24"/>
      <c r="AM57" s="24"/>
      <c r="AN57" s="24"/>
      <c r="AO57" s="71"/>
      <c r="AP57" s="69"/>
      <c r="AQ57" s="141"/>
      <c r="AR57" s="141"/>
      <c r="AS57" s="141"/>
      <c r="AT57" s="141"/>
      <c r="AU57" s="141"/>
      <c r="AV57" s="141"/>
      <c r="AW57" s="141"/>
      <c r="AX57" s="141"/>
      <c r="AY57" s="141"/>
      <c r="AZ57" s="141"/>
    </row>
    <row r="58" spans="1:52" ht="45" customHeight="1">
      <c r="A58" s="153">
        <f t="shared" si="6"/>
        <v>55</v>
      </c>
      <c r="B58" s="153" t="s">
        <v>57</v>
      </c>
      <c r="C58" s="153"/>
      <c r="D58" s="28"/>
      <c r="E58" s="69"/>
      <c r="F58" s="39">
        <v>0</v>
      </c>
      <c r="G58" s="141"/>
      <c r="H58" s="141"/>
      <c r="I58" s="141"/>
      <c r="J58" s="141"/>
      <c r="K58" s="141"/>
      <c r="L58" s="69"/>
      <c r="M58" s="141"/>
      <c r="N58" s="59"/>
      <c r="O58" s="59"/>
      <c r="P58" s="105"/>
      <c r="Q58" s="105"/>
      <c r="R58" s="105"/>
      <c r="S58" s="105"/>
      <c r="T58" s="105"/>
      <c r="U58" s="90"/>
      <c r="V58" s="90"/>
      <c r="W58" s="90"/>
      <c r="X58" s="93"/>
      <c r="Y58" s="94"/>
      <c r="Z58" s="94"/>
      <c r="AA58" s="29">
        <v>0</v>
      </c>
      <c r="AB58" s="145">
        <v>0</v>
      </c>
      <c r="AC58" s="145">
        <v>0</v>
      </c>
      <c r="AD58" s="145">
        <v>0</v>
      </c>
      <c r="AE58" s="145">
        <v>0</v>
      </c>
      <c r="AF58" s="145">
        <v>0</v>
      </c>
      <c r="AG58" s="145">
        <v>0</v>
      </c>
      <c r="AH58" s="142">
        <f t="shared" si="7"/>
        <v>0</v>
      </c>
      <c r="AI58" s="141"/>
      <c r="AJ58" s="67"/>
      <c r="AK58" s="67"/>
      <c r="AL58" s="24"/>
      <c r="AM58" s="24"/>
      <c r="AN58" s="24"/>
      <c r="AO58" s="71"/>
      <c r="AP58" s="69"/>
      <c r="AQ58" s="141"/>
      <c r="AR58" s="141"/>
      <c r="AS58" s="141"/>
      <c r="AT58" s="141"/>
      <c r="AU58" s="141"/>
      <c r="AV58" s="141"/>
      <c r="AW58" s="141"/>
      <c r="AX58" s="141"/>
      <c r="AY58" s="141"/>
      <c r="AZ58" s="141"/>
    </row>
    <row r="59" spans="1:52" ht="45" customHeight="1">
      <c r="A59" s="153">
        <f t="shared" si="6"/>
        <v>56</v>
      </c>
      <c r="B59" s="153" t="s">
        <v>57</v>
      </c>
      <c r="C59" s="153"/>
      <c r="D59" s="28"/>
      <c r="E59" s="69"/>
      <c r="F59" s="39">
        <v>0</v>
      </c>
      <c r="G59" s="141"/>
      <c r="H59" s="141"/>
      <c r="I59" s="141"/>
      <c r="J59" s="141"/>
      <c r="K59" s="141"/>
      <c r="L59" s="69"/>
      <c r="M59" s="141"/>
      <c r="N59" s="59"/>
      <c r="O59" s="59"/>
      <c r="P59" s="105"/>
      <c r="Q59" s="105"/>
      <c r="R59" s="105"/>
      <c r="S59" s="105"/>
      <c r="T59" s="105"/>
      <c r="U59" s="90"/>
      <c r="V59" s="90"/>
      <c r="W59" s="90"/>
      <c r="X59" s="93"/>
      <c r="Y59" s="96"/>
      <c r="Z59" s="96"/>
      <c r="AA59" s="29">
        <v>0</v>
      </c>
      <c r="AB59" s="145">
        <v>0</v>
      </c>
      <c r="AC59" s="145">
        <v>0</v>
      </c>
      <c r="AD59" s="145">
        <v>0</v>
      </c>
      <c r="AE59" s="145">
        <v>0</v>
      </c>
      <c r="AF59" s="145">
        <v>0</v>
      </c>
      <c r="AG59" s="145">
        <v>0</v>
      </c>
      <c r="AH59" s="142">
        <f t="shared" si="7"/>
        <v>0</v>
      </c>
      <c r="AI59" s="141"/>
      <c r="AJ59" s="67"/>
      <c r="AK59" s="67"/>
      <c r="AL59" s="24"/>
      <c r="AM59" s="24"/>
      <c r="AN59" s="24"/>
      <c r="AO59" s="71"/>
      <c r="AP59" s="69"/>
      <c r="AQ59" s="141"/>
      <c r="AR59" s="141"/>
      <c r="AS59" s="141"/>
      <c r="AT59" s="141"/>
      <c r="AU59" s="141"/>
      <c r="AV59" s="141"/>
      <c r="AW59" s="141"/>
      <c r="AX59" s="141"/>
      <c r="AY59" s="141"/>
      <c r="AZ59" s="141"/>
    </row>
    <row r="60" spans="1:52" ht="45" customHeight="1">
      <c r="A60" s="153">
        <f t="shared" si="6"/>
        <v>57</v>
      </c>
      <c r="B60" s="153" t="s">
        <v>57</v>
      </c>
      <c r="C60" s="28"/>
      <c r="D60" s="28"/>
      <c r="E60" s="69"/>
      <c r="F60" s="39">
        <v>0</v>
      </c>
      <c r="G60" s="141"/>
      <c r="H60" s="141"/>
      <c r="I60" s="141"/>
      <c r="J60" s="141"/>
      <c r="K60" s="141"/>
      <c r="L60" s="69"/>
      <c r="M60" s="141"/>
      <c r="N60" s="59"/>
      <c r="O60" s="59"/>
      <c r="P60" s="105"/>
      <c r="Q60" s="105"/>
      <c r="R60" s="105"/>
      <c r="S60" s="105"/>
      <c r="T60" s="105"/>
      <c r="U60" s="90"/>
      <c r="V60" s="90"/>
      <c r="W60" s="90"/>
      <c r="X60" s="93"/>
      <c r="Y60" s="96"/>
      <c r="Z60" s="96"/>
      <c r="AA60" s="29">
        <v>0</v>
      </c>
      <c r="AB60" s="145">
        <v>0</v>
      </c>
      <c r="AC60" s="145">
        <v>0</v>
      </c>
      <c r="AD60" s="145">
        <v>0</v>
      </c>
      <c r="AE60" s="145">
        <v>0</v>
      </c>
      <c r="AF60" s="145">
        <v>0</v>
      </c>
      <c r="AG60" s="145">
        <v>0</v>
      </c>
      <c r="AH60" s="142">
        <f t="shared" si="7"/>
        <v>0</v>
      </c>
      <c r="AI60" s="141"/>
      <c r="AJ60" s="67"/>
      <c r="AK60" s="67"/>
      <c r="AL60" s="24"/>
      <c r="AM60" s="24"/>
      <c r="AN60" s="24"/>
      <c r="AO60" s="71"/>
      <c r="AP60" s="69"/>
      <c r="AQ60" s="141"/>
      <c r="AR60" s="141"/>
      <c r="AS60" s="141"/>
      <c r="AT60" s="141"/>
      <c r="AU60" s="141"/>
      <c r="AV60" s="141"/>
      <c r="AW60" s="141"/>
      <c r="AX60" s="141"/>
      <c r="AY60" s="141"/>
      <c r="AZ60" s="141"/>
    </row>
    <row r="61" spans="1:52" ht="45" customHeight="1">
      <c r="A61" s="153">
        <f t="shared" si="6"/>
        <v>58</v>
      </c>
      <c r="B61" s="153" t="s">
        <v>57</v>
      </c>
      <c r="C61" s="140"/>
      <c r="D61" s="28"/>
      <c r="E61" s="69"/>
      <c r="F61" s="39">
        <v>0</v>
      </c>
      <c r="G61" s="141"/>
      <c r="H61" s="141"/>
      <c r="I61" s="141"/>
      <c r="J61" s="141"/>
      <c r="K61" s="141"/>
      <c r="L61" s="69"/>
      <c r="M61" s="141"/>
      <c r="N61" s="59"/>
      <c r="O61" s="59"/>
      <c r="P61" s="105"/>
      <c r="Q61" s="105"/>
      <c r="R61" s="105"/>
      <c r="S61" s="105"/>
      <c r="T61" s="105"/>
      <c r="U61" s="90"/>
      <c r="V61" s="90"/>
      <c r="W61" s="90"/>
      <c r="X61" s="93"/>
      <c r="Y61" s="96"/>
      <c r="Z61" s="96"/>
      <c r="AA61" s="29">
        <v>0</v>
      </c>
      <c r="AB61" s="145">
        <v>0</v>
      </c>
      <c r="AC61" s="145">
        <v>0</v>
      </c>
      <c r="AD61" s="145">
        <v>0</v>
      </c>
      <c r="AE61" s="145">
        <v>0</v>
      </c>
      <c r="AF61" s="145">
        <v>0</v>
      </c>
      <c r="AG61" s="145">
        <v>0</v>
      </c>
      <c r="AH61" s="142">
        <f t="shared" si="7"/>
        <v>0</v>
      </c>
      <c r="AI61" s="141"/>
      <c r="AJ61" s="67"/>
      <c r="AK61" s="67"/>
      <c r="AL61" s="24"/>
      <c r="AM61" s="24"/>
      <c r="AN61" s="24"/>
      <c r="AO61" s="71"/>
      <c r="AP61" s="69"/>
      <c r="AQ61" s="141"/>
      <c r="AR61" s="141"/>
      <c r="AS61" s="141"/>
      <c r="AT61" s="141"/>
      <c r="AU61" s="141"/>
      <c r="AV61" s="141"/>
      <c r="AW61" s="141"/>
      <c r="AX61" s="141"/>
      <c r="AY61" s="141"/>
      <c r="AZ61" s="141"/>
    </row>
    <row r="62" spans="1:52" ht="45" customHeight="1">
      <c r="A62" s="153">
        <f t="shared" si="6"/>
        <v>59</v>
      </c>
      <c r="B62" s="153" t="s">
        <v>57</v>
      </c>
      <c r="C62" s="140"/>
      <c r="D62" s="28"/>
      <c r="E62" s="69"/>
      <c r="F62" s="39">
        <v>0</v>
      </c>
      <c r="G62" s="141"/>
      <c r="H62" s="141"/>
      <c r="I62" s="141"/>
      <c r="J62" s="141"/>
      <c r="K62" s="21"/>
      <c r="L62" s="69"/>
      <c r="M62" s="141"/>
      <c r="N62" s="59"/>
      <c r="O62" s="59"/>
      <c r="P62" s="105"/>
      <c r="Q62" s="105"/>
      <c r="R62" s="105"/>
      <c r="S62" s="105"/>
      <c r="T62" s="105"/>
      <c r="U62" s="90"/>
      <c r="V62" s="90"/>
      <c r="W62" s="90"/>
      <c r="X62" s="93"/>
      <c r="Y62" s="96"/>
      <c r="Z62" s="96"/>
      <c r="AA62" s="29">
        <v>0</v>
      </c>
      <c r="AB62" s="145">
        <v>0</v>
      </c>
      <c r="AC62" s="145">
        <v>0</v>
      </c>
      <c r="AD62" s="145">
        <v>0</v>
      </c>
      <c r="AE62" s="145">
        <v>0</v>
      </c>
      <c r="AF62" s="145">
        <v>0</v>
      </c>
      <c r="AG62" s="145">
        <v>0</v>
      </c>
      <c r="AH62" s="142">
        <f t="shared" si="7"/>
        <v>0</v>
      </c>
      <c r="AI62" s="141"/>
      <c r="AJ62" s="67"/>
      <c r="AK62" s="67"/>
      <c r="AL62" s="24"/>
      <c r="AM62" s="24"/>
      <c r="AN62" s="24"/>
      <c r="AO62" s="71"/>
      <c r="AP62" s="69"/>
      <c r="AQ62" s="141"/>
      <c r="AR62" s="141"/>
      <c r="AS62" s="141"/>
      <c r="AT62" s="141"/>
      <c r="AU62" s="141"/>
      <c r="AV62" s="141"/>
      <c r="AW62" s="141"/>
      <c r="AX62" s="141"/>
      <c r="AY62" s="141"/>
      <c r="AZ62" s="141"/>
    </row>
    <row r="63" spans="1:52" ht="45" customHeight="1">
      <c r="A63" s="153">
        <f t="shared" si="6"/>
        <v>60</v>
      </c>
      <c r="B63" s="153" t="s">
        <v>57</v>
      </c>
      <c r="C63" s="140"/>
      <c r="D63" s="28"/>
      <c r="E63" s="69"/>
      <c r="F63" s="39">
        <v>0</v>
      </c>
      <c r="G63" s="141"/>
      <c r="H63" s="141"/>
      <c r="I63" s="141"/>
      <c r="J63" s="141"/>
      <c r="K63" s="141"/>
      <c r="L63" s="69"/>
      <c r="M63" s="141"/>
      <c r="N63" s="59"/>
      <c r="O63" s="59"/>
      <c r="P63" s="105"/>
      <c r="Q63" s="105"/>
      <c r="R63" s="105"/>
      <c r="S63" s="105"/>
      <c r="T63" s="105"/>
      <c r="U63" s="90"/>
      <c r="V63" s="90"/>
      <c r="W63" s="90"/>
      <c r="X63" s="93"/>
      <c r="Y63" s="96"/>
      <c r="Z63" s="96"/>
      <c r="AA63" s="29">
        <v>0</v>
      </c>
      <c r="AB63" s="145">
        <v>0</v>
      </c>
      <c r="AC63" s="145">
        <v>0</v>
      </c>
      <c r="AD63" s="145">
        <v>0</v>
      </c>
      <c r="AE63" s="145">
        <v>0</v>
      </c>
      <c r="AF63" s="145">
        <v>0</v>
      </c>
      <c r="AG63" s="145">
        <v>0</v>
      </c>
      <c r="AH63" s="142">
        <f t="shared" si="7"/>
        <v>0</v>
      </c>
      <c r="AI63" s="141"/>
      <c r="AJ63" s="67"/>
      <c r="AK63" s="67"/>
      <c r="AL63" s="24"/>
      <c r="AM63" s="24"/>
      <c r="AN63" s="24"/>
      <c r="AO63" s="71"/>
      <c r="AP63" s="69"/>
      <c r="AQ63" s="141"/>
      <c r="AR63" s="141"/>
      <c r="AS63" s="141"/>
      <c r="AT63" s="141"/>
      <c r="AU63" s="141"/>
      <c r="AV63" s="141"/>
      <c r="AW63" s="141"/>
      <c r="AX63" s="141"/>
      <c r="AY63" s="141"/>
      <c r="AZ63" s="141"/>
    </row>
    <row r="64" spans="1:52" ht="45" customHeight="1">
      <c r="A64" s="153">
        <f t="shared" si="6"/>
        <v>61</v>
      </c>
      <c r="B64" s="153" t="s">
        <v>57</v>
      </c>
      <c r="C64" s="140"/>
      <c r="D64" s="28"/>
      <c r="E64" s="69"/>
      <c r="F64" s="39">
        <v>0</v>
      </c>
      <c r="G64" s="141"/>
      <c r="H64" s="141"/>
      <c r="I64" s="141"/>
      <c r="J64" s="141"/>
      <c r="K64" s="141"/>
      <c r="L64" s="69"/>
      <c r="M64" s="141"/>
      <c r="N64" s="59"/>
      <c r="O64" s="59"/>
      <c r="P64" s="105"/>
      <c r="Q64" s="105"/>
      <c r="R64" s="105"/>
      <c r="S64" s="105"/>
      <c r="T64" s="105"/>
      <c r="U64" s="90"/>
      <c r="V64" s="90"/>
      <c r="W64" s="90"/>
      <c r="X64" s="93"/>
      <c r="Y64" s="96"/>
      <c r="Z64" s="96"/>
      <c r="AA64" s="29">
        <v>0</v>
      </c>
      <c r="AB64" s="145">
        <v>0</v>
      </c>
      <c r="AC64" s="145">
        <v>0</v>
      </c>
      <c r="AD64" s="145">
        <v>0</v>
      </c>
      <c r="AE64" s="145">
        <v>0</v>
      </c>
      <c r="AF64" s="145">
        <v>0</v>
      </c>
      <c r="AG64" s="145">
        <v>0</v>
      </c>
      <c r="AH64" s="142">
        <f t="shared" si="7"/>
        <v>0</v>
      </c>
      <c r="AI64" s="141"/>
      <c r="AJ64" s="67"/>
      <c r="AK64" s="67"/>
      <c r="AL64" s="24"/>
      <c r="AM64" s="24"/>
      <c r="AN64" s="24"/>
      <c r="AO64" s="71"/>
      <c r="AP64" s="69"/>
      <c r="AQ64" s="141"/>
      <c r="AR64" s="141"/>
      <c r="AS64" s="141"/>
      <c r="AT64" s="141"/>
      <c r="AU64" s="141"/>
      <c r="AV64" s="141"/>
      <c r="AW64" s="141"/>
      <c r="AX64" s="141"/>
      <c r="AY64" s="141"/>
      <c r="AZ64" s="141"/>
    </row>
    <row r="65" spans="1:52" ht="45" customHeight="1">
      <c r="A65" s="153">
        <f t="shared" si="6"/>
        <v>62</v>
      </c>
      <c r="B65" s="153" t="s">
        <v>57</v>
      </c>
      <c r="C65" s="58"/>
      <c r="D65" s="28"/>
      <c r="E65" s="69"/>
      <c r="F65" s="39">
        <v>0</v>
      </c>
      <c r="G65" s="141"/>
      <c r="H65" s="141"/>
      <c r="I65" s="141"/>
      <c r="J65" s="141"/>
      <c r="K65" s="141"/>
      <c r="L65" s="69"/>
      <c r="M65" s="141"/>
      <c r="N65" s="59"/>
      <c r="O65" s="59"/>
      <c r="P65" s="105"/>
      <c r="Q65" s="105"/>
      <c r="R65" s="105"/>
      <c r="S65" s="105"/>
      <c r="T65" s="105"/>
      <c r="U65" s="90"/>
      <c r="V65" s="90"/>
      <c r="W65" s="90"/>
      <c r="X65" s="93"/>
      <c r="Y65" s="96"/>
      <c r="Z65" s="96"/>
      <c r="AA65" s="29">
        <v>0</v>
      </c>
      <c r="AB65" s="145">
        <v>0</v>
      </c>
      <c r="AC65" s="145">
        <v>0</v>
      </c>
      <c r="AD65" s="145">
        <v>0</v>
      </c>
      <c r="AE65" s="145">
        <v>0</v>
      </c>
      <c r="AF65" s="145">
        <v>0</v>
      </c>
      <c r="AG65" s="145">
        <v>0</v>
      </c>
      <c r="AH65" s="142">
        <f t="shared" si="7"/>
        <v>0</v>
      </c>
      <c r="AI65" s="141"/>
      <c r="AJ65" s="67"/>
      <c r="AK65" s="67"/>
      <c r="AL65" s="24"/>
      <c r="AM65" s="24"/>
      <c r="AN65" s="24"/>
      <c r="AO65" s="71"/>
      <c r="AP65" s="69"/>
      <c r="AQ65" s="141"/>
      <c r="AR65" s="141"/>
      <c r="AS65" s="141"/>
      <c r="AT65" s="141"/>
      <c r="AU65" s="141"/>
      <c r="AV65" s="141"/>
      <c r="AW65" s="141"/>
      <c r="AX65" s="141"/>
      <c r="AY65" s="141"/>
      <c r="AZ65" s="141"/>
    </row>
    <row r="66" spans="1:52" ht="45" customHeight="1">
      <c r="A66" s="153">
        <f t="shared" si="6"/>
        <v>63</v>
      </c>
      <c r="B66" s="153" t="s">
        <v>57</v>
      </c>
      <c r="C66" s="140"/>
      <c r="D66" s="28"/>
      <c r="E66" s="69"/>
      <c r="F66" s="39">
        <v>0</v>
      </c>
      <c r="G66" s="21"/>
      <c r="H66" s="21"/>
      <c r="I66" s="21"/>
      <c r="J66" s="141"/>
      <c r="K66" s="21"/>
      <c r="L66" s="69"/>
      <c r="M66" s="141"/>
      <c r="N66" s="59"/>
      <c r="O66" s="59"/>
      <c r="P66" s="105"/>
      <c r="Q66" s="105"/>
      <c r="R66" s="105"/>
      <c r="S66" s="105"/>
      <c r="T66" s="105"/>
      <c r="U66" s="90"/>
      <c r="V66" s="90"/>
      <c r="W66" s="90"/>
      <c r="X66" s="93"/>
      <c r="Y66" s="96"/>
      <c r="Z66" s="96"/>
      <c r="AA66" s="29">
        <v>0</v>
      </c>
      <c r="AB66" s="145">
        <v>0</v>
      </c>
      <c r="AC66" s="145">
        <v>0</v>
      </c>
      <c r="AD66" s="145">
        <v>0</v>
      </c>
      <c r="AE66" s="145">
        <v>0</v>
      </c>
      <c r="AF66" s="145">
        <v>0</v>
      </c>
      <c r="AG66" s="145">
        <v>0</v>
      </c>
      <c r="AH66" s="142">
        <f t="shared" si="7"/>
        <v>0</v>
      </c>
      <c r="AI66" s="141"/>
      <c r="AJ66" s="67"/>
      <c r="AK66" s="67"/>
      <c r="AL66" s="24"/>
      <c r="AM66" s="24"/>
      <c r="AN66" s="24"/>
      <c r="AO66" s="71"/>
      <c r="AP66" s="69"/>
      <c r="AQ66" s="141"/>
      <c r="AR66" s="141"/>
      <c r="AS66" s="141"/>
      <c r="AT66" s="141"/>
      <c r="AU66" s="141"/>
      <c r="AV66" s="141"/>
      <c r="AW66" s="141"/>
      <c r="AX66" s="141"/>
      <c r="AY66" s="141"/>
      <c r="AZ66" s="141"/>
    </row>
    <row r="67" spans="1:52" ht="45" customHeight="1">
      <c r="A67" s="153">
        <f t="shared" si="6"/>
        <v>64</v>
      </c>
      <c r="B67" s="153" t="s">
        <v>57</v>
      </c>
      <c r="C67" s="140"/>
      <c r="D67" s="28"/>
      <c r="E67" s="69"/>
      <c r="F67" s="39">
        <v>0</v>
      </c>
      <c r="G67" s="141"/>
      <c r="H67" s="141"/>
      <c r="I67" s="141"/>
      <c r="J67" s="141"/>
      <c r="K67" s="141"/>
      <c r="L67" s="69"/>
      <c r="M67" s="141"/>
      <c r="N67" s="59"/>
      <c r="O67" s="59"/>
      <c r="P67" s="105"/>
      <c r="Q67" s="105"/>
      <c r="R67" s="105"/>
      <c r="S67" s="105"/>
      <c r="T67" s="105"/>
      <c r="U67" s="90"/>
      <c r="V67" s="90"/>
      <c r="W67" s="90"/>
      <c r="X67" s="93"/>
      <c r="Y67" s="96"/>
      <c r="Z67" s="96"/>
      <c r="AA67" s="29">
        <v>0</v>
      </c>
      <c r="AB67" s="145">
        <v>0</v>
      </c>
      <c r="AC67" s="145">
        <v>0</v>
      </c>
      <c r="AD67" s="145">
        <v>0</v>
      </c>
      <c r="AE67" s="145">
        <v>0</v>
      </c>
      <c r="AF67" s="145">
        <v>0</v>
      </c>
      <c r="AG67" s="145">
        <v>0</v>
      </c>
      <c r="AH67" s="142">
        <f t="shared" si="7"/>
        <v>0</v>
      </c>
      <c r="AI67" s="141"/>
      <c r="AJ67" s="67"/>
      <c r="AK67" s="67"/>
      <c r="AL67" s="24"/>
      <c r="AM67" s="24"/>
      <c r="AN67" s="24"/>
      <c r="AO67" s="71"/>
      <c r="AP67" s="69"/>
      <c r="AQ67" s="141"/>
      <c r="AR67" s="141"/>
      <c r="AS67" s="141"/>
      <c r="AT67" s="141"/>
      <c r="AU67" s="141"/>
      <c r="AV67" s="141"/>
      <c r="AW67" s="141"/>
      <c r="AX67" s="141"/>
      <c r="AY67" s="141"/>
      <c r="AZ67" s="141"/>
    </row>
    <row r="68" spans="1:52" ht="45" customHeight="1">
      <c r="A68" s="153">
        <f t="shared" ref="A68:A99" si="8">A67+1</f>
        <v>65</v>
      </c>
      <c r="B68" s="153" t="s">
        <v>57</v>
      </c>
      <c r="C68" s="140"/>
      <c r="D68" s="28"/>
      <c r="E68" s="69"/>
      <c r="F68" s="39">
        <v>0</v>
      </c>
      <c r="G68" s="141"/>
      <c r="H68" s="141"/>
      <c r="I68" s="141"/>
      <c r="J68" s="141"/>
      <c r="K68" s="141"/>
      <c r="L68" s="69"/>
      <c r="M68" s="141"/>
      <c r="N68" s="59"/>
      <c r="O68" s="59"/>
      <c r="P68" s="105"/>
      <c r="Q68" s="105"/>
      <c r="R68" s="105"/>
      <c r="S68" s="105"/>
      <c r="T68" s="105"/>
      <c r="U68" s="90"/>
      <c r="V68" s="90"/>
      <c r="W68" s="90"/>
      <c r="X68" s="93"/>
      <c r="Y68" s="96"/>
      <c r="Z68" s="96"/>
      <c r="AA68" s="29">
        <v>0</v>
      </c>
      <c r="AB68" s="145">
        <v>0</v>
      </c>
      <c r="AC68" s="145">
        <v>0</v>
      </c>
      <c r="AD68" s="145">
        <v>0</v>
      </c>
      <c r="AE68" s="145">
        <v>0</v>
      </c>
      <c r="AF68" s="145">
        <v>0</v>
      </c>
      <c r="AG68" s="145">
        <v>0</v>
      </c>
      <c r="AH68" s="142">
        <f t="shared" si="7"/>
        <v>0</v>
      </c>
      <c r="AI68" s="141"/>
      <c r="AJ68" s="67"/>
      <c r="AK68" s="67"/>
      <c r="AL68" s="24"/>
      <c r="AM68" s="24"/>
      <c r="AN68" s="24"/>
      <c r="AO68" s="71"/>
      <c r="AP68" s="69"/>
      <c r="AQ68" s="141"/>
      <c r="AR68" s="141"/>
      <c r="AS68" s="141"/>
      <c r="AT68" s="141"/>
      <c r="AU68" s="141"/>
      <c r="AV68" s="141"/>
      <c r="AW68" s="141"/>
      <c r="AX68" s="141"/>
      <c r="AY68" s="141"/>
      <c r="AZ68" s="141"/>
    </row>
    <row r="69" spans="1:52" ht="45" customHeight="1">
      <c r="A69" s="153">
        <f t="shared" si="8"/>
        <v>66</v>
      </c>
      <c r="B69" s="153"/>
      <c r="C69" s="140"/>
      <c r="D69" s="28"/>
      <c r="E69" s="69"/>
      <c r="F69" s="39">
        <v>0</v>
      </c>
      <c r="G69" s="141"/>
      <c r="H69" s="141"/>
      <c r="I69" s="141"/>
      <c r="J69" s="141"/>
      <c r="K69" s="141"/>
      <c r="L69" s="69"/>
      <c r="M69" s="141"/>
      <c r="N69" s="59"/>
      <c r="O69" s="59"/>
      <c r="P69" s="105"/>
      <c r="Q69" s="105"/>
      <c r="R69" s="105"/>
      <c r="S69" s="105"/>
      <c r="T69" s="105"/>
      <c r="U69" s="90"/>
      <c r="V69" s="90"/>
      <c r="W69" s="90"/>
      <c r="X69" s="93"/>
      <c r="Y69" s="96"/>
      <c r="Z69" s="96"/>
      <c r="AA69" s="29">
        <v>0</v>
      </c>
      <c r="AB69" s="145">
        <v>0</v>
      </c>
      <c r="AC69" s="145">
        <v>0</v>
      </c>
      <c r="AD69" s="145">
        <v>0</v>
      </c>
      <c r="AE69" s="145">
        <v>0</v>
      </c>
      <c r="AF69" s="145">
        <v>0</v>
      </c>
      <c r="AG69" s="145">
        <v>0</v>
      </c>
      <c r="AH69" s="142">
        <f t="shared" si="7"/>
        <v>0</v>
      </c>
      <c r="AI69" s="141"/>
      <c r="AJ69" s="67"/>
      <c r="AK69" s="67"/>
      <c r="AL69" s="24"/>
      <c r="AM69" s="24"/>
      <c r="AN69" s="24"/>
      <c r="AO69" s="71"/>
      <c r="AP69" s="69"/>
      <c r="AQ69" s="141"/>
      <c r="AR69" s="141"/>
      <c r="AS69" s="141"/>
      <c r="AT69" s="141"/>
      <c r="AU69" s="141"/>
      <c r="AV69" s="141"/>
      <c r="AW69" s="141"/>
      <c r="AX69" s="141"/>
      <c r="AY69" s="141"/>
      <c r="AZ69" s="141"/>
    </row>
    <row r="70" spans="1:52" ht="45" customHeight="1">
      <c r="A70" s="153">
        <f t="shared" si="8"/>
        <v>67</v>
      </c>
      <c r="B70" s="153"/>
      <c r="C70" s="140"/>
      <c r="D70" s="28"/>
      <c r="E70" s="69"/>
      <c r="F70" s="39">
        <v>0</v>
      </c>
      <c r="G70" s="141"/>
      <c r="H70" s="141"/>
      <c r="I70" s="141"/>
      <c r="J70" s="141"/>
      <c r="K70" s="141"/>
      <c r="L70" s="69"/>
      <c r="M70" s="141"/>
      <c r="N70" s="59"/>
      <c r="O70" s="59"/>
      <c r="P70" s="105"/>
      <c r="Q70" s="105"/>
      <c r="R70" s="105"/>
      <c r="S70" s="105"/>
      <c r="T70" s="105"/>
      <c r="U70" s="90"/>
      <c r="V70" s="90"/>
      <c r="W70" s="90"/>
      <c r="X70" s="93"/>
      <c r="Y70" s="96"/>
      <c r="Z70" s="96"/>
      <c r="AA70" s="29">
        <v>0</v>
      </c>
      <c r="AB70" s="145">
        <v>0</v>
      </c>
      <c r="AC70" s="145">
        <v>0</v>
      </c>
      <c r="AD70" s="145">
        <v>0</v>
      </c>
      <c r="AE70" s="145">
        <v>0</v>
      </c>
      <c r="AF70" s="145">
        <v>0</v>
      </c>
      <c r="AG70" s="145">
        <v>0</v>
      </c>
      <c r="AH70" s="142">
        <f t="shared" si="7"/>
        <v>0</v>
      </c>
      <c r="AI70" s="141"/>
      <c r="AJ70" s="67"/>
      <c r="AK70" s="67"/>
      <c r="AL70" s="24"/>
      <c r="AM70" s="24"/>
      <c r="AN70" s="24"/>
      <c r="AO70" s="71"/>
      <c r="AP70" s="69"/>
      <c r="AQ70" s="141"/>
      <c r="AR70" s="141"/>
      <c r="AS70" s="141"/>
      <c r="AT70" s="141"/>
      <c r="AU70" s="141"/>
      <c r="AV70" s="141"/>
      <c r="AW70" s="141"/>
      <c r="AX70" s="141"/>
      <c r="AY70" s="141"/>
      <c r="AZ70" s="141"/>
    </row>
    <row r="71" spans="1:52" ht="45" customHeight="1">
      <c r="A71" s="153">
        <f t="shared" si="8"/>
        <v>68</v>
      </c>
      <c r="B71" s="153"/>
      <c r="C71" s="140"/>
      <c r="D71" s="28"/>
      <c r="E71" s="69"/>
      <c r="F71" s="39">
        <v>0</v>
      </c>
      <c r="G71" s="141"/>
      <c r="H71" s="141"/>
      <c r="I71" s="141"/>
      <c r="J71" s="141"/>
      <c r="K71" s="141"/>
      <c r="L71" s="69"/>
      <c r="M71" s="141"/>
      <c r="N71" s="59"/>
      <c r="O71" s="59"/>
      <c r="P71" s="105"/>
      <c r="Q71" s="105"/>
      <c r="R71" s="105"/>
      <c r="S71" s="105"/>
      <c r="T71" s="105"/>
      <c r="U71" s="90"/>
      <c r="V71" s="90"/>
      <c r="W71" s="90"/>
      <c r="X71" s="93"/>
      <c r="Y71" s="96"/>
      <c r="Z71" s="96"/>
      <c r="AA71" s="29">
        <v>0</v>
      </c>
      <c r="AB71" s="145">
        <v>0</v>
      </c>
      <c r="AC71" s="145">
        <v>0</v>
      </c>
      <c r="AD71" s="145">
        <v>0</v>
      </c>
      <c r="AE71" s="145">
        <v>0</v>
      </c>
      <c r="AF71" s="145">
        <v>0</v>
      </c>
      <c r="AG71" s="145">
        <v>0</v>
      </c>
      <c r="AH71" s="142">
        <f t="shared" si="7"/>
        <v>0</v>
      </c>
      <c r="AI71" s="141"/>
      <c r="AJ71" s="67"/>
      <c r="AK71" s="67"/>
      <c r="AL71" s="24"/>
      <c r="AM71" s="24"/>
      <c r="AN71" s="24"/>
      <c r="AO71" s="71"/>
      <c r="AP71" s="69"/>
      <c r="AQ71" s="141"/>
      <c r="AR71" s="141"/>
      <c r="AS71" s="141"/>
      <c r="AT71" s="141"/>
      <c r="AU71" s="141"/>
      <c r="AV71" s="141"/>
      <c r="AW71" s="141"/>
      <c r="AX71" s="141"/>
      <c r="AY71" s="141"/>
      <c r="AZ71" s="141"/>
    </row>
    <row r="72" spans="1:52" ht="45" customHeight="1">
      <c r="A72" s="153">
        <f t="shared" si="8"/>
        <v>69</v>
      </c>
      <c r="B72" s="153"/>
      <c r="C72" s="140"/>
      <c r="D72" s="28"/>
      <c r="E72" s="69"/>
      <c r="F72" s="39">
        <v>0</v>
      </c>
      <c r="G72" s="141"/>
      <c r="H72" s="141"/>
      <c r="I72" s="141"/>
      <c r="J72" s="141"/>
      <c r="K72" s="141"/>
      <c r="L72" s="69"/>
      <c r="M72" s="141"/>
      <c r="N72" s="59"/>
      <c r="O72" s="59"/>
      <c r="P72" s="105"/>
      <c r="Q72" s="105"/>
      <c r="R72" s="105"/>
      <c r="S72" s="105"/>
      <c r="T72" s="105"/>
      <c r="U72" s="90"/>
      <c r="V72" s="90"/>
      <c r="W72" s="90"/>
      <c r="X72" s="93"/>
      <c r="Y72" s="96"/>
      <c r="Z72" s="96"/>
      <c r="AA72" s="29">
        <v>0</v>
      </c>
      <c r="AB72" s="145">
        <v>0</v>
      </c>
      <c r="AC72" s="145">
        <v>0</v>
      </c>
      <c r="AD72" s="145">
        <v>0</v>
      </c>
      <c r="AE72" s="145">
        <v>0</v>
      </c>
      <c r="AF72" s="145">
        <v>0</v>
      </c>
      <c r="AG72" s="145">
        <v>0</v>
      </c>
      <c r="AH72" s="142">
        <f t="shared" si="7"/>
        <v>0</v>
      </c>
      <c r="AI72" s="141"/>
      <c r="AJ72" s="67"/>
      <c r="AK72" s="67"/>
      <c r="AL72" s="24"/>
      <c r="AM72" s="24"/>
      <c r="AN72" s="24"/>
      <c r="AO72" s="71"/>
      <c r="AP72" s="69"/>
      <c r="AQ72" s="141"/>
      <c r="AR72" s="141"/>
      <c r="AS72" s="141"/>
      <c r="AT72" s="141"/>
      <c r="AU72" s="141"/>
      <c r="AV72" s="141"/>
      <c r="AW72" s="141"/>
      <c r="AX72" s="141"/>
      <c r="AY72" s="141"/>
      <c r="AZ72" s="141"/>
    </row>
    <row r="73" spans="1:52" ht="45" customHeight="1">
      <c r="A73" s="153">
        <f t="shared" si="8"/>
        <v>70</v>
      </c>
      <c r="B73" s="153"/>
      <c r="C73" s="140"/>
      <c r="D73" s="28"/>
      <c r="E73" s="69"/>
      <c r="F73" s="39">
        <v>0</v>
      </c>
      <c r="G73" s="141"/>
      <c r="H73" s="35"/>
      <c r="I73" s="35"/>
      <c r="J73" s="35"/>
      <c r="K73" s="65"/>
      <c r="L73" s="69"/>
      <c r="M73" s="141"/>
      <c r="N73" s="59"/>
      <c r="O73" s="59"/>
      <c r="P73" s="105"/>
      <c r="Q73" s="105"/>
      <c r="R73" s="105"/>
      <c r="S73" s="105"/>
      <c r="T73" s="105"/>
      <c r="U73" s="90"/>
      <c r="V73" s="90"/>
      <c r="W73" s="90"/>
      <c r="X73" s="93"/>
      <c r="Y73" s="95"/>
      <c r="Z73" s="95"/>
      <c r="AA73" s="29">
        <v>0</v>
      </c>
      <c r="AB73" s="145">
        <v>0</v>
      </c>
      <c r="AC73" s="145">
        <v>0</v>
      </c>
      <c r="AD73" s="145">
        <v>0</v>
      </c>
      <c r="AE73" s="145">
        <v>0</v>
      </c>
      <c r="AF73" s="145">
        <v>0</v>
      </c>
      <c r="AG73" s="145">
        <v>0</v>
      </c>
      <c r="AH73" s="142">
        <f t="shared" si="7"/>
        <v>0</v>
      </c>
      <c r="AI73" s="141"/>
      <c r="AJ73" s="67"/>
      <c r="AK73" s="67"/>
      <c r="AL73" s="24"/>
      <c r="AM73" s="24"/>
      <c r="AN73" s="24"/>
      <c r="AO73" s="71"/>
      <c r="AP73" s="69"/>
      <c r="AQ73" s="141"/>
      <c r="AR73" s="141"/>
      <c r="AS73" s="141"/>
      <c r="AT73" s="141"/>
      <c r="AU73" s="141"/>
      <c r="AV73" s="141"/>
      <c r="AW73" s="141"/>
      <c r="AX73" s="141"/>
      <c r="AY73" s="141"/>
      <c r="AZ73" s="141"/>
    </row>
    <row r="74" spans="1:52" ht="45" customHeight="1">
      <c r="A74" s="153">
        <f t="shared" si="8"/>
        <v>71</v>
      </c>
      <c r="B74" s="153"/>
      <c r="C74" s="140"/>
      <c r="D74" s="28"/>
      <c r="E74" s="69"/>
      <c r="F74" s="39">
        <v>0</v>
      </c>
      <c r="G74" s="141"/>
      <c r="H74" s="141"/>
      <c r="I74" s="141"/>
      <c r="J74" s="141"/>
      <c r="K74" s="141"/>
      <c r="L74" s="69"/>
      <c r="M74" s="141"/>
      <c r="N74" s="59"/>
      <c r="O74" s="59"/>
      <c r="P74" s="105"/>
      <c r="Q74" s="105"/>
      <c r="R74" s="105"/>
      <c r="S74" s="105"/>
      <c r="T74" s="105"/>
      <c r="U74" s="90"/>
      <c r="V74" s="90"/>
      <c r="W74" s="90"/>
      <c r="X74" s="93"/>
      <c r="Y74" s="93"/>
      <c r="Z74" s="93"/>
      <c r="AA74" s="29">
        <v>0</v>
      </c>
      <c r="AB74" s="145">
        <v>0</v>
      </c>
      <c r="AC74" s="145">
        <v>0</v>
      </c>
      <c r="AD74" s="145">
        <v>0</v>
      </c>
      <c r="AE74" s="145">
        <v>0</v>
      </c>
      <c r="AF74" s="145">
        <v>0</v>
      </c>
      <c r="AG74" s="145">
        <v>0</v>
      </c>
      <c r="AH74" s="142">
        <f t="shared" si="7"/>
        <v>0</v>
      </c>
      <c r="AI74" s="141"/>
      <c r="AJ74" s="67"/>
      <c r="AK74" s="67"/>
      <c r="AL74" s="24"/>
      <c r="AM74" s="24"/>
      <c r="AN74" s="24"/>
      <c r="AO74" s="71"/>
      <c r="AP74" s="69"/>
      <c r="AQ74" s="141"/>
      <c r="AR74" s="141"/>
      <c r="AS74" s="141"/>
      <c r="AT74" s="141"/>
      <c r="AU74" s="141"/>
      <c r="AV74" s="141"/>
      <c r="AW74" s="141"/>
      <c r="AX74" s="141"/>
      <c r="AY74" s="141"/>
      <c r="AZ74" s="141"/>
    </row>
    <row r="75" spans="1:52" ht="45" customHeight="1">
      <c r="A75" s="153">
        <f t="shared" si="8"/>
        <v>72</v>
      </c>
      <c r="B75" s="153"/>
      <c r="C75" s="140"/>
      <c r="D75" s="28"/>
      <c r="E75" s="69"/>
      <c r="F75" s="39">
        <v>0</v>
      </c>
      <c r="G75" s="141"/>
      <c r="H75" s="141"/>
      <c r="I75" s="141"/>
      <c r="J75" s="141"/>
      <c r="K75" s="141"/>
      <c r="L75" s="69"/>
      <c r="M75" s="141"/>
      <c r="N75" s="59"/>
      <c r="O75" s="59"/>
      <c r="P75" s="105"/>
      <c r="Q75" s="105"/>
      <c r="R75" s="105"/>
      <c r="S75" s="105"/>
      <c r="T75" s="105"/>
      <c r="U75" s="90"/>
      <c r="V75" s="90"/>
      <c r="W75" s="90"/>
      <c r="X75" s="93"/>
      <c r="Y75" s="93"/>
      <c r="Z75" s="93"/>
      <c r="AA75" s="29">
        <v>0</v>
      </c>
      <c r="AB75" s="145">
        <v>0</v>
      </c>
      <c r="AC75" s="145">
        <v>0</v>
      </c>
      <c r="AD75" s="145">
        <v>0</v>
      </c>
      <c r="AE75" s="145">
        <v>0</v>
      </c>
      <c r="AF75" s="145">
        <v>0</v>
      </c>
      <c r="AG75" s="145">
        <v>0</v>
      </c>
      <c r="AH75" s="142">
        <f t="shared" si="7"/>
        <v>0</v>
      </c>
      <c r="AI75" s="141"/>
      <c r="AJ75" s="67"/>
      <c r="AK75" s="67"/>
      <c r="AL75" s="24"/>
      <c r="AM75" s="24"/>
      <c r="AN75" s="24"/>
      <c r="AO75" s="71"/>
      <c r="AP75" s="69"/>
      <c r="AQ75" s="141"/>
      <c r="AR75" s="141"/>
      <c r="AS75" s="141"/>
      <c r="AT75" s="141"/>
      <c r="AU75" s="141"/>
      <c r="AV75" s="141"/>
      <c r="AW75" s="141"/>
      <c r="AX75" s="141"/>
      <c r="AY75" s="141"/>
      <c r="AZ75" s="141"/>
    </row>
    <row r="76" spans="1:52" ht="45" customHeight="1">
      <c r="A76" s="153">
        <f t="shared" si="8"/>
        <v>73</v>
      </c>
      <c r="B76" s="153"/>
      <c r="C76" s="140"/>
      <c r="D76" s="28"/>
      <c r="E76" s="69"/>
      <c r="F76" s="39">
        <v>0</v>
      </c>
      <c r="G76" s="141"/>
      <c r="H76" s="141"/>
      <c r="I76" s="141"/>
      <c r="J76" s="141"/>
      <c r="K76" s="141"/>
      <c r="L76" s="69"/>
      <c r="M76" s="141"/>
      <c r="N76" s="59"/>
      <c r="O76" s="59"/>
      <c r="P76" s="105"/>
      <c r="Q76" s="105"/>
      <c r="R76" s="105"/>
      <c r="S76" s="105"/>
      <c r="T76" s="105"/>
      <c r="U76" s="90"/>
      <c r="V76" s="90"/>
      <c r="W76" s="90"/>
      <c r="X76" s="93"/>
      <c r="Y76" s="93"/>
      <c r="Z76" s="93"/>
      <c r="AA76" s="29">
        <v>0</v>
      </c>
      <c r="AB76" s="145">
        <v>0</v>
      </c>
      <c r="AC76" s="145">
        <v>0</v>
      </c>
      <c r="AD76" s="145">
        <v>0</v>
      </c>
      <c r="AE76" s="145">
        <v>0</v>
      </c>
      <c r="AF76" s="145">
        <v>0</v>
      </c>
      <c r="AG76" s="145">
        <v>0</v>
      </c>
      <c r="AH76" s="142">
        <f t="shared" si="7"/>
        <v>0</v>
      </c>
      <c r="AI76" s="141"/>
      <c r="AJ76" s="67"/>
      <c r="AK76" s="67"/>
      <c r="AL76" s="24"/>
      <c r="AM76" s="24"/>
      <c r="AN76" s="24"/>
      <c r="AO76" s="71"/>
      <c r="AP76" s="69"/>
      <c r="AQ76" s="141"/>
      <c r="AR76" s="141"/>
      <c r="AS76" s="141"/>
      <c r="AT76" s="141"/>
      <c r="AU76" s="141"/>
      <c r="AV76" s="141"/>
      <c r="AW76" s="141"/>
      <c r="AX76" s="141"/>
      <c r="AY76" s="141"/>
      <c r="AZ76" s="141"/>
    </row>
    <row r="77" spans="1:52" ht="45" customHeight="1">
      <c r="A77" s="153">
        <f t="shared" si="8"/>
        <v>74</v>
      </c>
      <c r="B77" s="153"/>
      <c r="C77" s="140"/>
      <c r="D77" s="28"/>
      <c r="E77" s="69"/>
      <c r="F77" s="39">
        <v>0</v>
      </c>
      <c r="G77" s="141"/>
      <c r="H77" s="141"/>
      <c r="I77" s="141"/>
      <c r="J77" s="141"/>
      <c r="K77" s="141"/>
      <c r="L77" s="69"/>
      <c r="M77" s="141"/>
      <c r="N77" s="59"/>
      <c r="O77" s="59"/>
      <c r="P77" s="105"/>
      <c r="Q77" s="105"/>
      <c r="R77" s="105"/>
      <c r="S77" s="105"/>
      <c r="T77" s="105"/>
      <c r="U77" s="90"/>
      <c r="V77" s="90"/>
      <c r="W77" s="90"/>
      <c r="X77" s="93"/>
      <c r="Y77" s="93"/>
      <c r="Z77" s="93"/>
      <c r="AA77" s="29">
        <v>0</v>
      </c>
      <c r="AB77" s="145">
        <v>0</v>
      </c>
      <c r="AC77" s="145">
        <v>0</v>
      </c>
      <c r="AD77" s="145">
        <v>0</v>
      </c>
      <c r="AE77" s="145">
        <v>0</v>
      </c>
      <c r="AF77" s="145">
        <v>0</v>
      </c>
      <c r="AG77" s="145">
        <v>0</v>
      </c>
      <c r="AH77" s="142">
        <f t="shared" si="7"/>
        <v>0</v>
      </c>
      <c r="AI77" s="141"/>
      <c r="AJ77" s="67"/>
      <c r="AK77" s="67"/>
      <c r="AL77" s="24"/>
      <c r="AM77" s="24"/>
      <c r="AN77" s="24"/>
      <c r="AO77" s="71"/>
      <c r="AP77" s="69"/>
      <c r="AQ77" s="141"/>
      <c r="AR77" s="141"/>
      <c r="AS77" s="141"/>
      <c r="AT77" s="141"/>
      <c r="AU77" s="141"/>
      <c r="AV77" s="141"/>
      <c r="AW77" s="141"/>
      <c r="AX77" s="141"/>
      <c r="AY77" s="141"/>
      <c r="AZ77" s="141"/>
    </row>
    <row r="78" spans="1:52" ht="45" customHeight="1">
      <c r="A78" s="153">
        <f t="shared" si="8"/>
        <v>75</v>
      </c>
      <c r="B78" s="153"/>
      <c r="C78" s="140"/>
      <c r="D78" s="28"/>
      <c r="E78" s="69"/>
      <c r="F78" s="39">
        <v>0</v>
      </c>
      <c r="G78" s="141"/>
      <c r="H78" s="141"/>
      <c r="I78" s="141"/>
      <c r="J78" s="141"/>
      <c r="K78" s="141"/>
      <c r="L78" s="69"/>
      <c r="M78" s="141"/>
      <c r="N78" s="59"/>
      <c r="O78" s="59"/>
      <c r="P78" s="105"/>
      <c r="Q78" s="105"/>
      <c r="R78" s="105"/>
      <c r="S78" s="105"/>
      <c r="T78" s="105"/>
      <c r="U78" s="90"/>
      <c r="V78" s="90"/>
      <c r="W78" s="90"/>
      <c r="X78" s="93"/>
      <c r="Y78" s="93"/>
      <c r="Z78" s="93"/>
      <c r="AA78" s="29">
        <v>0</v>
      </c>
      <c r="AB78" s="145">
        <v>0</v>
      </c>
      <c r="AC78" s="145">
        <v>0</v>
      </c>
      <c r="AD78" s="145">
        <v>0</v>
      </c>
      <c r="AE78" s="145">
        <v>0</v>
      </c>
      <c r="AF78" s="145">
        <v>0</v>
      </c>
      <c r="AG78" s="145">
        <v>0</v>
      </c>
      <c r="AH78" s="142">
        <f t="shared" si="7"/>
        <v>0</v>
      </c>
      <c r="AI78" s="141"/>
      <c r="AJ78" s="67"/>
      <c r="AK78" s="67"/>
      <c r="AL78" s="24"/>
      <c r="AM78" s="24"/>
      <c r="AN78" s="24"/>
      <c r="AO78" s="71"/>
      <c r="AP78" s="69"/>
      <c r="AQ78" s="141"/>
      <c r="AR78" s="141"/>
      <c r="AS78" s="141"/>
      <c r="AT78" s="141"/>
      <c r="AU78" s="141"/>
      <c r="AV78" s="141"/>
      <c r="AW78" s="141"/>
      <c r="AX78" s="141"/>
      <c r="AY78" s="141"/>
      <c r="AZ78" s="141"/>
    </row>
    <row r="79" spans="1:52" ht="45" customHeight="1">
      <c r="A79" s="153">
        <f t="shared" si="8"/>
        <v>76</v>
      </c>
      <c r="B79" s="153"/>
      <c r="C79" s="140"/>
      <c r="D79" s="28"/>
      <c r="E79" s="69"/>
      <c r="F79" s="39">
        <v>0</v>
      </c>
      <c r="G79" s="21"/>
      <c r="H79" s="21"/>
      <c r="I79" s="21"/>
      <c r="J79" s="141"/>
      <c r="K79" s="21"/>
      <c r="L79" s="69"/>
      <c r="M79" s="141"/>
      <c r="N79" s="59"/>
      <c r="O79" s="59"/>
      <c r="P79" s="105"/>
      <c r="Q79" s="105"/>
      <c r="R79" s="105"/>
      <c r="S79" s="105"/>
      <c r="T79" s="105"/>
      <c r="U79" s="90"/>
      <c r="V79" s="90"/>
      <c r="W79" s="90"/>
      <c r="X79" s="93"/>
      <c r="Y79" s="93"/>
      <c r="Z79" s="93"/>
      <c r="AA79" s="29">
        <v>0</v>
      </c>
      <c r="AB79" s="145">
        <v>0</v>
      </c>
      <c r="AC79" s="145">
        <v>0</v>
      </c>
      <c r="AD79" s="145">
        <v>0</v>
      </c>
      <c r="AE79" s="145">
        <v>0</v>
      </c>
      <c r="AF79" s="145">
        <v>0</v>
      </c>
      <c r="AG79" s="145">
        <v>0</v>
      </c>
      <c r="AH79" s="142">
        <f t="shared" si="7"/>
        <v>0</v>
      </c>
      <c r="AI79" s="141"/>
      <c r="AJ79" s="67"/>
      <c r="AK79" s="67"/>
      <c r="AL79" s="24"/>
      <c r="AM79" s="24"/>
      <c r="AN79" s="24"/>
      <c r="AO79" s="71"/>
      <c r="AP79" s="69"/>
      <c r="AQ79" s="141"/>
      <c r="AR79" s="141"/>
      <c r="AS79" s="141"/>
      <c r="AT79" s="141"/>
      <c r="AU79" s="141"/>
      <c r="AV79" s="141"/>
      <c r="AW79" s="141"/>
      <c r="AX79" s="141"/>
      <c r="AY79" s="141"/>
      <c r="AZ79" s="141"/>
    </row>
    <row r="80" spans="1:52" ht="45" customHeight="1">
      <c r="A80" s="153">
        <f t="shared" si="8"/>
        <v>77</v>
      </c>
      <c r="B80" s="153"/>
      <c r="C80" s="140"/>
      <c r="D80" s="28"/>
      <c r="E80" s="69"/>
      <c r="F80" s="39">
        <v>0</v>
      </c>
      <c r="G80" s="53"/>
      <c r="H80" s="53"/>
      <c r="I80" s="53"/>
      <c r="J80" s="141"/>
      <c r="K80" s="141"/>
      <c r="L80" s="69"/>
      <c r="M80" s="141"/>
      <c r="N80" s="59"/>
      <c r="O80" s="59"/>
      <c r="P80" s="105"/>
      <c r="Q80" s="105"/>
      <c r="R80" s="105"/>
      <c r="S80" s="105"/>
      <c r="T80" s="105"/>
      <c r="U80" s="90"/>
      <c r="V80" s="90"/>
      <c r="W80" s="90"/>
      <c r="X80" s="93"/>
      <c r="Y80" s="93"/>
      <c r="Z80" s="93"/>
      <c r="AA80" s="29">
        <v>0</v>
      </c>
      <c r="AB80" s="145">
        <v>0</v>
      </c>
      <c r="AC80" s="145">
        <v>0</v>
      </c>
      <c r="AD80" s="145">
        <v>0</v>
      </c>
      <c r="AE80" s="145">
        <v>0</v>
      </c>
      <c r="AF80" s="145">
        <v>0</v>
      </c>
      <c r="AG80" s="145">
        <v>0</v>
      </c>
      <c r="AH80" s="142">
        <f t="shared" si="7"/>
        <v>0</v>
      </c>
      <c r="AI80" s="141"/>
      <c r="AJ80" s="67"/>
      <c r="AK80" s="67"/>
      <c r="AL80" s="24"/>
      <c r="AM80" s="24"/>
      <c r="AN80" s="24"/>
      <c r="AO80" s="71"/>
      <c r="AP80" s="69"/>
      <c r="AQ80" s="141"/>
      <c r="AR80" s="141"/>
      <c r="AS80" s="141"/>
      <c r="AT80" s="141"/>
      <c r="AU80" s="141"/>
      <c r="AV80" s="141"/>
      <c r="AW80" s="141"/>
      <c r="AX80" s="141"/>
      <c r="AY80" s="141"/>
      <c r="AZ80" s="141"/>
    </row>
    <row r="81" spans="1:52" ht="45" customHeight="1">
      <c r="A81" s="153">
        <f t="shared" si="8"/>
        <v>78</v>
      </c>
      <c r="B81" s="153"/>
      <c r="C81" s="140"/>
      <c r="D81" s="28"/>
      <c r="E81" s="69"/>
      <c r="F81" s="39">
        <v>0</v>
      </c>
      <c r="G81" s="141"/>
      <c r="H81" s="141"/>
      <c r="I81" s="141"/>
      <c r="J81" s="141"/>
      <c r="K81" s="141"/>
      <c r="L81" s="69"/>
      <c r="M81" s="141"/>
      <c r="N81" s="59"/>
      <c r="O81" s="59"/>
      <c r="P81" s="105"/>
      <c r="Q81" s="105"/>
      <c r="R81" s="105"/>
      <c r="S81" s="105"/>
      <c r="T81" s="105"/>
      <c r="U81" s="90"/>
      <c r="V81" s="90"/>
      <c r="W81" s="90"/>
      <c r="X81" s="93"/>
      <c r="Y81" s="93"/>
      <c r="Z81" s="93"/>
      <c r="AA81" s="29">
        <v>0</v>
      </c>
      <c r="AB81" s="145">
        <v>0</v>
      </c>
      <c r="AC81" s="145">
        <v>0</v>
      </c>
      <c r="AD81" s="145">
        <v>0</v>
      </c>
      <c r="AE81" s="145">
        <v>0</v>
      </c>
      <c r="AF81" s="145">
        <v>0</v>
      </c>
      <c r="AG81" s="145">
        <v>0</v>
      </c>
      <c r="AH81" s="142">
        <f t="shared" si="7"/>
        <v>0</v>
      </c>
      <c r="AI81" s="141"/>
      <c r="AJ81" s="67"/>
      <c r="AK81" s="67"/>
      <c r="AL81" s="24"/>
      <c r="AM81" s="24"/>
      <c r="AN81" s="24"/>
      <c r="AO81" s="71"/>
      <c r="AP81" s="69"/>
      <c r="AQ81" s="141"/>
      <c r="AR81" s="141"/>
      <c r="AS81" s="141"/>
      <c r="AT81" s="141"/>
      <c r="AU81" s="141"/>
      <c r="AV81" s="141"/>
      <c r="AW81" s="141"/>
      <c r="AX81" s="141"/>
      <c r="AY81" s="141"/>
      <c r="AZ81" s="141"/>
    </row>
    <row r="82" spans="1:52" ht="45" customHeight="1">
      <c r="A82" s="153">
        <f t="shared" si="8"/>
        <v>79</v>
      </c>
      <c r="B82" s="153"/>
      <c r="C82" s="140"/>
      <c r="D82" s="28"/>
      <c r="E82" s="69"/>
      <c r="F82" s="39">
        <v>0</v>
      </c>
      <c r="G82" s="141"/>
      <c r="H82" s="141"/>
      <c r="I82" s="141"/>
      <c r="J82" s="141"/>
      <c r="K82" s="141"/>
      <c r="L82" s="69"/>
      <c r="M82" s="141"/>
      <c r="N82" s="59"/>
      <c r="O82" s="59"/>
      <c r="P82" s="105"/>
      <c r="Q82" s="105"/>
      <c r="R82" s="105"/>
      <c r="S82" s="105"/>
      <c r="T82" s="105"/>
      <c r="U82" s="90"/>
      <c r="V82" s="90"/>
      <c r="W82" s="90"/>
      <c r="X82" s="93"/>
      <c r="Y82" s="93"/>
      <c r="Z82" s="93"/>
      <c r="AA82" s="29">
        <v>0</v>
      </c>
      <c r="AB82" s="145">
        <v>0</v>
      </c>
      <c r="AC82" s="145">
        <v>0</v>
      </c>
      <c r="AD82" s="145">
        <v>0</v>
      </c>
      <c r="AE82" s="145">
        <v>0</v>
      </c>
      <c r="AF82" s="145">
        <v>0</v>
      </c>
      <c r="AG82" s="145">
        <v>0</v>
      </c>
      <c r="AH82" s="142">
        <f t="shared" si="7"/>
        <v>0</v>
      </c>
      <c r="AI82" s="141"/>
      <c r="AJ82" s="67"/>
      <c r="AK82" s="67"/>
      <c r="AL82" s="24"/>
      <c r="AM82" s="24"/>
      <c r="AN82" s="24"/>
      <c r="AO82" s="71"/>
      <c r="AP82" s="69"/>
      <c r="AQ82" s="141"/>
      <c r="AR82" s="141"/>
      <c r="AS82" s="141"/>
      <c r="AT82" s="141"/>
      <c r="AU82" s="141"/>
      <c r="AV82" s="141"/>
      <c r="AW82" s="141"/>
      <c r="AX82" s="141"/>
      <c r="AY82" s="141"/>
      <c r="AZ82" s="141"/>
    </row>
    <row r="83" spans="1:52" ht="45" customHeight="1">
      <c r="A83" s="153">
        <f t="shared" si="8"/>
        <v>80</v>
      </c>
      <c r="B83" s="153"/>
      <c r="C83" s="140"/>
      <c r="D83" s="28"/>
      <c r="E83" s="69"/>
      <c r="F83" s="39">
        <v>0</v>
      </c>
      <c r="G83" s="141"/>
      <c r="H83" s="141"/>
      <c r="I83" s="141"/>
      <c r="J83" s="141"/>
      <c r="K83" s="141"/>
      <c r="L83" s="69"/>
      <c r="M83" s="141"/>
      <c r="N83" s="59"/>
      <c r="O83" s="59"/>
      <c r="P83" s="105"/>
      <c r="Q83" s="105"/>
      <c r="R83" s="105"/>
      <c r="S83" s="105"/>
      <c r="T83" s="105"/>
      <c r="U83" s="90"/>
      <c r="V83" s="90"/>
      <c r="W83" s="90"/>
      <c r="X83" s="93"/>
      <c r="Y83" s="96"/>
      <c r="Z83" s="96"/>
      <c r="AA83" s="29">
        <v>0</v>
      </c>
      <c r="AB83" s="145">
        <v>0</v>
      </c>
      <c r="AC83" s="145">
        <v>0</v>
      </c>
      <c r="AD83" s="145">
        <v>0</v>
      </c>
      <c r="AE83" s="145">
        <v>0</v>
      </c>
      <c r="AF83" s="145">
        <v>0</v>
      </c>
      <c r="AG83" s="145">
        <v>0</v>
      </c>
      <c r="AH83" s="142">
        <f t="shared" si="7"/>
        <v>0</v>
      </c>
      <c r="AI83" s="141"/>
      <c r="AJ83" s="67"/>
      <c r="AK83" s="67"/>
      <c r="AL83" s="24"/>
      <c r="AM83" s="24"/>
      <c r="AN83" s="24"/>
      <c r="AO83" s="71"/>
      <c r="AP83" s="69"/>
      <c r="AQ83" s="141"/>
      <c r="AR83" s="141"/>
      <c r="AS83" s="141"/>
      <c r="AT83" s="141"/>
      <c r="AU83" s="141"/>
      <c r="AV83" s="141"/>
      <c r="AW83" s="141"/>
      <c r="AX83" s="141"/>
      <c r="AY83" s="141"/>
      <c r="AZ83" s="141"/>
    </row>
    <row r="84" spans="1:52" ht="45" customHeight="1">
      <c r="A84" s="153">
        <f t="shared" si="8"/>
        <v>81</v>
      </c>
      <c r="B84" s="153"/>
      <c r="C84" s="140"/>
      <c r="D84" s="28"/>
      <c r="E84" s="69"/>
      <c r="F84" s="39">
        <v>0</v>
      </c>
      <c r="G84" s="141"/>
      <c r="H84" s="141"/>
      <c r="I84" s="141"/>
      <c r="J84" s="141"/>
      <c r="K84" s="21"/>
      <c r="L84" s="69"/>
      <c r="M84" s="141"/>
      <c r="N84" s="59"/>
      <c r="O84" s="59"/>
      <c r="P84" s="105"/>
      <c r="Q84" s="105"/>
      <c r="R84" s="105"/>
      <c r="S84" s="105"/>
      <c r="T84" s="105"/>
      <c r="U84" s="90"/>
      <c r="V84" s="90"/>
      <c r="W84" s="90"/>
      <c r="X84" s="93"/>
      <c r="Y84" s="93"/>
      <c r="Z84" s="93"/>
      <c r="AA84" s="29">
        <v>0</v>
      </c>
      <c r="AB84" s="145">
        <v>0</v>
      </c>
      <c r="AC84" s="145">
        <v>0</v>
      </c>
      <c r="AD84" s="145">
        <v>0</v>
      </c>
      <c r="AE84" s="145">
        <v>0</v>
      </c>
      <c r="AF84" s="145">
        <v>0</v>
      </c>
      <c r="AG84" s="145">
        <v>0</v>
      </c>
      <c r="AH84" s="142">
        <f t="shared" ref="AH84:AH115" si="9">AVERAGE(AA84:AG84)</f>
        <v>0</v>
      </c>
      <c r="AI84" s="141"/>
      <c r="AJ84" s="67"/>
      <c r="AK84" s="67"/>
      <c r="AL84" s="24"/>
      <c r="AM84" s="24"/>
      <c r="AN84" s="24"/>
      <c r="AO84" s="71"/>
      <c r="AP84" s="69"/>
      <c r="AQ84" s="141"/>
      <c r="AR84" s="141"/>
      <c r="AS84" s="141"/>
      <c r="AT84" s="141"/>
      <c r="AU84" s="141"/>
      <c r="AV84" s="141"/>
      <c r="AW84" s="141"/>
      <c r="AX84" s="141"/>
      <c r="AY84" s="141"/>
      <c r="AZ84" s="141"/>
    </row>
    <row r="85" spans="1:52" ht="45" customHeight="1">
      <c r="A85" s="153">
        <f t="shared" si="8"/>
        <v>82</v>
      </c>
      <c r="B85" s="153"/>
      <c r="C85" s="140"/>
      <c r="D85" s="28"/>
      <c r="E85" s="69"/>
      <c r="F85" s="39">
        <v>0</v>
      </c>
      <c r="G85" s="21"/>
      <c r="H85" s="21"/>
      <c r="I85" s="21"/>
      <c r="J85" s="141"/>
      <c r="K85" s="21"/>
      <c r="L85" s="69"/>
      <c r="M85" s="141"/>
      <c r="N85" s="59"/>
      <c r="O85" s="59"/>
      <c r="P85" s="105"/>
      <c r="Q85" s="105"/>
      <c r="R85" s="105"/>
      <c r="S85" s="105"/>
      <c r="T85" s="105"/>
      <c r="U85" s="90"/>
      <c r="V85" s="90"/>
      <c r="W85" s="90"/>
      <c r="X85" s="93"/>
      <c r="Y85" s="93"/>
      <c r="Z85" s="93"/>
      <c r="AA85" s="29">
        <v>0</v>
      </c>
      <c r="AB85" s="145">
        <v>0</v>
      </c>
      <c r="AC85" s="145">
        <v>0</v>
      </c>
      <c r="AD85" s="145">
        <v>0</v>
      </c>
      <c r="AE85" s="145">
        <v>0</v>
      </c>
      <c r="AF85" s="145">
        <v>0</v>
      </c>
      <c r="AG85" s="145">
        <v>0</v>
      </c>
      <c r="AH85" s="142">
        <f t="shared" si="9"/>
        <v>0</v>
      </c>
      <c r="AI85" s="141"/>
      <c r="AJ85" s="67"/>
      <c r="AK85" s="67"/>
      <c r="AL85" s="24"/>
      <c r="AM85" s="24"/>
      <c r="AN85" s="24"/>
      <c r="AO85" s="71"/>
      <c r="AP85" s="69"/>
      <c r="AQ85" s="141"/>
      <c r="AR85" s="141"/>
      <c r="AS85" s="141"/>
      <c r="AT85" s="141"/>
      <c r="AU85" s="141"/>
      <c r="AV85" s="141"/>
      <c r="AW85" s="141"/>
      <c r="AX85" s="141"/>
      <c r="AY85" s="141"/>
      <c r="AZ85" s="141"/>
    </row>
    <row r="86" spans="1:52" ht="45" customHeight="1">
      <c r="A86" s="153">
        <f t="shared" si="8"/>
        <v>83</v>
      </c>
      <c r="B86" s="153"/>
      <c r="C86" s="140"/>
      <c r="D86" s="140"/>
      <c r="E86" s="69"/>
      <c r="F86" s="39">
        <v>0</v>
      </c>
      <c r="G86" s="21"/>
      <c r="H86" s="21"/>
      <c r="I86" s="21"/>
      <c r="J86" s="141"/>
      <c r="K86" s="21"/>
      <c r="L86" s="69"/>
      <c r="M86" s="141"/>
      <c r="N86" s="59"/>
      <c r="O86" s="59"/>
      <c r="P86" s="105"/>
      <c r="Q86" s="105"/>
      <c r="R86" s="105"/>
      <c r="S86" s="105"/>
      <c r="T86" s="105"/>
      <c r="U86" s="90"/>
      <c r="V86" s="90"/>
      <c r="W86" s="90"/>
      <c r="X86" s="93"/>
      <c r="Y86" s="93"/>
      <c r="Z86" s="93"/>
      <c r="AA86" s="29">
        <v>0</v>
      </c>
      <c r="AB86" s="145">
        <v>0</v>
      </c>
      <c r="AC86" s="145">
        <v>0</v>
      </c>
      <c r="AD86" s="145">
        <v>0</v>
      </c>
      <c r="AE86" s="145">
        <v>0</v>
      </c>
      <c r="AF86" s="145">
        <v>0</v>
      </c>
      <c r="AG86" s="145">
        <v>0</v>
      </c>
      <c r="AH86" s="142">
        <f t="shared" si="9"/>
        <v>0</v>
      </c>
      <c r="AI86" s="141"/>
      <c r="AJ86" s="67"/>
      <c r="AK86" s="67"/>
      <c r="AL86" s="24"/>
      <c r="AM86" s="24"/>
      <c r="AN86" s="24"/>
      <c r="AO86" s="71"/>
      <c r="AP86" s="69"/>
      <c r="AQ86" s="141"/>
      <c r="AR86" s="141"/>
      <c r="AS86" s="141"/>
      <c r="AT86" s="141"/>
      <c r="AU86" s="141"/>
      <c r="AV86" s="141"/>
      <c r="AW86" s="141"/>
      <c r="AX86" s="141"/>
      <c r="AY86" s="141"/>
      <c r="AZ86" s="141"/>
    </row>
    <row r="87" spans="1:52" ht="45" customHeight="1">
      <c r="A87" s="153">
        <f t="shared" si="8"/>
        <v>84</v>
      </c>
      <c r="B87" s="153"/>
      <c r="C87" s="140"/>
      <c r="D87" s="28"/>
      <c r="E87" s="69"/>
      <c r="F87" s="39">
        <v>0</v>
      </c>
      <c r="G87" s="21"/>
      <c r="H87" s="21"/>
      <c r="I87" s="21"/>
      <c r="J87" s="141"/>
      <c r="K87" s="21"/>
      <c r="L87" s="69"/>
      <c r="M87" s="141"/>
      <c r="N87" s="59"/>
      <c r="O87" s="59"/>
      <c r="P87" s="105"/>
      <c r="Q87" s="105"/>
      <c r="R87" s="105"/>
      <c r="S87" s="105"/>
      <c r="T87" s="105"/>
      <c r="U87" s="90"/>
      <c r="V87" s="90"/>
      <c r="W87" s="90"/>
      <c r="X87" s="93"/>
      <c r="Y87" s="93"/>
      <c r="Z87" s="93"/>
      <c r="AA87" s="29">
        <v>0</v>
      </c>
      <c r="AB87" s="145">
        <v>0</v>
      </c>
      <c r="AC87" s="145">
        <v>0</v>
      </c>
      <c r="AD87" s="145">
        <v>0</v>
      </c>
      <c r="AE87" s="145">
        <v>0</v>
      </c>
      <c r="AF87" s="145">
        <v>0</v>
      </c>
      <c r="AG87" s="145">
        <v>0</v>
      </c>
      <c r="AH87" s="142">
        <f t="shared" si="9"/>
        <v>0</v>
      </c>
      <c r="AI87" s="141"/>
      <c r="AJ87" s="67"/>
      <c r="AK87" s="67"/>
      <c r="AL87" s="24"/>
      <c r="AM87" s="24"/>
      <c r="AN87" s="24"/>
      <c r="AO87" s="71"/>
      <c r="AP87" s="69"/>
      <c r="AQ87" s="141"/>
      <c r="AR87" s="141"/>
      <c r="AS87" s="141"/>
      <c r="AT87" s="141"/>
      <c r="AU87" s="141"/>
      <c r="AV87" s="141"/>
      <c r="AW87" s="141"/>
      <c r="AX87" s="141"/>
      <c r="AY87" s="141"/>
      <c r="AZ87" s="141"/>
    </row>
    <row r="88" spans="1:52" ht="45" customHeight="1">
      <c r="A88" s="153">
        <f t="shared" si="8"/>
        <v>85</v>
      </c>
      <c r="B88" s="153"/>
      <c r="C88" s="140"/>
      <c r="D88" s="28"/>
      <c r="E88" s="69"/>
      <c r="F88" s="39">
        <v>0</v>
      </c>
      <c r="G88" s="21"/>
      <c r="H88" s="21"/>
      <c r="I88" s="21"/>
      <c r="J88" s="141"/>
      <c r="K88" s="21"/>
      <c r="L88" s="69"/>
      <c r="M88" s="141"/>
      <c r="N88" s="59"/>
      <c r="O88" s="59"/>
      <c r="P88" s="105"/>
      <c r="Q88" s="105"/>
      <c r="R88" s="105"/>
      <c r="S88" s="105"/>
      <c r="T88" s="105"/>
      <c r="U88" s="90"/>
      <c r="V88" s="90"/>
      <c r="W88" s="90"/>
      <c r="X88" s="93"/>
      <c r="Y88" s="93"/>
      <c r="Z88" s="93"/>
      <c r="AA88" s="29">
        <v>0</v>
      </c>
      <c r="AB88" s="145">
        <v>0</v>
      </c>
      <c r="AC88" s="145">
        <v>0</v>
      </c>
      <c r="AD88" s="145">
        <v>0</v>
      </c>
      <c r="AE88" s="145">
        <v>0</v>
      </c>
      <c r="AF88" s="145">
        <v>0</v>
      </c>
      <c r="AG88" s="145">
        <v>0</v>
      </c>
      <c r="AH88" s="142">
        <f t="shared" si="9"/>
        <v>0</v>
      </c>
      <c r="AI88" s="141"/>
      <c r="AJ88" s="67"/>
      <c r="AK88" s="67"/>
      <c r="AL88" s="24"/>
      <c r="AM88" s="24"/>
      <c r="AN88" s="24"/>
      <c r="AO88" s="71"/>
      <c r="AP88" s="69"/>
      <c r="AQ88" s="141"/>
      <c r="AR88" s="141"/>
      <c r="AS88" s="141"/>
      <c r="AT88" s="141"/>
      <c r="AU88" s="141"/>
      <c r="AV88" s="141"/>
      <c r="AW88" s="141"/>
      <c r="AX88" s="141"/>
      <c r="AY88" s="141"/>
      <c r="AZ88" s="141"/>
    </row>
    <row r="89" spans="1:52" ht="45" customHeight="1">
      <c r="A89" s="153">
        <f t="shared" si="8"/>
        <v>86</v>
      </c>
      <c r="B89" s="153"/>
      <c r="C89" s="140"/>
      <c r="D89" s="28"/>
      <c r="E89" s="69"/>
      <c r="F89" s="39">
        <v>0</v>
      </c>
      <c r="G89" s="21"/>
      <c r="H89" s="21"/>
      <c r="I89" s="21"/>
      <c r="J89" s="141"/>
      <c r="K89" s="21"/>
      <c r="L89" s="69"/>
      <c r="M89" s="141"/>
      <c r="N89" s="59"/>
      <c r="O89" s="59"/>
      <c r="P89" s="105"/>
      <c r="Q89" s="105"/>
      <c r="R89" s="105"/>
      <c r="S89" s="105"/>
      <c r="T89" s="105"/>
      <c r="U89" s="90"/>
      <c r="V89" s="90"/>
      <c r="W89" s="90"/>
      <c r="X89" s="93"/>
      <c r="Y89" s="93"/>
      <c r="Z89" s="93"/>
      <c r="AA89" s="29">
        <v>0</v>
      </c>
      <c r="AB89" s="145">
        <v>0</v>
      </c>
      <c r="AC89" s="145">
        <v>0</v>
      </c>
      <c r="AD89" s="145">
        <v>0</v>
      </c>
      <c r="AE89" s="145">
        <v>0</v>
      </c>
      <c r="AF89" s="145">
        <v>0</v>
      </c>
      <c r="AG89" s="145">
        <v>0</v>
      </c>
      <c r="AH89" s="142">
        <f t="shared" si="9"/>
        <v>0</v>
      </c>
      <c r="AI89" s="141"/>
      <c r="AJ89" s="67"/>
      <c r="AK89" s="67"/>
      <c r="AL89" s="24"/>
      <c r="AM89" s="24"/>
      <c r="AN89" s="24"/>
      <c r="AO89" s="71"/>
      <c r="AP89" s="69"/>
      <c r="AQ89" s="141"/>
      <c r="AR89" s="141"/>
      <c r="AS89" s="141"/>
      <c r="AT89" s="141"/>
      <c r="AU89" s="141"/>
      <c r="AV89" s="141"/>
      <c r="AW89" s="141"/>
      <c r="AX89" s="141"/>
      <c r="AY89" s="141"/>
      <c r="AZ89" s="141"/>
    </row>
    <row r="90" spans="1:52" ht="45" customHeight="1">
      <c r="A90" s="153">
        <f t="shared" si="8"/>
        <v>87</v>
      </c>
      <c r="B90" s="153"/>
      <c r="C90" s="140"/>
      <c r="D90" s="28"/>
      <c r="E90" s="69"/>
      <c r="F90" s="39">
        <v>0</v>
      </c>
      <c r="G90" s="21"/>
      <c r="H90" s="21"/>
      <c r="I90" s="21"/>
      <c r="J90" s="141"/>
      <c r="K90" s="21"/>
      <c r="L90" s="69"/>
      <c r="M90" s="141"/>
      <c r="N90" s="59"/>
      <c r="O90" s="59"/>
      <c r="P90" s="105"/>
      <c r="Q90" s="105"/>
      <c r="R90" s="105"/>
      <c r="S90" s="105"/>
      <c r="T90" s="105"/>
      <c r="U90" s="90"/>
      <c r="V90" s="90"/>
      <c r="W90" s="90"/>
      <c r="X90" s="93"/>
      <c r="Y90" s="93"/>
      <c r="Z90" s="93"/>
      <c r="AA90" s="29">
        <v>0</v>
      </c>
      <c r="AB90" s="145">
        <v>0</v>
      </c>
      <c r="AC90" s="145">
        <v>0</v>
      </c>
      <c r="AD90" s="145">
        <v>0</v>
      </c>
      <c r="AE90" s="145">
        <v>0</v>
      </c>
      <c r="AF90" s="145">
        <v>0</v>
      </c>
      <c r="AG90" s="145">
        <v>0</v>
      </c>
      <c r="AH90" s="142">
        <f t="shared" si="9"/>
        <v>0</v>
      </c>
      <c r="AI90" s="141"/>
      <c r="AJ90" s="67"/>
      <c r="AK90" s="67"/>
      <c r="AL90" s="24"/>
      <c r="AM90" s="24"/>
      <c r="AN90" s="24"/>
      <c r="AO90" s="71"/>
      <c r="AP90" s="69"/>
      <c r="AQ90" s="141"/>
      <c r="AR90" s="141"/>
      <c r="AS90" s="141"/>
      <c r="AT90" s="141"/>
      <c r="AU90" s="141"/>
      <c r="AV90" s="141"/>
      <c r="AW90" s="141"/>
      <c r="AX90" s="141"/>
      <c r="AY90" s="141"/>
      <c r="AZ90" s="141"/>
    </row>
    <row r="91" spans="1:52" ht="45" customHeight="1">
      <c r="A91" s="153">
        <f t="shared" si="8"/>
        <v>88</v>
      </c>
      <c r="B91" s="153"/>
      <c r="C91" s="140"/>
      <c r="D91" s="28"/>
      <c r="E91" s="69"/>
      <c r="F91" s="39">
        <v>0</v>
      </c>
      <c r="G91" s="21"/>
      <c r="H91" s="21"/>
      <c r="I91" s="21"/>
      <c r="J91" s="141"/>
      <c r="K91" s="21"/>
      <c r="L91" s="69"/>
      <c r="M91" s="141"/>
      <c r="N91" s="59"/>
      <c r="O91" s="59"/>
      <c r="P91" s="105"/>
      <c r="Q91" s="105"/>
      <c r="R91" s="105"/>
      <c r="S91" s="105"/>
      <c r="T91" s="105"/>
      <c r="U91" s="90"/>
      <c r="V91" s="90"/>
      <c r="W91" s="90"/>
      <c r="X91" s="93"/>
      <c r="Y91" s="93"/>
      <c r="Z91" s="93"/>
      <c r="AA91" s="29">
        <v>0</v>
      </c>
      <c r="AB91" s="145">
        <v>0</v>
      </c>
      <c r="AC91" s="145">
        <v>0</v>
      </c>
      <c r="AD91" s="145">
        <v>0</v>
      </c>
      <c r="AE91" s="145">
        <v>0</v>
      </c>
      <c r="AF91" s="145">
        <v>0</v>
      </c>
      <c r="AG91" s="145">
        <v>0</v>
      </c>
      <c r="AH91" s="142">
        <f t="shared" si="9"/>
        <v>0</v>
      </c>
      <c r="AI91" s="141"/>
      <c r="AJ91" s="67"/>
      <c r="AK91" s="67"/>
      <c r="AL91" s="24"/>
      <c r="AM91" s="24"/>
      <c r="AN91" s="24"/>
      <c r="AO91" s="71"/>
      <c r="AP91" s="69"/>
      <c r="AQ91" s="141"/>
      <c r="AR91" s="141"/>
      <c r="AS91" s="141"/>
      <c r="AT91" s="141"/>
      <c r="AU91" s="141"/>
      <c r="AV91" s="141"/>
      <c r="AW91" s="141"/>
      <c r="AX91" s="141"/>
      <c r="AY91" s="141"/>
      <c r="AZ91" s="141"/>
    </row>
    <row r="92" spans="1:52" ht="45" customHeight="1">
      <c r="A92" s="153">
        <f t="shared" si="8"/>
        <v>89</v>
      </c>
      <c r="B92" s="153"/>
      <c r="C92" s="140"/>
      <c r="D92" s="28"/>
      <c r="E92" s="69"/>
      <c r="F92" s="39">
        <v>0</v>
      </c>
      <c r="G92" s="21"/>
      <c r="H92" s="21"/>
      <c r="I92" s="21"/>
      <c r="J92" s="141"/>
      <c r="K92" s="21"/>
      <c r="L92" s="69"/>
      <c r="M92" s="141"/>
      <c r="N92" s="59"/>
      <c r="O92" s="59"/>
      <c r="P92" s="105"/>
      <c r="Q92" s="105"/>
      <c r="R92" s="105"/>
      <c r="S92" s="105"/>
      <c r="T92" s="105"/>
      <c r="U92" s="90"/>
      <c r="V92" s="90"/>
      <c r="W92" s="90"/>
      <c r="X92" s="93"/>
      <c r="Y92" s="93"/>
      <c r="Z92" s="93"/>
      <c r="AA92" s="29">
        <v>0</v>
      </c>
      <c r="AB92" s="145">
        <v>0</v>
      </c>
      <c r="AC92" s="145">
        <v>0</v>
      </c>
      <c r="AD92" s="145">
        <v>0</v>
      </c>
      <c r="AE92" s="145">
        <v>0</v>
      </c>
      <c r="AF92" s="145">
        <v>0</v>
      </c>
      <c r="AG92" s="145">
        <v>0</v>
      </c>
      <c r="AH92" s="142">
        <f t="shared" si="9"/>
        <v>0</v>
      </c>
      <c r="AI92" s="141"/>
      <c r="AJ92" s="67"/>
      <c r="AK92" s="67"/>
      <c r="AL92" s="24"/>
      <c r="AM92" s="24"/>
      <c r="AN92" s="24"/>
      <c r="AO92" s="71"/>
      <c r="AP92" s="69"/>
      <c r="AQ92" s="141"/>
      <c r="AR92" s="141"/>
      <c r="AS92" s="141"/>
      <c r="AT92" s="141"/>
      <c r="AU92" s="141"/>
      <c r="AV92" s="141"/>
      <c r="AW92" s="141"/>
      <c r="AX92" s="141"/>
      <c r="AY92" s="141"/>
      <c r="AZ92" s="141"/>
    </row>
    <row r="93" spans="1:52" ht="45" customHeight="1">
      <c r="A93" s="153">
        <f t="shared" si="8"/>
        <v>90</v>
      </c>
      <c r="B93" s="153"/>
      <c r="C93" s="140"/>
      <c r="D93" s="28"/>
      <c r="E93" s="69"/>
      <c r="F93" s="39">
        <v>0</v>
      </c>
      <c r="G93" s="21"/>
      <c r="H93" s="21"/>
      <c r="I93" s="21"/>
      <c r="J93" s="141"/>
      <c r="K93" s="21"/>
      <c r="L93" s="69"/>
      <c r="M93" s="141"/>
      <c r="N93" s="59"/>
      <c r="O93" s="59"/>
      <c r="P93" s="105"/>
      <c r="Q93" s="105"/>
      <c r="R93" s="105"/>
      <c r="S93" s="105"/>
      <c r="T93" s="105"/>
      <c r="U93" s="90"/>
      <c r="V93" s="90"/>
      <c r="W93" s="90"/>
      <c r="X93" s="93"/>
      <c r="Y93" s="93"/>
      <c r="Z93" s="93"/>
      <c r="AA93" s="29">
        <v>0</v>
      </c>
      <c r="AB93" s="145">
        <v>0</v>
      </c>
      <c r="AC93" s="145">
        <v>0</v>
      </c>
      <c r="AD93" s="145">
        <v>0</v>
      </c>
      <c r="AE93" s="145">
        <v>0</v>
      </c>
      <c r="AF93" s="145">
        <v>0</v>
      </c>
      <c r="AG93" s="145">
        <v>0</v>
      </c>
      <c r="AH93" s="142">
        <f t="shared" si="9"/>
        <v>0</v>
      </c>
      <c r="AI93" s="141"/>
      <c r="AJ93" s="67"/>
      <c r="AK93" s="67"/>
      <c r="AL93" s="24"/>
      <c r="AM93" s="24"/>
      <c r="AN93" s="24"/>
      <c r="AO93" s="71"/>
      <c r="AP93" s="69"/>
      <c r="AQ93" s="141"/>
      <c r="AR93" s="141"/>
      <c r="AS93" s="141"/>
      <c r="AT93" s="141"/>
      <c r="AU93" s="141"/>
      <c r="AV93" s="141"/>
      <c r="AW93" s="141"/>
      <c r="AX93" s="141"/>
      <c r="AY93" s="141"/>
      <c r="AZ93" s="141"/>
    </row>
    <row r="94" spans="1:52" ht="45" customHeight="1">
      <c r="A94" s="153">
        <f t="shared" si="8"/>
        <v>91</v>
      </c>
      <c r="B94" s="153"/>
      <c r="C94" s="140"/>
      <c r="D94" s="28"/>
      <c r="E94" s="69"/>
      <c r="F94" s="39">
        <v>0</v>
      </c>
      <c r="G94" s="21"/>
      <c r="H94" s="21"/>
      <c r="I94" s="21"/>
      <c r="J94" s="141"/>
      <c r="K94" s="21"/>
      <c r="L94" s="69"/>
      <c r="M94" s="141"/>
      <c r="N94" s="59"/>
      <c r="O94" s="59"/>
      <c r="P94" s="105"/>
      <c r="Q94" s="105"/>
      <c r="R94" s="105"/>
      <c r="S94" s="105"/>
      <c r="T94" s="105"/>
      <c r="U94" s="90"/>
      <c r="V94" s="90"/>
      <c r="W94" s="90"/>
      <c r="X94" s="93"/>
      <c r="Y94" s="93"/>
      <c r="Z94" s="93"/>
      <c r="AA94" s="29">
        <v>0</v>
      </c>
      <c r="AB94" s="145">
        <v>0</v>
      </c>
      <c r="AC94" s="145">
        <v>0</v>
      </c>
      <c r="AD94" s="145">
        <v>0</v>
      </c>
      <c r="AE94" s="145">
        <v>0</v>
      </c>
      <c r="AF94" s="145">
        <v>0</v>
      </c>
      <c r="AG94" s="145">
        <v>0</v>
      </c>
      <c r="AH94" s="142">
        <f t="shared" si="9"/>
        <v>0</v>
      </c>
      <c r="AI94" s="141"/>
      <c r="AJ94" s="67"/>
      <c r="AK94" s="67"/>
      <c r="AL94" s="24"/>
      <c r="AM94" s="24"/>
      <c r="AN94" s="24"/>
      <c r="AO94" s="71"/>
      <c r="AP94" s="69"/>
      <c r="AQ94" s="141"/>
      <c r="AR94" s="141"/>
      <c r="AS94" s="141"/>
      <c r="AT94" s="141"/>
      <c r="AU94" s="141"/>
      <c r="AV94" s="141"/>
      <c r="AW94" s="141"/>
      <c r="AX94" s="141"/>
      <c r="AY94" s="141"/>
      <c r="AZ94" s="141"/>
    </row>
    <row r="95" spans="1:52" ht="45" customHeight="1">
      <c r="A95" s="153">
        <f t="shared" si="8"/>
        <v>92</v>
      </c>
      <c r="B95" s="153"/>
      <c r="C95" s="140"/>
      <c r="D95" s="28"/>
      <c r="E95" s="69"/>
      <c r="F95" s="39">
        <v>0</v>
      </c>
      <c r="G95" s="21"/>
      <c r="H95" s="21"/>
      <c r="I95" s="21"/>
      <c r="J95" s="141"/>
      <c r="K95" s="21"/>
      <c r="L95" s="69"/>
      <c r="M95" s="141"/>
      <c r="N95" s="59"/>
      <c r="O95" s="59"/>
      <c r="P95" s="105"/>
      <c r="Q95" s="105"/>
      <c r="R95" s="105"/>
      <c r="S95" s="105"/>
      <c r="T95" s="105"/>
      <c r="U95" s="90"/>
      <c r="V95" s="90"/>
      <c r="W95" s="90"/>
      <c r="X95" s="93"/>
      <c r="Y95" s="93"/>
      <c r="Z95" s="93"/>
      <c r="AA95" s="29">
        <v>0</v>
      </c>
      <c r="AB95" s="145">
        <v>0</v>
      </c>
      <c r="AC95" s="145">
        <v>0</v>
      </c>
      <c r="AD95" s="145">
        <v>0</v>
      </c>
      <c r="AE95" s="145">
        <v>0</v>
      </c>
      <c r="AF95" s="145">
        <v>0</v>
      </c>
      <c r="AG95" s="145">
        <v>0</v>
      </c>
      <c r="AH95" s="142">
        <f t="shared" si="9"/>
        <v>0</v>
      </c>
      <c r="AI95" s="141"/>
      <c r="AJ95" s="67"/>
      <c r="AK95" s="67"/>
      <c r="AL95" s="24"/>
      <c r="AM95" s="24"/>
      <c r="AN95" s="24"/>
      <c r="AO95" s="71"/>
      <c r="AP95" s="69"/>
      <c r="AQ95" s="141"/>
      <c r="AR95" s="141"/>
      <c r="AS95" s="141"/>
      <c r="AT95" s="141"/>
      <c r="AU95" s="141"/>
      <c r="AV95" s="141"/>
      <c r="AW95" s="141"/>
      <c r="AX95" s="141"/>
      <c r="AY95" s="141"/>
      <c r="AZ95" s="141"/>
    </row>
    <row r="96" spans="1:52" ht="45" customHeight="1">
      <c r="A96" s="153">
        <f t="shared" si="8"/>
        <v>93</v>
      </c>
      <c r="B96" s="153"/>
      <c r="C96" s="140"/>
      <c r="D96" s="28"/>
      <c r="E96" s="69"/>
      <c r="F96" s="39">
        <v>0</v>
      </c>
      <c r="G96" s="21"/>
      <c r="H96" s="21"/>
      <c r="I96" s="21"/>
      <c r="J96" s="141"/>
      <c r="K96" s="21"/>
      <c r="L96" s="69"/>
      <c r="M96" s="141"/>
      <c r="N96" s="59"/>
      <c r="O96" s="59"/>
      <c r="P96" s="105"/>
      <c r="Q96" s="105"/>
      <c r="R96" s="105"/>
      <c r="S96" s="105"/>
      <c r="T96" s="105"/>
      <c r="U96" s="90"/>
      <c r="V96" s="90"/>
      <c r="W96" s="90"/>
      <c r="X96" s="93"/>
      <c r="Y96" s="93"/>
      <c r="Z96" s="93"/>
      <c r="AA96" s="29">
        <v>0</v>
      </c>
      <c r="AB96" s="145">
        <v>0</v>
      </c>
      <c r="AC96" s="145">
        <v>0</v>
      </c>
      <c r="AD96" s="145">
        <v>0</v>
      </c>
      <c r="AE96" s="145">
        <v>0</v>
      </c>
      <c r="AF96" s="145">
        <v>0</v>
      </c>
      <c r="AG96" s="145">
        <v>0</v>
      </c>
      <c r="AH96" s="142">
        <f t="shared" si="9"/>
        <v>0</v>
      </c>
      <c r="AI96" s="141"/>
      <c r="AJ96" s="67"/>
      <c r="AK96" s="67"/>
      <c r="AL96" s="24"/>
      <c r="AM96" s="24"/>
      <c r="AN96" s="24"/>
      <c r="AO96" s="71"/>
      <c r="AP96" s="69"/>
      <c r="AQ96" s="141"/>
      <c r="AR96" s="141"/>
      <c r="AS96" s="141"/>
      <c r="AT96" s="141"/>
      <c r="AU96" s="141"/>
      <c r="AV96" s="141"/>
      <c r="AW96" s="141"/>
      <c r="AX96" s="141"/>
      <c r="AY96" s="141"/>
      <c r="AZ96" s="141"/>
    </row>
    <row r="97" spans="1:52" ht="45" customHeight="1">
      <c r="A97" s="153">
        <f t="shared" si="8"/>
        <v>94</v>
      </c>
      <c r="B97" s="153"/>
      <c r="C97" s="140"/>
      <c r="D97" s="28"/>
      <c r="E97" s="69"/>
      <c r="F97" s="39">
        <v>0</v>
      </c>
      <c r="G97" s="21"/>
      <c r="H97" s="21"/>
      <c r="I97" s="21"/>
      <c r="J97" s="141"/>
      <c r="K97" s="21"/>
      <c r="L97" s="69"/>
      <c r="M97" s="141"/>
      <c r="N97" s="59"/>
      <c r="O97" s="59"/>
      <c r="P97" s="105"/>
      <c r="Q97" s="105"/>
      <c r="R97" s="105"/>
      <c r="S97" s="105"/>
      <c r="T97" s="105"/>
      <c r="U97" s="90"/>
      <c r="V97" s="90"/>
      <c r="W97" s="90"/>
      <c r="X97" s="93"/>
      <c r="Y97" s="93"/>
      <c r="Z97" s="93"/>
      <c r="AA97" s="29">
        <v>0</v>
      </c>
      <c r="AB97" s="145">
        <v>0</v>
      </c>
      <c r="AC97" s="145">
        <v>0</v>
      </c>
      <c r="AD97" s="145">
        <v>0</v>
      </c>
      <c r="AE97" s="145">
        <v>0</v>
      </c>
      <c r="AF97" s="145">
        <v>0</v>
      </c>
      <c r="AG97" s="145">
        <v>0</v>
      </c>
      <c r="AH97" s="142">
        <f t="shared" si="9"/>
        <v>0</v>
      </c>
      <c r="AI97" s="141"/>
      <c r="AJ97" s="67"/>
      <c r="AK97" s="67"/>
      <c r="AL97" s="24"/>
      <c r="AM97" s="24"/>
      <c r="AN97" s="24"/>
      <c r="AO97" s="71"/>
      <c r="AP97" s="69"/>
      <c r="AQ97" s="141"/>
      <c r="AR97" s="141"/>
      <c r="AS97" s="141"/>
      <c r="AT97" s="141"/>
      <c r="AU97" s="141"/>
      <c r="AV97" s="141"/>
      <c r="AW97" s="141"/>
      <c r="AX97" s="141"/>
      <c r="AY97" s="141"/>
      <c r="AZ97" s="141"/>
    </row>
    <row r="98" spans="1:52" ht="45" customHeight="1">
      <c r="A98" s="153">
        <f t="shared" si="8"/>
        <v>95</v>
      </c>
      <c r="B98" s="153"/>
      <c r="C98" s="140"/>
      <c r="D98" s="28"/>
      <c r="E98" s="69"/>
      <c r="F98" s="39">
        <v>0</v>
      </c>
      <c r="G98" s="21"/>
      <c r="H98" s="21"/>
      <c r="I98" s="21"/>
      <c r="J98" s="141"/>
      <c r="K98" s="21"/>
      <c r="L98" s="69"/>
      <c r="M98" s="141"/>
      <c r="N98" s="59"/>
      <c r="O98" s="59"/>
      <c r="P98" s="105"/>
      <c r="Q98" s="105"/>
      <c r="R98" s="105"/>
      <c r="S98" s="105"/>
      <c r="T98" s="105"/>
      <c r="U98" s="90"/>
      <c r="V98" s="90"/>
      <c r="W98" s="90"/>
      <c r="X98" s="93"/>
      <c r="Y98" s="93"/>
      <c r="Z98" s="93"/>
      <c r="AA98" s="29">
        <v>0</v>
      </c>
      <c r="AB98" s="145">
        <v>0</v>
      </c>
      <c r="AC98" s="145">
        <v>0</v>
      </c>
      <c r="AD98" s="145">
        <v>0</v>
      </c>
      <c r="AE98" s="145">
        <v>0</v>
      </c>
      <c r="AF98" s="145">
        <v>0</v>
      </c>
      <c r="AG98" s="145">
        <v>0</v>
      </c>
      <c r="AH98" s="142">
        <f t="shared" si="9"/>
        <v>0</v>
      </c>
      <c r="AI98" s="141"/>
      <c r="AJ98" s="67"/>
      <c r="AK98" s="67"/>
      <c r="AL98" s="24"/>
      <c r="AM98" s="24"/>
      <c r="AN98" s="24"/>
      <c r="AO98" s="71"/>
      <c r="AP98" s="69"/>
      <c r="AQ98" s="141"/>
      <c r="AR98" s="141"/>
      <c r="AS98" s="141"/>
      <c r="AT98" s="141"/>
      <c r="AU98" s="141"/>
      <c r="AV98" s="141"/>
      <c r="AW98" s="141"/>
      <c r="AX98" s="141"/>
      <c r="AY98" s="141"/>
      <c r="AZ98" s="141"/>
    </row>
    <row r="99" spans="1:52" ht="45" customHeight="1">
      <c r="A99" s="153">
        <f t="shared" si="8"/>
        <v>96</v>
      </c>
      <c r="B99" s="153"/>
      <c r="C99" s="140"/>
      <c r="D99" s="28"/>
      <c r="E99" s="69"/>
      <c r="F99" s="39">
        <v>0</v>
      </c>
      <c r="G99" s="21"/>
      <c r="H99" s="21"/>
      <c r="I99" s="21"/>
      <c r="J99" s="141"/>
      <c r="K99" s="21"/>
      <c r="L99" s="69"/>
      <c r="M99" s="141"/>
      <c r="N99" s="59"/>
      <c r="O99" s="59"/>
      <c r="P99" s="105"/>
      <c r="Q99" s="105"/>
      <c r="R99" s="105"/>
      <c r="S99" s="105"/>
      <c r="T99" s="105"/>
      <c r="U99" s="90"/>
      <c r="V99" s="90"/>
      <c r="W99" s="90"/>
      <c r="X99" s="93"/>
      <c r="Y99" s="93"/>
      <c r="Z99" s="93"/>
      <c r="AA99" s="29">
        <v>0</v>
      </c>
      <c r="AB99" s="145">
        <v>0</v>
      </c>
      <c r="AC99" s="145">
        <v>0</v>
      </c>
      <c r="AD99" s="145">
        <v>0</v>
      </c>
      <c r="AE99" s="145">
        <v>0</v>
      </c>
      <c r="AF99" s="145">
        <v>0</v>
      </c>
      <c r="AG99" s="145">
        <v>0</v>
      </c>
      <c r="AH99" s="142">
        <f t="shared" si="9"/>
        <v>0</v>
      </c>
      <c r="AI99" s="141"/>
      <c r="AJ99" s="67"/>
      <c r="AK99" s="67"/>
      <c r="AL99" s="24"/>
      <c r="AM99" s="24"/>
      <c r="AN99" s="24"/>
      <c r="AO99" s="71"/>
      <c r="AP99" s="69"/>
      <c r="AQ99" s="141"/>
      <c r="AR99" s="141"/>
      <c r="AS99" s="141"/>
      <c r="AT99" s="141"/>
      <c r="AU99" s="141"/>
      <c r="AV99" s="141"/>
      <c r="AW99" s="141"/>
      <c r="AX99" s="141"/>
      <c r="AY99" s="141"/>
      <c r="AZ99" s="141"/>
    </row>
    <row r="100" spans="1:52" ht="45" customHeight="1">
      <c r="A100" s="153">
        <f t="shared" ref="A100:A131" si="10">A99+1</f>
        <v>97</v>
      </c>
      <c r="B100" s="153"/>
      <c r="C100" s="140"/>
      <c r="D100" s="28"/>
      <c r="E100" s="69"/>
      <c r="F100" s="39">
        <v>0</v>
      </c>
      <c r="G100" s="21"/>
      <c r="H100" s="21"/>
      <c r="I100" s="21"/>
      <c r="J100" s="141"/>
      <c r="K100" s="21"/>
      <c r="L100" s="69"/>
      <c r="M100" s="141"/>
      <c r="N100" s="59"/>
      <c r="O100" s="59"/>
      <c r="P100" s="105"/>
      <c r="Q100" s="105"/>
      <c r="R100" s="105"/>
      <c r="S100" s="105"/>
      <c r="T100" s="105"/>
      <c r="U100" s="90"/>
      <c r="V100" s="90"/>
      <c r="W100" s="90"/>
      <c r="X100" s="93"/>
      <c r="Y100" s="93"/>
      <c r="Z100" s="93"/>
      <c r="AA100" s="29">
        <v>0</v>
      </c>
      <c r="AB100" s="145">
        <v>0</v>
      </c>
      <c r="AC100" s="145">
        <v>0</v>
      </c>
      <c r="AD100" s="145">
        <v>0</v>
      </c>
      <c r="AE100" s="145">
        <v>0</v>
      </c>
      <c r="AF100" s="145">
        <v>0</v>
      </c>
      <c r="AG100" s="145">
        <v>0</v>
      </c>
      <c r="AH100" s="142">
        <f t="shared" si="9"/>
        <v>0</v>
      </c>
      <c r="AI100" s="141"/>
      <c r="AJ100" s="67"/>
      <c r="AK100" s="67"/>
      <c r="AL100" s="24"/>
      <c r="AM100" s="24"/>
      <c r="AN100" s="24"/>
      <c r="AO100" s="71"/>
      <c r="AP100" s="69"/>
      <c r="AQ100" s="141"/>
      <c r="AR100" s="141"/>
      <c r="AS100" s="141"/>
      <c r="AT100" s="141"/>
      <c r="AU100" s="141"/>
      <c r="AV100" s="141"/>
      <c r="AW100" s="141"/>
      <c r="AX100" s="141"/>
      <c r="AY100" s="141"/>
      <c r="AZ100" s="141"/>
    </row>
    <row r="101" spans="1:52" ht="45" customHeight="1">
      <c r="A101" s="153">
        <f t="shared" si="10"/>
        <v>98</v>
      </c>
      <c r="B101" s="153"/>
      <c r="C101" s="140"/>
      <c r="D101" s="28"/>
      <c r="E101" s="69"/>
      <c r="F101" s="39">
        <v>0</v>
      </c>
      <c r="G101" s="21"/>
      <c r="H101" s="21"/>
      <c r="I101" s="21"/>
      <c r="J101" s="141"/>
      <c r="K101" s="21"/>
      <c r="L101" s="69"/>
      <c r="M101" s="141"/>
      <c r="N101" s="59"/>
      <c r="O101" s="59"/>
      <c r="P101" s="105"/>
      <c r="Q101" s="105"/>
      <c r="R101" s="105"/>
      <c r="S101" s="105"/>
      <c r="T101" s="105"/>
      <c r="U101" s="90"/>
      <c r="V101" s="90"/>
      <c r="W101" s="90"/>
      <c r="X101" s="93"/>
      <c r="Y101" s="93"/>
      <c r="Z101" s="93"/>
      <c r="AA101" s="29">
        <v>0</v>
      </c>
      <c r="AB101" s="145">
        <v>0</v>
      </c>
      <c r="AC101" s="145">
        <v>0</v>
      </c>
      <c r="AD101" s="145">
        <v>0</v>
      </c>
      <c r="AE101" s="145">
        <v>0</v>
      </c>
      <c r="AF101" s="145">
        <v>0</v>
      </c>
      <c r="AG101" s="145">
        <v>0</v>
      </c>
      <c r="AH101" s="142">
        <f t="shared" si="9"/>
        <v>0</v>
      </c>
      <c r="AI101" s="141"/>
      <c r="AJ101" s="67"/>
      <c r="AK101" s="67"/>
      <c r="AL101" s="24"/>
      <c r="AM101" s="24"/>
      <c r="AN101" s="24"/>
      <c r="AO101" s="71"/>
      <c r="AP101" s="69"/>
      <c r="AQ101" s="141"/>
      <c r="AR101" s="141"/>
      <c r="AS101" s="141"/>
      <c r="AT101" s="141"/>
      <c r="AU101" s="141"/>
      <c r="AV101" s="141"/>
      <c r="AW101" s="141"/>
      <c r="AX101" s="141"/>
      <c r="AY101" s="141"/>
      <c r="AZ101" s="141"/>
    </row>
    <row r="102" spans="1:52" ht="45" customHeight="1">
      <c r="A102" s="153">
        <f t="shared" si="10"/>
        <v>99</v>
      </c>
      <c r="B102" s="153"/>
      <c r="C102" s="140"/>
      <c r="D102" s="28"/>
      <c r="E102" s="69"/>
      <c r="F102" s="39">
        <v>0</v>
      </c>
      <c r="G102" s="21"/>
      <c r="H102" s="21"/>
      <c r="I102" s="21"/>
      <c r="J102" s="141"/>
      <c r="K102" s="21"/>
      <c r="L102" s="69"/>
      <c r="M102" s="141"/>
      <c r="N102" s="59"/>
      <c r="O102" s="59"/>
      <c r="P102" s="105"/>
      <c r="Q102" s="105"/>
      <c r="R102" s="105"/>
      <c r="S102" s="105"/>
      <c r="T102" s="105"/>
      <c r="U102" s="90"/>
      <c r="V102" s="90"/>
      <c r="W102" s="90"/>
      <c r="X102" s="93"/>
      <c r="Y102" s="93"/>
      <c r="Z102" s="93"/>
      <c r="AA102" s="29">
        <v>0</v>
      </c>
      <c r="AB102" s="145">
        <v>0</v>
      </c>
      <c r="AC102" s="145">
        <v>0</v>
      </c>
      <c r="AD102" s="145">
        <v>0</v>
      </c>
      <c r="AE102" s="145">
        <v>0</v>
      </c>
      <c r="AF102" s="145">
        <v>0</v>
      </c>
      <c r="AG102" s="145">
        <v>0</v>
      </c>
      <c r="AH102" s="142">
        <f t="shared" si="9"/>
        <v>0</v>
      </c>
      <c r="AI102" s="141"/>
      <c r="AJ102" s="67"/>
      <c r="AK102" s="67"/>
      <c r="AL102" s="24"/>
      <c r="AM102" s="24"/>
      <c r="AN102" s="24"/>
      <c r="AO102" s="71"/>
      <c r="AP102" s="69"/>
      <c r="AQ102" s="141"/>
      <c r="AR102" s="141"/>
      <c r="AS102" s="141"/>
      <c r="AT102" s="141"/>
      <c r="AU102" s="141"/>
      <c r="AV102" s="141"/>
      <c r="AW102" s="141"/>
      <c r="AX102" s="141"/>
      <c r="AY102" s="141"/>
      <c r="AZ102" s="141"/>
    </row>
    <row r="103" spans="1:52" ht="45" customHeight="1">
      <c r="A103" s="153">
        <f t="shared" si="10"/>
        <v>100</v>
      </c>
      <c r="B103" s="153"/>
      <c r="C103" s="140"/>
      <c r="D103" s="28"/>
      <c r="E103" s="69"/>
      <c r="F103" s="39">
        <v>0</v>
      </c>
      <c r="G103" s="21"/>
      <c r="H103" s="21"/>
      <c r="I103" s="21"/>
      <c r="J103" s="141"/>
      <c r="K103" s="21"/>
      <c r="L103" s="69"/>
      <c r="M103" s="141"/>
      <c r="N103" s="59"/>
      <c r="O103" s="59"/>
      <c r="P103" s="105"/>
      <c r="Q103" s="105"/>
      <c r="R103" s="105"/>
      <c r="S103" s="105"/>
      <c r="T103" s="105"/>
      <c r="U103" s="90"/>
      <c r="V103" s="90"/>
      <c r="W103" s="90"/>
      <c r="X103" s="93"/>
      <c r="Y103" s="93"/>
      <c r="Z103" s="93"/>
      <c r="AA103" s="29">
        <v>0</v>
      </c>
      <c r="AB103" s="145">
        <v>0</v>
      </c>
      <c r="AC103" s="145">
        <v>0</v>
      </c>
      <c r="AD103" s="145">
        <v>0</v>
      </c>
      <c r="AE103" s="145">
        <v>0</v>
      </c>
      <c r="AF103" s="145">
        <v>0</v>
      </c>
      <c r="AG103" s="145">
        <v>0</v>
      </c>
      <c r="AH103" s="142">
        <f t="shared" si="9"/>
        <v>0</v>
      </c>
      <c r="AI103" s="141"/>
      <c r="AJ103" s="67"/>
      <c r="AK103" s="67"/>
      <c r="AL103" s="24"/>
      <c r="AM103" s="24"/>
      <c r="AN103" s="24"/>
      <c r="AO103" s="71"/>
      <c r="AP103" s="69"/>
      <c r="AQ103" s="141"/>
      <c r="AR103" s="141"/>
      <c r="AS103" s="141"/>
      <c r="AT103" s="141"/>
      <c r="AU103" s="141"/>
      <c r="AV103" s="141"/>
      <c r="AW103" s="141"/>
      <c r="AX103" s="141"/>
      <c r="AY103" s="141"/>
      <c r="AZ103" s="141"/>
    </row>
    <row r="104" spans="1:52" ht="45" customHeight="1">
      <c r="A104" s="153">
        <f t="shared" si="10"/>
        <v>101</v>
      </c>
      <c r="B104" s="153"/>
      <c r="C104" s="140"/>
      <c r="D104" s="28"/>
      <c r="E104" s="69"/>
      <c r="F104" s="39">
        <v>0</v>
      </c>
      <c r="G104" s="21"/>
      <c r="H104" s="21"/>
      <c r="I104" s="21"/>
      <c r="J104" s="141"/>
      <c r="K104" s="21"/>
      <c r="L104" s="69"/>
      <c r="M104" s="141"/>
      <c r="N104" s="59"/>
      <c r="O104" s="59"/>
      <c r="P104" s="105"/>
      <c r="Q104" s="105"/>
      <c r="R104" s="105"/>
      <c r="S104" s="105"/>
      <c r="T104" s="105"/>
      <c r="U104" s="90"/>
      <c r="V104" s="90"/>
      <c r="W104" s="90"/>
      <c r="X104" s="93"/>
      <c r="Y104" s="93"/>
      <c r="Z104" s="93"/>
      <c r="AA104" s="29">
        <v>0</v>
      </c>
      <c r="AB104" s="145">
        <v>0</v>
      </c>
      <c r="AC104" s="145">
        <v>0</v>
      </c>
      <c r="AD104" s="145">
        <v>0</v>
      </c>
      <c r="AE104" s="145">
        <v>0</v>
      </c>
      <c r="AF104" s="145">
        <v>0</v>
      </c>
      <c r="AG104" s="145">
        <v>0</v>
      </c>
      <c r="AH104" s="142">
        <f t="shared" si="9"/>
        <v>0</v>
      </c>
      <c r="AI104" s="141"/>
      <c r="AJ104" s="67"/>
      <c r="AK104" s="67"/>
      <c r="AL104" s="24"/>
      <c r="AM104" s="24"/>
      <c r="AN104" s="24"/>
      <c r="AO104" s="71"/>
      <c r="AP104" s="69"/>
      <c r="AQ104" s="141"/>
      <c r="AR104" s="141"/>
      <c r="AS104" s="141"/>
      <c r="AT104" s="141"/>
      <c r="AU104" s="141"/>
      <c r="AV104" s="141"/>
      <c r="AW104" s="141"/>
      <c r="AX104" s="141"/>
      <c r="AY104" s="141"/>
      <c r="AZ104" s="141"/>
    </row>
    <row r="105" spans="1:52" ht="45" customHeight="1">
      <c r="A105" s="153">
        <f t="shared" si="10"/>
        <v>102</v>
      </c>
      <c r="B105" s="153"/>
      <c r="C105" s="140"/>
      <c r="D105" s="28"/>
      <c r="E105" s="69"/>
      <c r="F105" s="39">
        <v>0</v>
      </c>
      <c r="G105" s="21"/>
      <c r="H105" s="21"/>
      <c r="I105" s="21"/>
      <c r="J105" s="141"/>
      <c r="K105" s="21"/>
      <c r="L105" s="69"/>
      <c r="M105" s="141"/>
      <c r="N105" s="59"/>
      <c r="O105" s="59"/>
      <c r="P105" s="105"/>
      <c r="Q105" s="105"/>
      <c r="R105" s="105"/>
      <c r="S105" s="105"/>
      <c r="T105" s="105"/>
      <c r="U105" s="90"/>
      <c r="V105" s="90"/>
      <c r="W105" s="90"/>
      <c r="X105" s="93"/>
      <c r="Y105" s="93"/>
      <c r="Z105" s="93"/>
      <c r="AA105" s="29">
        <v>0</v>
      </c>
      <c r="AB105" s="145">
        <v>0</v>
      </c>
      <c r="AC105" s="145">
        <v>0</v>
      </c>
      <c r="AD105" s="145">
        <v>0</v>
      </c>
      <c r="AE105" s="145">
        <v>0</v>
      </c>
      <c r="AF105" s="145">
        <v>0</v>
      </c>
      <c r="AG105" s="145">
        <v>0</v>
      </c>
      <c r="AH105" s="142">
        <f t="shared" si="9"/>
        <v>0</v>
      </c>
      <c r="AI105" s="141"/>
      <c r="AJ105" s="67"/>
      <c r="AK105" s="67"/>
      <c r="AL105" s="24"/>
      <c r="AM105" s="24"/>
      <c r="AN105" s="24"/>
      <c r="AO105" s="71"/>
      <c r="AP105" s="69"/>
      <c r="AQ105" s="141"/>
      <c r="AR105" s="141"/>
      <c r="AS105" s="141"/>
      <c r="AT105" s="141"/>
      <c r="AU105" s="141"/>
      <c r="AV105" s="141"/>
      <c r="AW105" s="141"/>
      <c r="AX105" s="141"/>
      <c r="AY105" s="141"/>
      <c r="AZ105" s="141"/>
    </row>
    <row r="106" spans="1:52" ht="45" customHeight="1">
      <c r="A106" s="153">
        <f t="shared" si="10"/>
        <v>103</v>
      </c>
      <c r="B106" s="153"/>
      <c r="C106" s="140"/>
      <c r="D106" s="28"/>
      <c r="E106" s="69"/>
      <c r="F106" s="39">
        <v>0</v>
      </c>
      <c r="G106" s="21"/>
      <c r="H106" s="21"/>
      <c r="I106" s="21"/>
      <c r="J106" s="141"/>
      <c r="K106" s="21"/>
      <c r="L106" s="69"/>
      <c r="M106" s="141"/>
      <c r="N106" s="59"/>
      <c r="O106" s="59"/>
      <c r="P106" s="105"/>
      <c r="Q106" s="105"/>
      <c r="R106" s="105"/>
      <c r="S106" s="105"/>
      <c r="T106" s="105"/>
      <c r="U106" s="90"/>
      <c r="V106" s="90"/>
      <c r="W106" s="90"/>
      <c r="X106" s="93"/>
      <c r="Y106" s="93"/>
      <c r="Z106" s="93"/>
      <c r="AA106" s="29">
        <v>0</v>
      </c>
      <c r="AB106" s="145">
        <v>0</v>
      </c>
      <c r="AC106" s="145">
        <v>0</v>
      </c>
      <c r="AD106" s="145">
        <v>0</v>
      </c>
      <c r="AE106" s="145">
        <v>0</v>
      </c>
      <c r="AF106" s="145">
        <v>0</v>
      </c>
      <c r="AG106" s="145">
        <v>0</v>
      </c>
      <c r="AH106" s="142">
        <f t="shared" si="9"/>
        <v>0</v>
      </c>
      <c r="AI106" s="141"/>
      <c r="AJ106" s="67"/>
      <c r="AK106" s="67"/>
      <c r="AL106" s="24"/>
      <c r="AM106" s="24"/>
      <c r="AN106" s="24"/>
      <c r="AO106" s="71"/>
      <c r="AP106" s="69"/>
      <c r="AQ106" s="141"/>
      <c r="AR106" s="141"/>
      <c r="AS106" s="141"/>
      <c r="AT106" s="141"/>
      <c r="AU106" s="141"/>
      <c r="AV106" s="141"/>
      <c r="AW106" s="141"/>
      <c r="AX106" s="141"/>
      <c r="AY106" s="141"/>
      <c r="AZ106" s="141"/>
    </row>
    <row r="107" spans="1:52" ht="45" customHeight="1">
      <c r="A107" s="153">
        <f t="shared" si="10"/>
        <v>104</v>
      </c>
      <c r="B107" s="153"/>
      <c r="C107" s="140"/>
      <c r="D107" s="28"/>
      <c r="E107" s="69"/>
      <c r="F107" s="39">
        <v>0</v>
      </c>
      <c r="G107" s="21"/>
      <c r="H107" s="21"/>
      <c r="I107" s="21"/>
      <c r="J107" s="141"/>
      <c r="K107" s="21"/>
      <c r="L107" s="69"/>
      <c r="M107" s="141"/>
      <c r="N107" s="59"/>
      <c r="O107" s="59"/>
      <c r="P107" s="105"/>
      <c r="Q107" s="105"/>
      <c r="R107" s="105"/>
      <c r="S107" s="105"/>
      <c r="T107" s="105"/>
      <c r="U107" s="90"/>
      <c r="V107" s="90"/>
      <c r="W107" s="90"/>
      <c r="X107" s="93"/>
      <c r="Y107" s="93"/>
      <c r="Z107" s="93"/>
      <c r="AA107" s="29">
        <v>0</v>
      </c>
      <c r="AB107" s="145">
        <v>0</v>
      </c>
      <c r="AC107" s="145">
        <v>0</v>
      </c>
      <c r="AD107" s="145">
        <v>0</v>
      </c>
      <c r="AE107" s="145">
        <v>0</v>
      </c>
      <c r="AF107" s="145">
        <v>0</v>
      </c>
      <c r="AG107" s="145">
        <v>0</v>
      </c>
      <c r="AH107" s="142">
        <f t="shared" si="9"/>
        <v>0</v>
      </c>
      <c r="AI107" s="141"/>
      <c r="AJ107" s="67"/>
      <c r="AK107" s="67"/>
      <c r="AL107" s="24"/>
      <c r="AM107" s="24"/>
      <c r="AN107" s="24"/>
      <c r="AO107" s="71"/>
      <c r="AP107" s="69"/>
      <c r="AQ107" s="141"/>
      <c r="AR107" s="141"/>
      <c r="AS107" s="141"/>
      <c r="AT107" s="141"/>
      <c r="AU107" s="141"/>
      <c r="AV107" s="141"/>
      <c r="AW107" s="141"/>
      <c r="AX107" s="141"/>
      <c r="AY107" s="141"/>
      <c r="AZ107" s="141"/>
    </row>
    <row r="108" spans="1:52" ht="45" customHeight="1">
      <c r="A108" s="153">
        <f t="shared" si="10"/>
        <v>105</v>
      </c>
      <c r="B108" s="153"/>
      <c r="C108" s="140"/>
      <c r="D108" s="28"/>
      <c r="E108" s="69"/>
      <c r="F108" s="39">
        <v>0</v>
      </c>
      <c r="G108" s="21"/>
      <c r="H108" s="21"/>
      <c r="I108" s="21"/>
      <c r="J108" s="141"/>
      <c r="K108" s="21"/>
      <c r="L108" s="69"/>
      <c r="M108" s="141"/>
      <c r="N108" s="59"/>
      <c r="O108" s="59"/>
      <c r="P108" s="105"/>
      <c r="Q108" s="105"/>
      <c r="R108" s="105"/>
      <c r="S108" s="105"/>
      <c r="T108" s="105"/>
      <c r="U108" s="90"/>
      <c r="V108" s="90"/>
      <c r="W108" s="90"/>
      <c r="X108" s="93"/>
      <c r="Y108" s="93"/>
      <c r="Z108" s="93"/>
      <c r="AA108" s="29">
        <v>0</v>
      </c>
      <c r="AB108" s="145">
        <v>0</v>
      </c>
      <c r="AC108" s="145">
        <v>0</v>
      </c>
      <c r="AD108" s="145">
        <v>0</v>
      </c>
      <c r="AE108" s="145">
        <v>0</v>
      </c>
      <c r="AF108" s="145">
        <v>0</v>
      </c>
      <c r="AG108" s="145">
        <v>0</v>
      </c>
      <c r="AH108" s="142">
        <f t="shared" si="9"/>
        <v>0</v>
      </c>
      <c r="AI108" s="141"/>
      <c r="AJ108" s="67"/>
      <c r="AK108" s="67"/>
      <c r="AL108" s="24"/>
      <c r="AM108" s="24"/>
      <c r="AN108" s="24"/>
      <c r="AO108" s="71"/>
      <c r="AP108" s="69"/>
      <c r="AQ108" s="141"/>
      <c r="AR108" s="141"/>
      <c r="AS108" s="141"/>
      <c r="AT108" s="141"/>
      <c r="AU108" s="141"/>
      <c r="AV108" s="141"/>
      <c r="AW108" s="141"/>
      <c r="AX108" s="141"/>
      <c r="AY108" s="141"/>
      <c r="AZ108" s="141"/>
    </row>
    <row r="109" spans="1:52" ht="45" customHeight="1">
      <c r="A109" s="153">
        <f t="shared" si="10"/>
        <v>106</v>
      </c>
      <c r="B109" s="153"/>
      <c r="C109" s="140"/>
      <c r="D109" s="28"/>
      <c r="E109" s="69"/>
      <c r="F109" s="39">
        <v>0</v>
      </c>
      <c r="G109" s="21"/>
      <c r="H109" s="21"/>
      <c r="I109" s="21"/>
      <c r="J109" s="141"/>
      <c r="K109" s="21"/>
      <c r="L109" s="69"/>
      <c r="M109" s="141"/>
      <c r="N109" s="59"/>
      <c r="O109" s="59"/>
      <c r="P109" s="105"/>
      <c r="Q109" s="105"/>
      <c r="R109" s="105"/>
      <c r="S109" s="105"/>
      <c r="T109" s="105"/>
      <c r="U109" s="90"/>
      <c r="V109" s="90"/>
      <c r="W109" s="90"/>
      <c r="X109" s="93"/>
      <c r="Y109" s="93"/>
      <c r="Z109" s="93"/>
      <c r="AA109" s="29">
        <v>0</v>
      </c>
      <c r="AB109" s="145">
        <v>0</v>
      </c>
      <c r="AC109" s="145">
        <v>0</v>
      </c>
      <c r="AD109" s="145">
        <v>0</v>
      </c>
      <c r="AE109" s="145">
        <v>0</v>
      </c>
      <c r="AF109" s="145">
        <v>0</v>
      </c>
      <c r="AG109" s="145">
        <v>0</v>
      </c>
      <c r="AH109" s="142">
        <f t="shared" si="9"/>
        <v>0</v>
      </c>
      <c r="AI109" s="141"/>
      <c r="AJ109" s="67"/>
      <c r="AK109" s="67"/>
      <c r="AL109" s="24"/>
      <c r="AM109" s="24"/>
      <c r="AN109" s="24"/>
      <c r="AO109" s="71"/>
      <c r="AP109" s="69"/>
      <c r="AQ109" s="141"/>
      <c r="AR109" s="141"/>
      <c r="AS109" s="141"/>
      <c r="AT109" s="141"/>
      <c r="AU109" s="141"/>
      <c r="AV109" s="141"/>
      <c r="AW109" s="141"/>
      <c r="AX109" s="141"/>
      <c r="AY109" s="141"/>
      <c r="AZ109" s="141"/>
    </row>
    <row r="110" spans="1:52" ht="45" customHeight="1">
      <c r="A110" s="153">
        <f t="shared" si="10"/>
        <v>107</v>
      </c>
      <c r="B110" s="153"/>
      <c r="C110" s="140"/>
      <c r="D110" s="28"/>
      <c r="E110" s="69"/>
      <c r="F110" s="39">
        <v>0</v>
      </c>
      <c r="G110" s="21"/>
      <c r="H110" s="21"/>
      <c r="I110" s="21"/>
      <c r="J110" s="141"/>
      <c r="K110" s="21"/>
      <c r="L110" s="69"/>
      <c r="M110" s="141"/>
      <c r="N110" s="59"/>
      <c r="O110" s="59"/>
      <c r="P110" s="105"/>
      <c r="Q110" s="105"/>
      <c r="R110" s="105"/>
      <c r="S110" s="105"/>
      <c r="T110" s="105"/>
      <c r="U110" s="90"/>
      <c r="V110" s="90"/>
      <c r="W110" s="90"/>
      <c r="X110" s="93"/>
      <c r="Y110" s="93"/>
      <c r="Z110" s="93"/>
      <c r="AA110" s="29">
        <v>0</v>
      </c>
      <c r="AB110" s="145">
        <v>0</v>
      </c>
      <c r="AC110" s="145">
        <v>0</v>
      </c>
      <c r="AD110" s="145">
        <v>0</v>
      </c>
      <c r="AE110" s="145">
        <v>0</v>
      </c>
      <c r="AF110" s="145">
        <v>0</v>
      </c>
      <c r="AG110" s="145">
        <v>0</v>
      </c>
      <c r="AH110" s="142">
        <f t="shared" si="9"/>
        <v>0</v>
      </c>
      <c r="AI110" s="141"/>
      <c r="AJ110" s="67"/>
      <c r="AK110" s="67"/>
      <c r="AL110" s="24"/>
      <c r="AM110" s="24"/>
      <c r="AN110" s="24"/>
      <c r="AO110" s="71"/>
      <c r="AP110" s="69"/>
      <c r="AQ110" s="141"/>
      <c r="AR110" s="141"/>
      <c r="AS110" s="141"/>
      <c r="AT110" s="141"/>
      <c r="AU110" s="141"/>
      <c r="AV110" s="141"/>
      <c r="AW110" s="141"/>
      <c r="AX110" s="141"/>
      <c r="AY110" s="141"/>
      <c r="AZ110" s="141"/>
    </row>
    <row r="111" spans="1:52" ht="45" customHeight="1">
      <c r="A111" s="153">
        <f t="shared" si="10"/>
        <v>108</v>
      </c>
      <c r="B111" s="153"/>
      <c r="C111" s="140"/>
      <c r="D111" s="28"/>
      <c r="E111" s="69"/>
      <c r="F111" s="39">
        <v>0</v>
      </c>
      <c r="G111" s="21"/>
      <c r="H111" s="21"/>
      <c r="I111" s="21"/>
      <c r="J111" s="141"/>
      <c r="K111" s="21"/>
      <c r="L111" s="69"/>
      <c r="M111" s="141"/>
      <c r="N111" s="59"/>
      <c r="O111" s="59"/>
      <c r="P111" s="105"/>
      <c r="Q111" s="105"/>
      <c r="R111" s="105"/>
      <c r="S111" s="105"/>
      <c r="T111" s="105"/>
      <c r="U111" s="90"/>
      <c r="V111" s="90"/>
      <c r="W111" s="90"/>
      <c r="X111" s="93"/>
      <c r="Y111" s="93"/>
      <c r="Z111" s="93"/>
      <c r="AA111" s="29">
        <v>0</v>
      </c>
      <c r="AB111" s="145">
        <v>0</v>
      </c>
      <c r="AC111" s="145">
        <v>0</v>
      </c>
      <c r="AD111" s="145">
        <v>0</v>
      </c>
      <c r="AE111" s="145">
        <v>0</v>
      </c>
      <c r="AF111" s="145">
        <v>0</v>
      </c>
      <c r="AG111" s="145">
        <v>0</v>
      </c>
      <c r="AH111" s="142">
        <f t="shared" si="9"/>
        <v>0</v>
      </c>
      <c r="AI111" s="141"/>
      <c r="AJ111" s="67"/>
      <c r="AK111" s="67"/>
      <c r="AL111" s="24"/>
      <c r="AM111" s="24"/>
      <c r="AN111" s="24"/>
      <c r="AO111" s="71"/>
      <c r="AP111" s="69"/>
      <c r="AQ111" s="141"/>
      <c r="AR111" s="141"/>
      <c r="AS111" s="141"/>
      <c r="AT111" s="141"/>
      <c r="AU111" s="141"/>
      <c r="AV111" s="141"/>
      <c r="AW111" s="141"/>
      <c r="AX111" s="141"/>
      <c r="AY111" s="141"/>
      <c r="AZ111" s="141"/>
    </row>
    <row r="112" spans="1:52" ht="45" customHeight="1">
      <c r="A112" s="153">
        <f t="shared" si="10"/>
        <v>109</v>
      </c>
      <c r="B112" s="153"/>
      <c r="C112" s="140"/>
      <c r="D112" s="28"/>
      <c r="E112" s="69"/>
      <c r="F112" s="39">
        <v>0</v>
      </c>
      <c r="G112" s="21"/>
      <c r="H112" s="21"/>
      <c r="I112" s="21"/>
      <c r="J112" s="141"/>
      <c r="K112" s="21"/>
      <c r="L112" s="69"/>
      <c r="M112" s="141"/>
      <c r="N112" s="59"/>
      <c r="O112" s="59"/>
      <c r="P112" s="105"/>
      <c r="Q112" s="105"/>
      <c r="R112" s="105"/>
      <c r="S112" s="105"/>
      <c r="T112" s="105"/>
      <c r="U112" s="90"/>
      <c r="V112" s="90"/>
      <c r="W112" s="90"/>
      <c r="X112" s="93"/>
      <c r="Y112" s="93"/>
      <c r="Z112" s="93"/>
      <c r="AA112" s="29">
        <v>0</v>
      </c>
      <c r="AB112" s="145">
        <v>0</v>
      </c>
      <c r="AC112" s="145">
        <v>0</v>
      </c>
      <c r="AD112" s="145">
        <v>0</v>
      </c>
      <c r="AE112" s="145">
        <v>0</v>
      </c>
      <c r="AF112" s="145">
        <v>0</v>
      </c>
      <c r="AG112" s="145">
        <v>0</v>
      </c>
      <c r="AH112" s="142">
        <f t="shared" si="9"/>
        <v>0</v>
      </c>
      <c r="AI112" s="141"/>
      <c r="AJ112" s="67"/>
      <c r="AK112" s="67"/>
      <c r="AL112" s="24"/>
      <c r="AM112" s="24"/>
      <c r="AN112" s="24"/>
      <c r="AO112" s="71"/>
      <c r="AP112" s="69"/>
      <c r="AQ112" s="141"/>
      <c r="AR112" s="141"/>
      <c r="AS112" s="141"/>
      <c r="AT112" s="141"/>
      <c r="AU112" s="141"/>
      <c r="AV112" s="141"/>
      <c r="AW112" s="141"/>
      <c r="AX112" s="141"/>
      <c r="AY112" s="141"/>
      <c r="AZ112" s="141"/>
    </row>
    <row r="113" spans="1:52" ht="45" customHeight="1">
      <c r="A113" s="153">
        <f t="shared" si="10"/>
        <v>110</v>
      </c>
      <c r="B113" s="153"/>
      <c r="C113" s="140"/>
      <c r="D113" s="28"/>
      <c r="E113" s="69"/>
      <c r="F113" s="39">
        <v>3</v>
      </c>
      <c r="G113" s="21"/>
      <c r="H113" s="21"/>
      <c r="I113" s="21"/>
      <c r="J113" s="141"/>
      <c r="K113" s="21"/>
      <c r="L113" s="69"/>
      <c r="M113" s="141"/>
      <c r="N113" s="59"/>
      <c r="O113" s="59"/>
      <c r="P113" s="105"/>
      <c r="Q113" s="105"/>
      <c r="R113" s="105"/>
      <c r="S113" s="105"/>
      <c r="T113" s="105"/>
      <c r="U113" s="90"/>
      <c r="V113" s="90"/>
      <c r="W113" s="90"/>
      <c r="X113" s="93"/>
      <c r="Y113" s="93"/>
      <c r="Z113" s="93"/>
      <c r="AA113" s="29">
        <v>0</v>
      </c>
      <c r="AB113" s="145">
        <v>0</v>
      </c>
      <c r="AC113" s="145">
        <v>0</v>
      </c>
      <c r="AD113" s="145">
        <v>0</v>
      </c>
      <c r="AE113" s="145">
        <v>0</v>
      </c>
      <c r="AF113" s="145">
        <v>0</v>
      </c>
      <c r="AG113" s="145">
        <v>0</v>
      </c>
      <c r="AH113" s="142">
        <f t="shared" si="9"/>
        <v>0</v>
      </c>
      <c r="AI113" s="141"/>
      <c r="AJ113" s="67"/>
      <c r="AK113" s="67"/>
      <c r="AL113" s="24"/>
      <c r="AM113" s="24"/>
      <c r="AN113" s="24"/>
      <c r="AO113" s="71"/>
      <c r="AP113" s="69"/>
      <c r="AQ113" s="141"/>
      <c r="AR113" s="141"/>
      <c r="AS113" s="141"/>
      <c r="AT113" s="141"/>
      <c r="AU113" s="141"/>
      <c r="AV113" s="141"/>
      <c r="AW113" s="141"/>
      <c r="AX113" s="141"/>
      <c r="AY113" s="141"/>
      <c r="AZ113" s="141"/>
    </row>
    <row r="114" spans="1:52" ht="45" customHeight="1">
      <c r="A114" s="153">
        <f t="shared" si="10"/>
        <v>111</v>
      </c>
      <c r="B114" s="153"/>
      <c r="C114" s="140"/>
      <c r="D114" s="28"/>
      <c r="E114" s="69"/>
      <c r="F114" s="39">
        <v>0</v>
      </c>
      <c r="G114" s="21"/>
      <c r="H114" s="21"/>
      <c r="I114" s="21"/>
      <c r="J114" s="141"/>
      <c r="K114" s="21"/>
      <c r="L114" s="69"/>
      <c r="M114" s="141"/>
      <c r="N114" s="59"/>
      <c r="O114" s="59"/>
      <c r="P114" s="105"/>
      <c r="Q114" s="105"/>
      <c r="R114" s="105"/>
      <c r="S114" s="105"/>
      <c r="T114" s="105"/>
      <c r="U114" s="90"/>
      <c r="V114" s="90"/>
      <c r="W114" s="90"/>
      <c r="X114" s="93"/>
      <c r="Y114" s="93"/>
      <c r="Z114" s="93"/>
      <c r="AA114" s="29">
        <v>0</v>
      </c>
      <c r="AB114" s="145">
        <v>0</v>
      </c>
      <c r="AC114" s="145">
        <v>0</v>
      </c>
      <c r="AD114" s="145">
        <v>0</v>
      </c>
      <c r="AE114" s="145">
        <v>0</v>
      </c>
      <c r="AF114" s="145">
        <v>0</v>
      </c>
      <c r="AG114" s="145">
        <v>0</v>
      </c>
      <c r="AH114" s="142">
        <f t="shared" si="9"/>
        <v>0</v>
      </c>
      <c r="AI114" s="141"/>
      <c r="AJ114" s="67"/>
      <c r="AK114" s="67"/>
      <c r="AL114" s="24"/>
      <c r="AM114" s="24"/>
      <c r="AN114" s="24"/>
      <c r="AO114" s="71"/>
      <c r="AP114" s="69"/>
      <c r="AQ114" s="141"/>
      <c r="AR114" s="141"/>
      <c r="AS114" s="141"/>
      <c r="AT114" s="141"/>
      <c r="AU114" s="141"/>
      <c r="AV114" s="141"/>
      <c r="AW114" s="141"/>
      <c r="AX114" s="141"/>
      <c r="AY114" s="141"/>
      <c r="AZ114" s="141"/>
    </row>
    <row r="115" spans="1:52" ht="45" customHeight="1">
      <c r="A115" s="153">
        <f t="shared" si="10"/>
        <v>112</v>
      </c>
      <c r="B115" s="153"/>
      <c r="C115" s="140"/>
      <c r="D115" s="28"/>
      <c r="E115" s="69"/>
      <c r="F115" s="39">
        <v>0</v>
      </c>
      <c r="G115" s="21"/>
      <c r="H115" s="21"/>
      <c r="I115" s="21"/>
      <c r="J115" s="141"/>
      <c r="K115" s="21"/>
      <c r="L115" s="69"/>
      <c r="M115" s="141"/>
      <c r="N115" s="59"/>
      <c r="O115" s="59"/>
      <c r="P115" s="105"/>
      <c r="Q115" s="105"/>
      <c r="R115" s="105"/>
      <c r="S115" s="105"/>
      <c r="T115" s="105"/>
      <c r="U115" s="90"/>
      <c r="V115" s="90"/>
      <c r="W115" s="90"/>
      <c r="X115" s="93"/>
      <c r="Y115" s="93"/>
      <c r="Z115" s="93"/>
      <c r="AA115" s="29">
        <v>0</v>
      </c>
      <c r="AB115" s="145">
        <v>0</v>
      </c>
      <c r="AC115" s="145">
        <v>0</v>
      </c>
      <c r="AD115" s="145">
        <v>0</v>
      </c>
      <c r="AE115" s="145">
        <v>0</v>
      </c>
      <c r="AF115" s="145">
        <v>0</v>
      </c>
      <c r="AG115" s="145">
        <v>0</v>
      </c>
      <c r="AH115" s="142">
        <f t="shared" si="9"/>
        <v>0</v>
      </c>
      <c r="AI115" s="141"/>
      <c r="AJ115" s="67"/>
      <c r="AK115" s="67"/>
      <c r="AL115" s="24"/>
      <c r="AM115" s="24"/>
      <c r="AN115" s="24"/>
      <c r="AO115" s="71"/>
      <c r="AP115" s="69"/>
      <c r="AQ115" s="141"/>
      <c r="AR115" s="141"/>
      <c r="AS115" s="141"/>
      <c r="AT115" s="141"/>
      <c r="AU115" s="141"/>
      <c r="AV115" s="141"/>
      <c r="AW115" s="141"/>
      <c r="AX115" s="141"/>
      <c r="AY115" s="141"/>
      <c r="AZ115" s="141"/>
    </row>
    <row r="116" spans="1:52" ht="45" customHeight="1">
      <c r="A116" s="153">
        <f t="shared" si="10"/>
        <v>113</v>
      </c>
      <c r="B116" s="153"/>
      <c r="C116" s="140"/>
      <c r="D116" s="28"/>
      <c r="E116" s="69"/>
      <c r="F116" s="39">
        <v>0</v>
      </c>
      <c r="G116" s="21"/>
      <c r="H116" s="21"/>
      <c r="I116" s="21"/>
      <c r="J116" s="141"/>
      <c r="K116" s="21"/>
      <c r="L116" s="69"/>
      <c r="M116" s="141"/>
      <c r="N116" s="59"/>
      <c r="O116" s="59"/>
      <c r="P116" s="105"/>
      <c r="Q116" s="105"/>
      <c r="R116" s="105"/>
      <c r="S116" s="105"/>
      <c r="T116" s="105"/>
      <c r="U116" s="90"/>
      <c r="V116" s="90"/>
      <c r="W116" s="90"/>
      <c r="X116" s="93"/>
      <c r="Y116" s="93"/>
      <c r="Z116" s="93"/>
      <c r="AA116" s="29">
        <v>0</v>
      </c>
      <c r="AB116" s="145">
        <v>0</v>
      </c>
      <c r="AC116" s="145">
        <v>0</v>
      </c>
      <c r="AD116" s="145">
        <v>0</v>
      </c>
      <c r="AE116" s="145">
        <v>0</v>
      </c>
      <c r="AF116" s="145">
        <v>0</v>
      </c>
      <c r="AG116" s="145">
        <v>0</v>
      </c>
      <c r="AH116" s="142">
        <f t="shared" ref="AH116:AH147" si="11">AVERAGE(AA116:AG116)</f>
        <v>0</v>
      </c>
      <c r="AI116" s="141"/>
      <c r="AJ116" s="67"/>
      <c r="AK116" s="67"/>
      <c r="AL116" s="24"/>
      <c r="AM116" s="24"/>
      <c r="AN116" s="24"/>
      <c r="AO116" s="71"/>
      <c r="AP116" s="69"/>
      <c r="AQ116" s="141"/>
      <c r="AR116" s="141"/>
      <c r="AS116" s="141"/>
      <c r="AT116" s="141"/>
      <c r="AU116" s="141"/>
      <c r="AV116" s="141"/>
      <c r="AW116" s="141"/>
      <c r="AX116" s="141"/>
      <c r="AY116" s="141"/>
      <c r="AZ116" s="141"/>
    </row>
    <row r="117" spans="1:52" ht="45" customHeight="1">
      <c r="A117" s="153">
        <f t="shared" si="10"/>
        <v>114</v>
      </c>
      <c r="B117" s="153"/>
      <c r="C117" s="140"/>
      <c r="D117" s="28"/>
      <c r="E117" s="69"/>
      <c r="F117" s="39">
        <v>0</v>
      </c>
      <c r="G117" s="21"/>
      <c r="H117" s="21"/>
      <c r="I117" s="21"/>
      <c r="J117" s="141"/>
      <c r="K117" s="21"/>
      <c r="L117" s="69"/>
      <c r="M117" s="141"/>
      <c r="N117" s="59"/>
      <c r="O117" s="59"/>
      <c r="P117" s="105"/>
      <c r="Q117" s="105"/>
      <c r="R117" s="105"/>
      <c r="S117" s="105"/>
      <c r="T117" s="105"/>
      <c r="U117" s="90"/>
      <c r="V117" s="90"/>
      <c r="W117" s="90"/>
      <c r="X117" s="93"/>
      <c r="Y117" s="93"/>
      <c r="Z117" s="93"/>
      <c r="AA117" s="29">
        <v>0</v>
      </c>
      <c r="AB117" s="145">
        <v>0</v>
      </c>
      <c r="AC117" s="145">
        <v>0</v>
      </c>
      <c r="AD117" s="145">
        <v>0</v>
      </c>
      <c r="AE117" s="145">
        <v>0</v>
      </c>
      <c r="AF117" s="145">
        <v>0</v>
      </c>
      <c r="AG117" s="145">
        <v>0</v>
      </c>
      <c r="AH117" s="142">
        <f t="shared" si="11"/>
        <v>0</v>
      </c>
      <c r="AI117" s="141"/>
      <c r="AJ117" s="67"/>
      <c r="AK117" s="67"/>
      <c r="AL117" s="24"/>
      <c r="AM117" s="24"/>
      <c r="AN117" s="24"/>
      <c r="AO117" s="71"/>
      <c r="AP117" s="69"/>
      <c r="AQ117" s="141"/>
      <c r="AR117" s="141"/>
      <c r="AS117" s="141"/>
      <c r="AT117" s="141"/>
      <c r="AU117" s="141"/>
      <c r="AV117" s="141"/>
      <c r="AW117" s="141"/>
      <c r="AX117" s="141"/>
      <c r="AY117" s="141"/>
      <c r="AZ117" s="141"/>
    </row>
    <row r="118" spans="1:52" ht="45" customHeight="1">
      <c r="A118" s="153">
        <f t="shared" si="10"/>
        <v>115</v>
      </c>
      <c r="B118" s="153"/>
      <c r="C118" s="140"/>
      <c r="D118" s="28"/>
      <c r="E118" s="69"/>
      <c r="F118" s="39">
        <v>0</v>
      </c>
      <c r="G118" s="21"/>
      <c r="H118" s="21"/>
      <c r="I118" s="21"/>
      <c r="J118" s="141"/>
      <c r="K118" s="21"/>
      <c r="L118" s="69"/>
      <c r="M118" s="141"/>
      <c r="N118" s="59"/>
      <c r="O118" s="59"/>
      <c r="P118" s="105"/>
      <c r="Q118" s="105"/>
      <c r="R118" s="105"/>
      <c r="S118" s="105"/>
      <c r="T118" s="105"/>
      <c r="U118" s="90"/>
      <c r="V118" s="90"/>
      <c r="W118" s="90"/>
      <c r="X118" s="93"/>
      <c r="Y118" s="93"/>
      <c r="Z118" s="93"/>
      <c r="AA118" s="29">
        <v>0</v>
      </c>
      <c r="AB118" s="145">
        <v>0</v>
      </c>
      <c r="AC118" s="145">
        <v>0</v>
      </c>
      <c r="AD118" s="145">
        <v>0</v>
      </c>
      <c r="AE118" s="145">
        <v>0</v>
      </c>
      <c r="AF118" s="145">
        <v>0</v>
      </c>
      <c r="AG118" s="145">
        <v>0</v>
      </c>
      <c r="AH118" s="142">
        <f t="shared" si="11"/>
        <v>0</v>
      </c>
      <c r="AI118" s="141"/>
      <c r="AJ118" s="67"/>
      <c r="AK118" s="67"/>
      <c r="AL118" s="24"/>
      <c r="AM118" s="24"/>
      <c r="AN118" s="24"/>
      <c r="AO118" s="71"/>
      <c r="AP118" s="69"/>
      <c r="AQ118" s="141"/>
      <c r="AR118" s="141"/>
      <c r="AS118" s="141"/>
      <c r="AT118" s="141"/>
      <c r="AU118" s="141"/>
      <c r="AV118" s="141"/>
      <c r="AW118" s="141"/>
      <c r="AX118" s="141"/>
      <c r="AY118" s="141"/>
      <c r="AZ118" s="141"/>
    </row>
    <row r="119" spans="1:52" ht="45" customHeight="1">
      <c r="A119" s="153">
        <f t="shared" si="10"/>
        <v>116</v>
      </c>
      <c r="B119" s="153"/>
      <c r="C119" s="140"/>
      <c r="D119" s="28"/>
      <c r="E119" s="69"/>
      <c r="F119" s="39">
        <v>0</v>
      </c>
      <c r="G119" s="21"/>
      <c r="H119" s="21"/>
      <c r="I119" s="21"/>
      <c r="J119" s="141"/>
      <c r="K119" s="21"/>
      <c r="L119" s="69"/>
      <c r="M119" s="141"/>
      <c r="N119" s="59"/>
      <c r="O119" s="59"/>
      <c r="P119" s="105"/>
      <c r="Q119" s="105"/>
      <c r="R119" s="105"/>
      <c r="S119" s="105"/>
      <c r="T119" s="105"/>
      <c r="U119" s="90"/>
      <c r="V119" s="90"/>
      <c r="W119" s="90"/>
      <c r="X119" s="93"/>
      <c r="Y119" s="93"/>
      <c r="Z119" s="93"/>
      <c r="AA119" s="29">
        <v>0</v>
      </c>
      <c r="AB119" s="145">
        <v>0</v>
      </c>
      <c r="AC119" s="145">
        <v>0</v>
      </c>
      <c r="AD119" s="145">
        <v>0</v>
      </c>
      <c r="AE119" s="145">
        <v>0</v>
      </c>
      <c r="AF119" s="145">
        <v>0</v>
      </c>
      <c r="AG119" s="145">
        <v>0</v>
      </c>
      <c r="AH119" s="142">
        <f t="shared" si="11"/>
        <v>0</v>
      </c>
      <c r="AI119" s="141"/>
      <c r="AJ119" s="67"/>
      <c r="AK119" s="67"/>
      <c r="AL119" s="24"/>
      <c r="AM119" s="24"/>
      <c r="AN119" s="24"/>
      <c r="AO119" s="71"/>
      <c r="AP119" s="69"/>
      <c r="AQ119" s="141"/>
      <c r="AR119" s="141"/>
      <c r="AS119" s="141"/>
      <c r="AT119" s="141"/>
      <c r="AU119" s="141"/>
      <c r="AV119" s="141"/>
      <c r="AW119" s="141"/>
      <c r="AX119" s="141"/>
      <c r="AY119" s="141"/>
      <c r="AZ119" s="141"/>
    </row>
    <row r="120" spans="1:52" ht="45" customHeight="1">
      <c r="A120" s="153">
        <f t="shared" si="10"/>
        <v>117</v>
      </c>
      <c r="B120" s="153"/>
      <c r="C120" s="140"/>
      <c r="D120" s="28"/>
      <c r="E120" s="69"/>
      <c r="F120" s="39">
        <v>0</v>
      </c>
      <c r="G120" s="21"/>
      <c r="H120" s="21"/>
      <c r="I120" s="21"/>
      <c r="J120" s="141"/>
      <c r="K120" s="21"/>
      <c r="L120" s="69"/>
      <c r="M120" s="141"/>
      <c r="N120" s="59"/>
      <c r="O120" s="59"/>
      <c r="P120" s="105"/>
      <c r="Q120" s="105"/>
      <c r="R120" s="105"/>
      <c r="S120" s="105"/>
      <c r="T120" s="105"/>
      <c r="U120" s="90"/>
      <c r="V120" s="90"/>
      <c r="W120" s="90"/>
      <c r="X120" s="93"/>
      <c r="Y120" s="93"/>
      <c r="Z120" s="93"/>
      <c r="AA120" s="29">
        <v>0</v>
      </c>
      <c r="AB120" s="145">
        <v>0</v>
      </c>
      <c r="AC120" s="145">
        <v>0</v>
      </c>
      <c r="AD120" s="145">
        <v>0</v>
      </c>
      <c r="AE120" s="145">
        <v>0</v>
      </c>
      <c r="AF120" s="145">
        <v>0</v>
      </c>
      <c r="AG120" s="145">
        <v>0</v>
      </c>
      <c r="AH120" s="142">
        <f t="shared" si="11"/>
        <v>0</v>
      </c>
      <c r="AI120" s="141"/>
      <c r="AJ120" s="67"/>
      <c r="AK120" s="67"/>
      <c r="AL120" s="24"/>
      <c r="AM120" s="24"/>
      <c r="AN120" s="24"/>
      <c r="AO120" s="71"/>
      <c r="AP120" s="69"/>
      <c r="AQ120" s="141"/>
      <c r="AR120" s="141"/>
      <c r="AS120" s="141"/>
      <c r="AT120" s="141"/>
      <c r="AU120" s="141"/>
      <c r="AV120" s="141"/>
      <c r="AW120" s="141"/>
      <c r="AX120" s="141"/>
      <c r="AY120" s="141"/>
      <c r="AZ120" s="141"/>
    </row>
    <row r="121" spans="1:52" ht="45" customHeight="1">
      <c r="A121" s="153">
        <f t="shared" si="10"/>
        <v>118</v>
      </c>
      <c r="B121" s="153"/>
      <c r="C121" s="140"/>
      <c r="D121" s="28"/>
      <c r="E121" s="69"/>
      <c r="F121" s="39">
        <v>0</v>
      </c>
      <c r="G121" s="21"/>
      <c r="H121" s="21"/>
      <c r="I121" s="21"/>
      <c r="J121" s="141"/>
      <c r="K121" s="21"/>
      <c r="L121" s="69"/>
      <c r="M121" s="141"/>
      <c r="N121" s="59"/>
      <c r="O121" s="59"/>
      <c r="P121" s="105"/>
      <c r="Q121" s="105"/>
      <c r="R121" s="105"/>
      <c r="S121" s="105"/>
      <c r="T121" s="105"/>
      <c r="U121" s="90"/>
      <c r="V121" s="90"/>
      <c r="W121" s="90"/>
      <c r="X121" s="93"/>
      <c r="Y121" s="93"/>
      <c r="Z121" s="93"/>
      <c r="AA121" s="29">
        <v>0</v>
      </c>
      <c r="AB121" s="145">
        <v>0</v>
      </c>
      <c r="AC121" s="145">
        <v>0</v>
      </c>
      <c r="AD121" s="145">
        <v>0</v>
      </c>
      <c r="AE121" s="145">
        <v>0</v>
      </c>
      <c r="AF121" s="145">
        <v>0</v>
      </c>
      <c r="AG121" s="145">
        <v>0</v>
      </c>
      <c r="AH121" s="142">
        <f t="shared" si="11"/>
        <v>0</v>
      </c>
      <c r="AI121" s="141"/>
      <c r="AJ121" s="67"/>
      <c r="AK121" s="67"/>
      <c r="AL121" s="24"/>
      <c r="AM121" s="24"/>
      <c r="AN121" s="24"/>
      <c r="AO121" s="71"/>
      <c r="AP121" s="69"/>
      <c r="AQ121" s="141"/>
      <c r="AR121" s="141"/>
      <c r="AS121" s="141"/>
      <c r="AT121" s="141"/>
      <c r="AU121" s="141"/>
      <c r="AV121" s="141"/>
      <c r="AW121" s="141"/>
      <c r="AX121" s="141"/>
      <c r="AY121" s="141"/>
      <c r="AZ121" s="141"/>
    </row>
    <row r="122" spans="1:52" ht="45" customHeight="1">
      <c r="A122" s="153">
        <f t="shared" si="10"/>
        <v>119</v>
      </c>
      <c r="B122" s="153"/>
      <c r="C122" s="140"/>
      <c r="D122" s="28"/>
      <c r="E122" s="69"/>
      <c r="F122" s="39">
        <v>0</v>
      </c>
      <c r="G122" s="21"/>
      <c r="H122" s="21"/>
      <c r="I122" s="21"/>
      <c r="J122" s="141"/>
      <c r="K122" s="21"/>
      <c r="L122" s="69"/>
      <c r="M122" s="141"/>
      <c r="N122" s="59"/>
      <c r="O122" s="59"/>
      <c r="P122" s="105"/>
      <c r="Q122" s="105"/>
      <c r="R122" s="105"/>
      <c r="S122" s="105"/>
      <c r="T122" s="105"/>
      <c r="U122" s="90"/>
      <c r="V122" s="90"/>
      <c r="W122" s="90"/>
      <c r="X122" s="93"/>
      <c r="Y122" s="93"/>
      <c r="Z122" s="93"/>
      <c r="AA122" s="29">
        <v>0</v>
      </c>
      <c r="AB122" s="145">
        <v>0</v>
      </c>
      <c r="AC122" s="145">
        <v>0</v>
      </c>
      <c r="AD122" s="145">
        <v>0</v>
      </c>
      <c r="AE122" s="145">
        <v>0</v>
      </c>
      <c r="AF122" s="145">
        <v>0</v>
      </c>
      <c r="AG122" s="145">
        <v>0</v>
      </c>
      <c r="AH122" s="142">
        <f t="shared" si="11"/>
        <v>0</v>
      </c>
      <c r="AI122" s="141"/>
      <c r="AJ122" s="67"/>
      <c r="AK122" s="67"/>
      <c r="AL122" s="24"/>
      <c r="AM122" s="24"/>
      <c r="AN122" s="24"/>
      <c r="AO122" s="71"/>
      <c r="AP122" s="69"/>
      <c r="AQ122" s="141"/>
      <c r="AR122" s="141"/>
      <c r="AS122" s="141"/>
      <c r="AT122" s="141"/>
      <c r="AU122" s="141"/>
      <c r="AV122" s="141"/>
      <c r="AW122" s="141"/>
      <c r="AX122" s="141"/>
      <c r="AY122" s="141"/>
      <c r="AZ122" s="141"/>
    </row>
    <row r="123" spans="1:52" ht="45" customHeight="1">
      <c r="A123" s="153">
        <f t="shared" si="10"/>
        <v>120</v>
      </c>
      <c r="B123" s="153"/>
      <c r="C123" s="140"/>
      <c r="D123" s="28"/>
      <c r="E123" s="69"/>
      <c r="F123" s="39">
        <v>0</v>
      </c>
      <c r="G123" s="21"/>
      <c r="H123" s="21"/>
      <c r="I123" s="21"/>
      <c r="J123" s="141"/>
      <c r="K123" s="21"/>
      <c r="L123" s="69"/>
      <c r="M123" s="141"/>
      <c r="N123" s="59"/>
      <c r="O123" s="59"/>
      <c r="P123" s="105"/>
      <c r="Q123" s="105"/>
      <c r="R123" s="105"/>
      <c r="S123" s="105"/>
      <c r="T123" s="105"/>
      <c r="U123" s="90"/>
      <c r="V123" s="90"/>
      <c r="W123" s="90"/>
      <c r="X123" s="93"/>
      <c r="Y123" s="93"/>
      <c r="Z123" s="93"/>
      <c r="AA123" s="29">
        <v>0</v>
      </c>
      <c r="AB123" s="145">
        <v>0</v>
      </c>
      <c r="AC123" s="145">
        <v>0</v>
      </c>
      <c r="AD123" s="145">
        <v>0</v>
      </c>
      <c r="AE123" s="145">
        <v>0</v>
      </c>
      <c r="AF123" s="145">
        <v>0</v>
      </c>
      <c r="AG123" s="145">
        <v>0</v>
      </c>
      <c r="AH123" s="142">
        <f t="shared" si="11"/>
        <v>0</v>
      </c>
      <c r="AI123" s="141"/>
      <c r="AJ123" s="67"/>
      <c r="AK123" s="67"/>
      <c r="AL123" s="24"/>
      <c r="AM123" s="24"/>
      <c r="AN123" s="24"/>
      <c r="AO123" s="71"/>
      <c r="AP123" s="69"/>
      <c r="AQ123" s="141"/>
      <c r="AR123" s="141"/>
      <c r="AS123" s="141"/>
      <c r="AT123" s="141"/>
      <c r="AU123" s="141"/>
      <c r="AV123" s="141"/>
      <c r="AW123" s="141"/>
      <c r="AX123" s="141"/>
      <c r="AY123" s="141"/>
      <c r="AZ123" s="141"/>
    </row>
    <row r="124" spans="1:52" ht="45" customHeight="1">
      <c r="A124" s="153">
        <f t="shared" si="10"/>
        <v>121</v>
      </c>
      <c r="B124" s="153"/>
      <c r="C124" s="140"/>
      <c r="D124" s="28"/>
      <c r="E124" s="69"/>
      <c r="F124" s="39">
        <v>0</v>
      </c>
      <c r="G124" s="21"/>
      <c r="H124" s="21"/>
      <c r="I124" s="21"/>
      <c r="J124" s="141"/>
      <c r="K124" s="21"/>
      <c r="L124" s="69"/>
      <c r="M124" s="141"/>
      <c r="N124" s="59"/>
      <c r="O124" s="59"/>
      <c r="P124" s="105"/>
      <c r="Q124" s="105"/>
      <c r="R124" s="105"/>
      <c r="S124" s="105"/>
      <c r="T124" s="105"/>
      <c r="U124" s="90"/>
      <c r="V124" s="90"/>
      <c r="W124" s="90"/>
      <c r="X124" s="93"/>
      <c r="Y124" s="93"/>
      <c r="Z124" s="93"/>
      <c r="AA124" s="29">
        <v>0</v>
      </c>
      <c r="AB124" s="145">
        <v>0</v>
      </c>
      <c r="AC124" s="145">
        <v>0</v>
      </c>
      <c r="AD124" s="145">
        <v>0</v>
      </c>
      <c r="AE124" s="145">
        <v>0</v>
      </c>
      <c r="AF124" s="145">
        <v>0</v>
      </c>
      <c r="AG124" s="145">
        <v>0</v>
      </c>
      <c r="AH124" s="142">
        <f t="shared" si="11"/>
        <v>0</v>
      </c>
      <c r="AI124" s="141"/>
      <c r="AJ124" s="67"/>
      <c r="AK124" s="67"/>
      <c r="AL124" s="24"/>
      <c r="AM124" s="24"/>
      <c r="AN124" s="24"/>
      <c r="AO124" s="71"/>
      <c r="AP124" s="69"/>
      <c r="AQ124" s="141"/>
      <c r="AR124" s="141"/>
      <c r="AS124" s="141"/>
      <c r="AT124" s="141"/>
      <c r="AU124" s="141"/>
      <c r="AV124" s="141"/>
      <c r="AW124" s="141"/>
      <c r="AX124" s="141"/>
      <c r="AY124" s="141"/>
      <c r="AZ124" s="141"/>
    </row>
    <row r="125" spans="1:52" ht="45" customHeight="1">
      <c r="A125" s="153">
        <f t="shared" si="10"/>
        <v>122</v>
      </c>
      <c r="B125" s="153"/>
      <c r="C125" s="140"/>
      <c r="D125" s="28"/>
      <c r="E125" s="69"/>
      <c r="F125" s="39">
        <v>0</v>
      </c>
      <c r="G125" s="21"/>
      <c r="H125" s="21"/>
      <c r="I125" s="21"/>
      <c r="J125" s="141"/>
      <c r="K125" s="21"/>
      <c r="L125" s="69"/>
      <c r="M125" s="141"/>
      <c r="N125" s="59"/>
      <c r="O125" s="59"/>
      <c r="P125" s="105"/>
      <c r="Q125" s="105"/>
      <c r="R125" s="105"/>
      <c r="S125" s="105"/>
      <c r="T125" s="105"/>
      <c r="U125" s="90"/>
      <c r="V125" s="90"/>
      <c r="W125" s="90"/>
      <c r="X125" s="93"/>
      <c r="Y125" s="93"/>
      <c r="Z125" s="93"/>
      <c r="AA125" s="29">
        <v>0</v>
      </c>
      <c r="AB125" s="145">
        <v>0</v>
      </c>
      <c r="AC125" s="145">
        <v>0</v>
      </c>
      <c r="AD125" s="145">
        <v>0</v>
      </c>
      <c r="AE125" s="145">
        <v>0</v>
      </c>
      <c r="AF125" s="145">
        <v>0</v>
      </c>
      <c r="AG125" s="145">
        <v>0</v>
      </c>
      <c r="AH125" s="142">
        <f t="shared" si="11"/>
        <v>0</v>
      </c>
      <c r="AI125" s="141"/>
      <c r="AJ125" s="67"/>
      <c r="AK125" s="67"/>
      <c r="AL125" s="24"/>
      <c r="AM125" s="24"/>
      <c r="AN125" s="24"/>
      <c r="AO125" s="71"/>
      <c r="AP125" s="69"/>
      <c r="AQ125" s="141"/>
      <c r="AR125" s="141"/>
      <c r="AS125" s="141"/>
      <c r="AT125" s="141"/>
      <c r="AU125" s="141"/>
      <c r="AV125" s="141"/>
      <c r="AW125" s="141"/>
      <c r="AX125" s="141"/>
      <c r="AY125" s="141"/>
      <c r="AZ125" s="141"/>
    </row>
    <row r="126" spans="1:52" ht="45" customHeight="1">
      <c r="A126" s="153">
        <f t="shared" si="10"/>
        <v>123</v>
      </c>
      <c r="B126" s="153"/>
      <c r="C126" s="140"/>
      <c r="D126" s="28"/>
      <c r="E126" s="69"/>
      <c r="F126" s="39">
        <v>0</v>
      </c>
      <c r="G126" s="21"/>
      <c r="H126" s="21"/>
      <c r="I126" s="21"/>
      <c r="J126" s="141"/>
      <c r="K126" s="21"/>
      <c r="L126" s="69"/>
      <c r="M126" s="141"/>
      <c r="N126" s="59"/>
      <c r="O126" s="59"/>
      <c r="P126" s="105"/>
      <c r="Q126" s="105"/>
      <c r="R126" s="105"/>
      <c r="S126" s="105"/>
      <c r="T126" s="105"/>
      <c r="U126" s="90"/>
      <c r="V126" s="90"/>
      <c r="W126" s="90"/>
      <c r="X126" s="93"/>
      <c r="Y126" s="93"/>
      <c r="Z126" s="93"/>
      <c r="AA126" s="29">
        <v>0</v>
      </c>
      <c r="AB126" s="145">
        <v>0</v>
      </c>
      <c r="AC126" s="145">
        <v>0</v>
      </c>
      <c r="AD126" s="145">
        <v>0</v>
      </c>
      <c r="AE126" s="145">
        <v>0</v>
      </c>
      <c r="AF126" s="145">
        <v>0</v>
      </c>
      <c r="AG126" s="145">
        <v>0</v>
      </c>
      <c r="AH126" s="142">
        <f t="shared" si="11"/>
        <v>0</v>
      </c>
      <c r="AI126" s="141"/>
      <c r="AJ126" s="67"/>
      <c r="AK126" s="67"/>
      <c r="AL126" s="24"/>
      <c r="AM126" s="24"/>
      <c r="AN126" s="24"/>
      <c r="AO126" s="71"/>
      <c r="AP126" s="69"/>
      <c r="AQ126" s="141"/>
      <c r="AR126" s="141"/>
      <c r="AS126" s="141"/>
      <c r="AT126" s="141"/>
      <c r="AU126" s="141"/>
      <c r="AV126" s="141"/>
      <c r="AW126" s="141"/>
      <c r="AX126" s="141"/>
      <c r="AY126" s="141"/>
      <c r="AZ126" s="141"/>
    </row>
    <row r="127" spans="1:52" ht="45" customHeight="1">
      <c r="A127" s="153">
        <f t="shared" si="10"/>
        <v>124</v>
      </c>
      <c r="B127" s="153"/>
      <c r="C127" s="140"/>
      <c r="D127" s="28"/>
      <c r="E127" s="69"/>
      <c r="F127" s="39">
        <v>0</v>
      </c>
      <c r="G127" s="21"/>
      <c r="H127" s="21"/>
      <c r="I127" s="21"/>
      <c r="J127" s="141"/>
      <c r="K127" s="21"/>
      <c r="L127" s="69"/>
      <c r="M127" s="141"/>
      <c r="N127" s="59"/>
      <c r="O127" s="59"/>
      <c r="P127" s="105"/>
      <c r="Q127" s="105"/>
      <c r="R127" s="105"/>
      <c r="S127" s="105"/>
      <c r="T127" s="105"/>
      <c r="U127" s="90"/>
      <c r="V127" s="90"/>
      <c r="W127" s="90"/>
      <c r="X127" s="93"/>
      <c r="Y127" s="93"/>
      <c r="Z127" s="93"/>
      <c r="AA127" s="29">
        <v>0</v>
      </c>
      <c r="AB127" s="145">
        <v>0</v>
      </c>
      <c r="AC127" s="145">
        <v>0</v>
      </c>
      <c r="AD127" s="145">
        <v>0</v>
      </c>
      <c r="AE127" s="145">
        <v>0</v>
      </c>
      <c r="AF127" s="145">
        <v>0</v>
      </c>
      <c r="AG127" s="145">
        <v>0</v>
      </c>
      <c r="AH127" s="142">
        <f t="shared" si="11"/>
        <v>0</v>
      </c>
      <c r="AI127" s="141"/>
      <c r="AJ127" s="67"/>
      <c r="AK127" s="67"/>
      <c r="AL127" s="24"/>
      <c r="AM127" s="24"/>
      <c r="AN127" s="24"/>
      <c r="AO127" s="71"/>
      <c r="AP127" s="69"/>
      <c r="AQ127" s="141"/>
      <c r="AR127" s="141"/>
      <c r="AS127" s="141"/>
      <c r="AT127" s="141"/>
      <c r="AU127" s="141"/>
      <c r="AV127" s="141"/>
      <c r="AW127" s="141"/>
      <c r="AX127" s="141"/>
      <c r="AY127" s="141"/>
      <c r="AZ127" s="141"/>
    </row>
    <row r="128" spans="1:52" ht="45" customHeight="1">
      <c r="A128" s="153">
        <f t="shared" si="10"/>
        <v>125</v>
      </c>
      <c r="B128" s="153"/>
      <c r="C128" s="140"/>
      <c r="D128" s="28"/>
      <c r="E128" s="69"/>
      <c r="F128" s="39">
        <v>0</v>
      </c>
      <c r="G128" s="21"/>
      <c r="H128" s="21"/>
      <c r="I128" s="21"/>
      <c r="J128" s="141"/>
      <c r="K128" s="21"/>
      <c r="L128" s="69"/>
      <c r="M128" s="141"/>
      <c r="N128" s="59"/>
      <c r="O128" s="59"/>
      <c r="P128" s="105"/>
      <c r="Q128" s="105"/>
      <c r="R128" s="105"/>
      <c r="S128" s="105"/>
      <c r="T128" s="105"/>
      <c r="U128" s="90"/>
      <c r="V128" s="90"/>
      <c r="W128" s="90"/>
      <c r="X128" s="93"/>
      <c r="Y128" s="93"/>
      <c r="Z128" s="93"/>
      <c r="AA128" s="29">
        <v>0</v>
      </c>
      <c r="AB128" s="145">
        <v>0</v>
      </c>
      <c r="AC128" s="145">
        <v>0</v>
      </c>
      <c r="AD128" s="145">
        <v>0</v>
      </c>
      <c r="AE128" s="145">
        <v>0</v>
      </c>
      <c r="AF128" s="145">
        <v>0</v>
      </c>
      <c r="AG128" s="145">
        <v>0</v>
      </c>
      <c r="AH128" s="142">
        <f t="shared" si="11"/>
        <v>0</v>
      </c>
      <c r="AI128" s="141"/>
      <c r="AJ128" s="67"/>
      <c r="AK128" s="67"/>
      <c r="AL128" s="24"/>
      <c r="AM128" s="24"/>
      <c r="AN128" s="24"/>
      <c r="AO128" s="71"/>
      <c r="AP128" s="69"/>
      <c r="AQ128" s="141"/>
      <c r="AR128" s="141"/>
      <c r="AS128" s="141"/>
      <c r="AT128" s="141"/>
      <c r="AU128" s="141"/>
      <c r="AV128" s="141"/>
      <c r="AW128" s="141"/>
      <c r="AX128" s="141"/>
      <c r="AY128" s="141"/>
      <c r="AZ128" s="141"/>
    </row>
    <row r="129" spans="1:52" ht="45" customHeight="1">
      <c r="A129" s="153">
        <f t="shared" si="10"/>
        <v>126</v>
      </c>
      <c r="B129" s="153"/>
      <c r="C129" s="140"/>
      <c r="D129" s="28"/>
      <c r="E129" s="69"/>
      <c r="F129" s="39">
        <v>0</v>
      </c>
      <c r="G129" s="21"/>
      <c r="H129" s="21"/>
      <c r="I129" s="21"/>
      <c r="J129" s="141"/>
      <c r="K129" s="21"/>
      <c r="L129" s="69"/>
      <c r="M129" s="141"/>
      <c r="N129" s="59"/>
      <c r="O129" s="59"/>
      <c r="P129" s="105"/>
      <c r="Q129" s="105"/>
      <c r="R129" s="105"/>
      <c r="S129" s="105"/>
      <c r="T129" s="105"/>
      <c r="U129" s="90"/>
      <c r="V129" s="90"/>
      <c r="W129" s="90"/>
      <c r="X129" s="93"/>
      <c r="Y129" s="93"/>
      <c r="Z129" s="93"/>
      <c r="AA129" s="29">
        <v>0</v>
      </c>
      <c r="AB129" s="145">
        <v>0</v>
      </c>
      <c r="AC129" s="145">
        <v>0</v>
      </c>
      <c r="AD129" s="145">
        <v>0</v>
      </c>
      <c r="AE129" s="145">
        <v>0</v>
      </c>
      <c r="AF129" s="145">
        <v>0</v>
      </c>
      <c r="AG129" s="145">
        <v>0</v>
      </c>
      <c r="AH129" s="142">
        <f t="shared" si="11"/>
        <v>0</v>
      </c>
      <c r="AI129" s="141"/>
      <c r="AJ129" s="67"/>
      <c r="AK129" s="67"/>
      <c r="AL129" s="24"/>
      <c r="AM129" s="24"/>
      <c r="AN129" s="24"/>
      <c r="AO129" s="71"/>
      <c r="AP129" s="69"/>
      <c r="AQ129" s="141"/>
      <c r="AR129" s="141"/>
      <c r="AS129" s="141"/>
      <c r="AT129" s="141"/>
      <c r="AU129" s="141"/>
      <c r="AV129" s="141"/>
      <c r="AW129" s="141"/>
      <c r="AX129" s="141"/>
      <c r="AY129" s="141"/>
      <c r="AZ129" s="141"/>
    </row>
    <row r="130" spans="1:52" ht="45" customHeight="1">
      <c r="A130" s="153">
        <f t="shared" si="10"/>
        <v>127</v>
      </c>
      <c r="B130" s="153"/>
      <c r="C130" s="140"/>
      <c r="D130" s="28"/>
      <c r="E130" s="69"/>
      <c r="F130" s="39">
        <v>0</v>
      </c>
      <c r="G130" s="21"/>
      <c r="H130" s="21"/>
      <c r="I130" s="21"/>
      <c r="J130" s="141"/>
      <c r="K130" s="21"/>
      <c r="L130" s="69"/>
      <c r="M130" s="141"/>
      <c r="N130" s="59"/>
      <c r="O130" s="59"/>
      <c r="P130" s="105"/>
      <c r="Q130" s="105"/>
      <c r="R130" s="105"/>
      <c r="S130" s="105"/>
      <c r="T130" s="105"/>
      <c r="U130" s="90"/>
      <c r="V130" s="90"/>
      <c r="W130" s="90"/>
      <c r="X130" s="93"/>
      <c r="Y130" s="93"/>
      <c r="Z130" s="93"/>
      <c r="AA130" s="29">
        <v>0</v>
      </c>
      <c r="AB130" s="145">
        <v>0</v>
      </c>
      <c r="AC130" s="145">
        <v>0</v>
      </c>
      <c r="AD130" s="145">
        <v>0</v>
      </c>
      <c r="AE130" s="145">
        <v>0</v>
      </c>
      <c r="AF130" s="145">
        <v>0</v>
      </c>
      <c r="AG130" s="145">
        <v>0</v>
      </c>
      <c r="AH130" s="142">
        <f t="shared" si="11"/>
        <v>0</v>
      </c>
      <c r="AI130" s="141"/>
      <c r="AJ130" s="67"/>
      <c r="AK130" s="67"/>
      <c r="AL130" s="24"/>
      <c r="AM130" s="24"/>
      <c r="AN130" s="24"/>
      <c r="AO130" s="71"/>
      <c r="AP130" s="69"/>
      <c r="AQ130" s="141"/>
      <c r="AR130" s="141"/>
      <c r="AS130" s="141"/>
      <c r="AT130" s="141"/>
      <c r="AU130" s="141"/>
      <c r="AV130" s="141"/>
      <c r="AW130" s="141"/>
      <c r="AX130" s="141"/>
      <c r="AY130" s="141"/>
      <c r="AZ130" s="141"/>
    </row>
    <row r="131" spans="1:52" ht="45" customHeight="1">
      <c r="A131" s="153">
        <f t="shared" si="10"/>
        <v>128</v>
      </c>
      <c r="B131" s="153"/>
      <c r="C131" s="140"/>
      <c r="D131" s="28"/>
      <c r="E131" s="69"/>
      <c r="F131" s="39">
        <v>0</v>
      </c>
      <c r="G131" s="21"/>
      <c r="H131" s="21"/>
      <c r="I131" s="21"/>
      <c r="J131" s="141"/>
      <c r="K131" s="21"/>
      <c r="L131" s="69"/>
      <c r="M131" s="141"/>
      <c r="N131" s="59"/>
      <c r="O131" s="59"/>
      <c r="P131" s="105"/>
      <c r="Q131" s="105"/>
      <c r="R131" s="105"/>
      <c r="S131" s="105"/>
      <c r="T131" s="105"/>
      <c r="U131" s="90"/>
      <c r="V131" s="90"/>
      <c r="W131" s="90"/>
      <c r="X131" s="93"/>
      <c r="Y131" s="93"/>
      <c r="Z131" s="93"/>
      <c r="AA131" s="29">
        <v>0</v>
      </c>
      <c r="AB131" s="145">
        <v>0</v>
      </c>
      <c r="AC131" s="145">
        <v>0</v>
      </c>
      <c r="AD131" s="145">
        <v>0</v>
      </c>
      <c r="AE131" s="145">
        <v>0</v>
      </c>
      <c r="AF131" s="145">
        <v>0</v>
      </c>
      <c r="AG131" s="145">
        <v>0</v>
      </c>
      <c r="AH131" s="142">
        <f t="shared" si="11"/>
        <v>0</v>
      </c>
      <c r="AI131" s="141"/>
      <c r="AJ131" s="67"/>
      <c r="AK131" s="67"/>
      <c r="AL131" s="24"/>
      <c r="AM131" s="24"/>
      <c r="AN131" s="24"/>
      <c r="AO131" s="71"/>
      <c r="AP131" s="69"/>
      <c r="AQ131" s="141"/>
      <c r="AR131" s="141"/>
      <c r="AS131" s="141"/>
      <c r="AT131" s="141"/>
      <c r="AU131" s="141"/>
      <c r="AV131" s="141"/>
      <c r="AW131" s="141"/>
      <c r="AX131" s="141"/>
      <c r="AY131" s="141"/>
      <c r="AZ131" s="141"/>
    </row>
    <row r="132" spans="1:52" ht="45" customHeight="1">
      <c r="A132" s="153">
        <f t="shared" ref="A132:A155" si="12">A131+1</f>
        <v>129</v>
      </c>
      <c r="B132" s="153"/>
      <c r="C132" s="140"/>
      <c r="D132" s="28"/>
      <c r="E132" s="69"/>
      <c r="F132" s="39">
        <v>0</v>
      </c>
      <c r="G132" s="21"/>
      <c r="H132" s="21"/>
      <c r="I132" s="21"/>
      <c r="J132" s="141"/>
      <c r="K132" s="21"/>
      <c r="L132" s="69"/>
      <c r="M132" s="141"/>
      <c r="N132" s="59"/>
      <c r="O132" s="59"/>
      <c r="P132" s="105"/>
      <c r="Q132" s="105"/>
      <c r="R132" s="105"/>
      <c r="S132" s="105"/>
      <c r="T132" s="105"/>
      <c r="U132" s="90"/>
      <c r="V132" s="90"/>
      <c r="W132" s="90"/>
      <c r="X132" s="93"/>
      <c r="Y132" s="93"/>
      <c r="Z132" s="93"/>
      <c r="AA132" s="29">
        <v>0</v>
      </c>
      <c r="AB132" s="145">
        <v>0</v>
      </c>
      <c r="AC132" s="145">
        <v>0</v>
      </c>
      <c r="AD132" s="145">
        <v>0</v>
      </c>
      <c r="AE132" s="145">
        <v>0</v>
      </c>
      <c r="AF132" s="145">
        <v>0</v>
      </c>
      <c r="AG132" s="145">
        <v>0</v>
      </c>
      <c r="AH132" s="142">
        <f t="shared" si="11"/>
        <v>0</v>
      </c>
      <c r="AI132" s="141"/>
      <c r="AJ132" s="67"/>
      <c r="AK132" s="67"/>
      <c r="AL132" s="24"/>
      <c r="AM132" s="24"/>
      <c r="AN132" s="24"/>
      <c r="AO132" s="71"/>
      <c r="AP132" s="69"/>
      <c r="AQ132" s="141"/>
      <c r="AR132" s="141"/>
      <c r="AS132" s="141"/>
      <c r="AT132" s="141"/>
      <c r="AU132" s="141"/>
      <c r="AV132" s="141"/>
      <c r="AW132" s="141"/>
      <c r="AX132" s="141"/>
      <c r="AY132" s="141"/>
      <c r="AZ132" s="141"/>
    </row>
    <row r="133" spans="1:52" ht="45" customHeight="1">
      <c r="A133" s="153">
        <f t="shared" si="12"/>
        <v>130</v>
      </c>
      <c r="B133" s="153"/>
      <c r="C133" s="140"/>
      <c r="D133" s="28"/>
      <c r="E133" s="69"/>
      <c r="F133" s="39">
        <v>0</v>
      </c>
      <c r="G133" s="21"/>
      <c r="H133" s="21"/>
      <c r="I133" s="21"/>
      <c r="J133" s="141"/>
      <c r="K133" s="21"/>
      <c r="L133" s="69"/>
      <c r="M133" s="141"/>
      <c r="N133" s="59"/>
      <c r="O133" s="59"/>
      <c r="P133" s="105"/>
      <c r="Q133" s="105"/>
      <c r="R133" s="105"/>
      <c r="S133" s="105"/>
      <c r="T133" s="105"/>
      <c r="U133" s="90"/>
      <c r="V133" s="90"/>
      <c r="W133" s="90"/>
      <c r="X133" s="93"/>
      <c r="Y133" s="93"/>
      <c r="Z133" s="93"/>
      <c r="AA133" s="29">
        <v>0</v>
      </c>
      <c r="AB133" s="145">
        <v>0</v>
      </c>
      <c r="AC133" s="145">
        <v>0</v>
      </c>
      <c r="AD133" s="145">
        <v>0</v>
      </c>
      <c r="AE133" s="145">
        <v>0</v>
      </c>
      <c r="AF133" s="145">
        <v>0</v>
      </c>
      <c r="AG133" s="145">
        <v>0</v>
      </c>
      <c r="AH133" s="142">
        <f t="shared" si="11"/>
        <v>0</v>
      </c>
      <c r="AI133" s="141"/>
      <c r="AJ133" s="67"/>
      <c r="AK133" s="67"/>
      <c r="AL133" s="24"/>
      <c r="AM133" s="24"/>
      <c r="AN133" s="24"/>
      <c r="AO133" s="71"/>
      <c r="AP133" s="69"/>
      <c r="AQ133" s="141"/>
      <c r="AR133" s="141"/>
      <c r="AS133" s="141"/>
      <c r="AT133" s="141"/>
      <c r="AU133" s="141"/>
      <c r="AV133" s="141"/>
      <c r="AW133" s="141"/>
      <c r="AX133" s="141"/>
      <c r="AY133" s="141"/>
      <c r="AZ133" s="141"/>
    </row>
    <row r="134" spans="1:52" ht="45" customHeight="1">
      <c r="A134" s="153">
        <f t="shared" si="12"/>
        <v>131</v>
      </c>
      <c r="B134" s="153"/>
      <c r="C134" s="140"/>
      <c r="D134" s="28"/>
      <c r="E134" s="69"/>
      <c r="F134" s="39">
        <v>0</v>
      </c>
      <c r="G134" s="21"/>
      <c r="H134" s="21"/>
      <c r="I134" s="21"/>
      <c r="J134" s="141"/>
      <c r="K134" s="21"/>
      <c r="L134" s="69"/>
      <c r="M134" s="141"/>
      <c r="N134" s="59"/>
      <c r="O134" s="59"/>
      <c r="P134" s="105"/>
      <c r="Q134" s="105"/>
      <c r="R134" s="105"/>
      <c r="S134" s="105"/>
      <c r="T134" s="105"/>
      <c r="U134" s="90"/>
      <c r="V134" s="90"/>
      <c r="W134" s="90"/>
      <c r="X134" s="93"/>
      <c r="Y134" s="93"/>
      <c r="Z134" s="93"/>
      <c r="AA134" s="29">
        <v>0</v>
      </c>
      <c r="AB134" s="145">
        <v>0</v>
      </c>
      <c r="AC134" s="145">
        <v>0</v>
      </c>
      <c r="AD134" s="145">
        <v>0</v>
      </c>
      <c r="AE134" s="145">
        <v>0</v>
      </c>
      <c r="AF134" s="145">
        <v>0</v>
      </c>
      <c r="AG134" s="145">
        <v>0</v>
      </c>
      <c r="AH134" s="142">
        <f t="shared" si="11"/>
        <v>0</v>
      </c>
      <c r="AI134" s="141"/>
      <c r="AJ134" s="67"/>
      <c r="AK134" s="67"/>
      <c r="AL134" s="24"/>
      <c r="AM134" s="24"/>
      <c r="AN134" s="24"/>
      <c r="AO134" s="71"/>
      <c r="AP134" s="69"/>
      <c r="AQ134" s="141"/>
      <c r="AR134" s="141"/>
      <c r="AS134" s="141"/>
      <c r="AT134" s="141"/>
      <c r="AU134" s="141"/>
      <c r="AV134" s="141"/>
      <c r="AW134" s="141"/>
      <c r="AX134" s="141"/>
      <c r="AY134" s="141"/>
      <c r="AZ134" s="141"/>
    </row>
    <row r="135" spans="1:52" ht="45" customHeight="1">
      <c r="A135" s="153">
        <f t="shared" si="12"/>
        <v>132</v>
      </c>
      <c r="B135" s="153"/>
      <c r="C135" s="140"/>
      <c r="D135" s="28"/>
      <c r="E135" s="69"/>
      <c r="F135" s="39">
        <v>0</v>
      </c>
      <c r="G135" s="21"/>
      <c r="H135" s="21"/>
      <c r="I135" s="21"/>
      <c r="J135" s="141"/>
      <c r="K135" s="21"/>
      <c r="L135" s="69"/>
      <c r="M135" s="141"/>
      <c r="N135" s="59"/>
      <c r="O135" s="59"/>
      <c r="P135" s="105"/>
      <c r="Q135" s="105"/>
      <c r="R135" s="105"/>
      <c r="S135" s="105"/>
      <c r="T135" s="105"/>
      <c r="U135" s="90"/>
      <c r="V135" s="90"/>
      <c r="W135" s="90"/>
      <c r="X135" s="93"/>
      <c r="Y135" s="93"/>
      <c r="Z135" s="93"/>
      <c r="AA135" s="29">
        <v>0</v>
      </c>
      <c r="AB135" s="145">
        <v>0</v>
      </c>
      <c r="AC135" s="145">
        <v>0</v>
      </c>
      <c r="AD135" s="145">
        <v>0</v>
      </c>
      <c r="AE135" s="145">
        <v>0</v>
      </c>
      <c r="AF135" s="145">
        <v>0</v>
      </c>
      <c r="AG135" s="145">
        <v>0</v>
      </c>
      <c r="AH135" s="142">
        <f t="shared" si="11"/>
        <v>0</v>
      </c>
      <c r="AI135" s="141"/>
      <c r="AJ135" s="67"/>
      <c r="AK135" s="67"/>
      <c r="AL135" s="24"/>
      <c r="AM135" s="24"/>
      <c r="AN135" s="24"/>
      <c r="AO135" s="71"/>
      <c r="AP135" s="69"/>
      <c r="AQ135" s="141"/>
      <c r="AR135" s="141"/>
      <c r="AS135" s="141"/>
      <c r="AT135" s="141"/>
      <c r="AU135" s="141"/>
      <c r="AV135" s="141"/>
      <c r="AW135" s="141"/>
      <c r="AX135" s="141"/>
      <c r="AY135" s="141"/>
      <c r="AZ135" s="141"/>
    </row>
    <row r="136" spans="1:52" ht="45" customHeight="1">
      <c r="A136" s="153">
        <f t="shared" si="12"/>
        <v>133</v>
      </c>
      <c r="B136" s="153"/>
      <c r="C136" s="140"/>
      <c r="D136" s="28"/>
      <c r="E136" s="69"/>
      <c r="F136" s="39">
        <v>0</v>
      </c>
      <c r="G136" s="21"/>
      <c r="H136" s="21"/>
      <c r="I136" s="21"/>
      <c r="J136" s="141"/>
      <c r="K136" s="21"/>
      <c r="L136" s="69"/>
      <c r="M136" s="141"/>
      <c r="N136" s="59"/>
      <c r="O136" s="59"/>
      <c r="P136" s="105"/>
      <c r="Q136" s="105"/>
      <c r="R136" s="105"/>
      <c r="S136" s="105"/>
      <c r="T136" s="105"/>
      <c r="U136" s="90"/>
      <c r="V136" s="90"/>
      <c r="W136" s="90"/>
      <c r="X136" s="93"/>
      <c r="Y136" s="93"/>
      <c r="Z136" s="93"/>
      <c r="AA136" s="29">
        <v>0</v>
      </c>
      <c r="AB136" s="145">
        <v>0</v>
      </c>
      <c r="AC136" s="145">
        <v>0</v>
      </c>
      <c r="AD136" s="145">
        <v>0</v>
      </c>
      <c r="AE136" s="145">
        <v>0</v>
      </c>
      <c r="AF136" s="145">
        <v>0</v>
      </c>
      <c r="AG136" s="145">
        <v>0</v>
      </c>
      <c r="AH136" s="142">
        <f t="shared" si="11"/>
        <v>0</v>
      </c>
      <c r="AI136" s="141"/>
      <c r="AJ136" s="67"/>
      <c r="AK136" s="67"/>
      <c r="AL136" s="24"/>
      <c r="AM136" s="24"/>
      <c r="AN136" s="24"/>
      <c r="AO136" s="71"/>
      <c r="AP136" s="69"/>
      <c r="AQ136" s="141"/>
      <c r="AR136" s="141"/>
      <c r="AS136" s="141"/>
      <c r="AT136" s="141"/>
      <c r="AU136" s="141"/>
      <c r="AV136" s="141"/>
      <c r="AW136" s="141"/>
      <c r="AX136" s="141"/>
      <c r="AY136" s="141"/>
      <c r="AZ136" s="141"/>
    </row>
    <row r="137" spans="1:52" ht="45" customHeight="1">
      <c r="A137" s="153">
        <f t="shared" si="12"/>
        <v>134</v>
      </c>
      <c r="B137" s="153"/>
      <c r="C137" s="152"/>
      <c r="D137" s="28"/>
      <c r="E137" s="69"/>
      <c r="F137" s="39">
        <v>0</v>
      </c>
      <c r="G137" s="21"/>
      <c r="H137" s="21"/>
      <c r="I137" s="21"/>
      <c r="J137" s="141"/>
      <c r="K137" s="21"/>
      <c r="L137" s="69"/>
      <c r="M137" s="141"/>
      <c r="N137" s="59"/>
      <c r="O137" s="59"/>
      <c r="P137" s="105"/>
      <c r="Q137" s="105"/>
      <c r="R137" s="105"/>
      <c r="S137" s="105"/>
      <c r="T137" s="105"/>
      <c r="U137" s="90"/>
      <c r="V137" s="90"/>
      <c r="W137" s="90"/>
      <c r="X137" s="93"/>
      <c r="Y137" s="93"/>
      <c r="Z137" s="93"/>
      <c r="AA137" s="29">
        <v>0</v>
      </c>
      <c r="AB137" s="145">
        <v>0</v>
      </c>
      <c r="AC137" s="145">
        <v>0</v>
      </c>
      <c r="AD137" s="145">
        <v>0</v>
      </c>
      <c r="AE137" s="145">
        <v>0</v>
      </c>
      <c r="AF137" s="145">
        <v>0</v>
      </c>
      <c r="AG137" s="145">
        <v>0</v>
      </c>
      <c r="AH137" s="142">
        <f t="shared" si="11"/>
        <v>0</v>
      </c>
      <c r="AI137" s="141"/>
      <c r="AJ137" s="67"/>
      <c r="AK137" s="67"/>
      <c r="AL137" s="24"/>
      <c r="AM137" s="24"/>
      <c r="AN137" s="24"/>
      <c r="AO137" s="71"/>
      <c r="AP137" s="69"/>
      <c r="AQ137" s="141"/>
      <c r="AR137" s="141"/>
      <c r="AS137" s="141"/>
      <c r="AT137" s="141"/>
      <c r="AU137" s="141"/>
      <c r="AV137" s="141"/>
      <c r="AW137" s="141"/>
      <c r="AX137" s="141"/>
      <c r="AY137" s="141"/>
      <c r="AZ137" s="141"/>
    </row>
    <row r="138" spans="1:52" ht="45" customHeight="1">
      <c r="A138" s="153">
        <f t="shared" si="12"/>
        <v>135</v>
      </c>
      <c r="B138" s="153"/>
      <c r="C138" s="153"/>
      <c r="D138" s="28"/>
      <c r="E138" s="69"/>
      <c r="F138" s="39">
        <v>0</v>
      </c>
      <c r="G138" s="21"/>
      <c r="H138" s="21"/>
      <c r="I138" s="21"/>
      <c r="J138" s="141"/>
      <c r="K138" s="21"/>
      <c r="L138" s="69"/>
      <c r="M138" s="141"/>
      <c r="N138" s="59"/>
      <c r="O138" s="59"/>
      <c r="P138" s="105"/>
      <c r="Q138" s="105"/>
      <c r="R138" s="105"/>
      <c r="S138" s="105"/>
      <c r="T138" s="105"/>
      <c r="U138" s="90"/>
      <c r="V138" s="90"/>
      <c r="W138" s="90"/>
      <c r="X138" s="93"/>
      <c r="Y138" s="93"/>
      <c r="Z138" s="93"/>
      <c r="AA138" s="29">
        <v>0</v>
      </c>
      <c r="AB138" s="145">
        <v>0</v>
      </c>
      <c r="AC138" s="145">
        <v>0</v>
      </c>
      <c r="AD138" s="145">
        <v>0</v>
      </c>
      <c r="AE138" s="145">
        <v>0</v>
      </c>
      <c r="AF138" s="145">
        <v>0</v>
      </c>
      <c r="AG138" s="145">
        <v>0</v>
      </c>
      <c r="AH138" s="142">
        <f t="shared" si="11"/>
        <v>0</v>
      </c>
      <c r="AI138" s="141"/>
      <c r="AJ138" s="67"/>
      <c r="AK138" s="67"/>
      <c r="AL138" s="24"/>
      <c r="AM138" s="24"/>
      <c r="AN138" s="24"/>
      <c r="AO138" s="71"/>
      <c r="AP138" s="69"/>
      <c r="AQ138" s="141"/>
      <c r="AR138" s="141"/>
      <c r="AS138" s="141"/>
      <c r="AT138" s="141"/>
      <c r="AU138" s="141"/>
      <c r="AV138" s="141"/>
      <c r="AW138" s="141"/>
      <c r="AX138" s="141"/>
      <c r="AY138" s="141"/>
      <c r="AZ138" s="141"/>
    </row>
    <row r="139" spans="1:52" ht="45" customHeight="1">
      <c r="A139" s="153">
        <f t="shared" si="12"/>
        <v>136</v>
      </c>
      <c r="B139" s="153"/>
      <c r="C139" s="153"/>
      <c r="D139" s="28"/>
      <c r="E139" s="69"/>
      <c r="F139" s="39">
        <v>0</v>
      </c>
      <c r="G139" s="21"/>
      <c r="H139" s="21"/>
      <c r="I139" s="21"/>
      <c r="J139" s="141"/>
      <c r="K139" s="21"/>
      <c r="L139" s="69"/>
      <c r="M139" s="141"/>
      <c r="N139" s="59"/>
      <c r="O139" s="59"/>
      <c r="P139" s="105"/>
      <c r="Q139" s="105"/>
      <c r="R139" s="105"/>
      <c r="S139" s="105"/>
      <c r="T139" s="105"/>
      <c r="U139" s="90"/>
      <c r="V139" s="90"/>
      <c r="W139" s="90"/>
      <c r="X139" s="93"/>
      <c r="Y139" s="93"/>
      <c r="Z139" s="93"/>
      <c r="AA139" s="29">
        <v>0</v>
      </c>
      <c r="AB139" s="145">
        <v>0</v>
      </c>
      <c r="AC139" s="145">
        <v>0</v>
      </c>
      <c r="AD139" s="145">
        <v>0</v>
      </c>
      <c r="AE139" s="145">
        <v>0</v>
      </c>
      <c r="AF139" s="145">
        <v>0</v>
      </c>
      <c r="AG139" s="145">
        <v>0</v>
      </c>
      <c r="AH139" s="142">
        <f t="shared" si="11"/>
        <v>0</v>
      </c>
      <c r="AI139" s="141"/>
      <c r="AJ139" s="67"/>
      <c r="AK139" s="67"/>
      <c r="AL139" s="24"/>
      <c r="AM139" s="24"/>
      <c r="AN139" s="24"/>
      <c r="AO139" s="71"/>
      <c r="AP139" s="69"/>
      <c r="AQ139" s="141"/>
      <c r="AR139" s="141"/>
      <c r="AS139" s="141"/>
      <c r="AT139" s="141"/>
      <c r="AU139" s="141"/>
      <c r="AV139" s="141"/>
      <c r="AW139" s="141"/>
      <c r="AX139" s="141"/>
      <c r="AY139" s="141"/>
      <c r="AZ139" s="141"/>
    </row>
    <row r="140" spans="1:52" ht="45" customHeight="1">
      <c r="A140" s="153">
        <f t="shared" si="12"/>
        <v>137</v>
      </c>
      <c r="B140" s="153"/>
      <c r="C140" s="153"/>
      <c r="D140" s="28"/>
      <c r="E140" s="69"/>
      <c r="F140" s="39">
        <v>0</v>
      </c>
      <c r="G140" s="21"/>
      <c r="H140" s="21"/>
      <c r="I140" s="21"/>
      <c r="J140" s="141"/>
      <c r="K140" s="21"/>
      <c r="L140" s="69"/>
      <c r="M140" s="141"/>
      <c r="N140" s="59"/>
      <c r="O140" s="59"/>
      <c r="P140" s="105"/>
      <c r="Q140" s="105"/>
      <c r="R140" s="105"/>
      <c r="S140" s="105"/>
      <c r="T140" s="105"/>
      <c r="U140" s="90"/>
      <c r="V140" s="90"/>
      <c r="W140" s="90"/>
      <c r="X140" s="93"/>
      <c r="Y140" s="93"/>
      <c r="Z140" s="93"/>
      <c r="AA140" s="29">
        <v>0</v>
      </c>
      <c r="AB140" s="145">
        <v>0</v>
      </c>
      <c r="AC140" s="145">
        <v>0</v>
      </c>
      <c r="AD140" s="145">
        <v>0</v>
      </c>
      <c r="AE140" s="145">
        <v>0</v>
      </c>
      <c r="AF140" s="145">
        <v>0</v>
      </c>
      <c r="AG140" s="145">
        <v>0</v>
      </c>
      <c r="AH140" s="142">
        <f t="shared" si="11"/>
        <v>0</v>
      </c>
      <c r="AI140" s="141"/>
      <c r="AJ140" s="67"/>
      <c r="AK140" s="67"/>
      <c r="AL140" s="24"/>
      <c r="AM140" s="24"/>
      <c r="AN140" s="24"/>
      <c r="AO140" s="71"/>
      <c r="AP140" s="69"/>
      <c r="AQ140" s="141"/>
      <c r="AR140" s="141"/>
      <c r="AS140" s="141"/>
      <c r="AT140" s="141"/>
      <c r="AU140" s="141"/>
      <c r="AV140" s="141"/>
      <c r="AW140" s="141"/>
      <c r="AX140" s="141"/>
      <c r="AY140" s="141"/>
      <c r="AZ140" s="141"/>
    </row>
    <row r="141" spans="1:52" ht="45" customHeight="1">
      <c r="A141" s="153">
        <f t="shared" si="12"/>
        <v>138</v>
      </c>
      <c r="B141" s="153"/>
      <c r="C141" s="153"/>
      <c r="D141" s="28"/>
      <c r="E141" s="69"/>
      <c r="F141" s="39">
        <v>0</v>
      </c>
      <c r="G141" s="21"/>
      <c r="H141" s="21"/>
      <c r="I141" s="21"/>
      <c r="J141" s="141"/>
      <c r="K141" s="21"/>
      <c r="L141" s="69"/>
      <c r="M141" s="141"/>
      <c r="N141" s="59"/>
      <c r="O141" s="59"/>
      <c r="P141" s="105"/>
      <c r="Q141" s="105"/>
      <c r="R141" s="105"/>
      <c r="S141" s="105"/>
      <c r="T141" s="105"/>
      <c r="U141" s="90"/>
      <c r="V141" s="90"/>
      <c r="W141" s="90"/>
      <c r="X141" s="93"/>
      <c r="Y141" s="93"/>
      <c r="Z141" s="93"/>
      <c r="AA141" s="29">
        <v>0</v>
      </c>
      <c r="AB141" s="145">
        <v>0</v>
      </c>
      <c r="AC141" s="145">
        <v>0</v>
      </c>
      <c r="AD141" s="145">
        <v>0</v>
      </c>
      <c r="AE141" s="145">
        <v>0</v>
      </c>
      <c r="AF141" s="145">
        <v>0</v>
      </c>
      <c r="AG141" s="145">
        <v>0</v>
      </c>
      <c r="AH141" s="142">
        <f t="shared" si="11"/>
        <v>0</v>
      </c>
      <c r="AI141" s="141"/>
      <c r="AJ141" s="67"/>
      <c r="AK141" s="67"/>
      <c r="AL141" s="24"/>
      <c r="AM141" s="24"/>
      <c r="AN141" s="24"/>
      <c r="AO141" s="71"/>
      <c r="AP141" s="69"/>
      <c r="AQ141" s="141"/>
      <c r="AR141" s="141"/>
      <c r="AS141" s="141"/>
      <c r="AT141" s="141"/>
      <c r="AU141" s="141"/>
      <c r="AV141" s="141"/>
      <c r="AW141" s="141"/>
      <c r="AX141" s="141"/>
      <c r="AY141" s="141"/>
      <c r="AZ141" s="141"/>
    </row>
    <row r="142" spans="1:52" ht="45" customHeight="1">
      <c r="A142" s="153">
        <f t="shared" si="12"/>
        <v>139</v>
      </c>
      <c r="B142" s="153"/>
      <c r="C142" s="153"/>
      <c r="D142" s="28"/>
      <c r="E142" s="69"/>
      <c r="F142" s="39">
        <v>0</v>
      </c>
      <c r="G142" s="21"/>
      <c r="H142" s="21"/>
      <c r="I142" s="21"/>
      <c r="J142" s="141"/>
      <c r="K142" s="21"/>
      <c r="L142" s="69"/>
      <c r="M142" s="141"/>
      <c r="N142" s="59"/>
      <c r="O142" s="59"/>
      <c r="P142" s="105"/>
      <c r="Q142" s="105"/>
      <c r="R142" s="105"/>
      <c r="S142" s="105"/>
      <c r="T142" s="105"/>
      <c r="U142" s="90"/>
      <c r="V142" s="90"/>
      <c r="W142" s="90"/>
      <c r="X142" s="93"/>
      <c r="Y142" s="93"/>
      <c r="Z142" s="93"/>
      <c r="AA142" s="29">
        <v>0</v>
      </c>
      <c r="AB142" s="145">
        <v>0</v>
      </c>
      <c r="AC142" s="145">
        <v>0</v>
      </c>
      <c r="AD142" s="145">
        <v>0</v>
      </c>
      <c r="AE142" s="145">
        <v>0</v>
      </c>
      <c r="AF142" s="145">
        <v>0</v>
      </c>
      <c r="AG142" s="145">
        <v>0</v>
      </c>
      <c r="AH142" s="142">
        <f t="shared" si="11"/>
        <v>0</v>
      </c>
      <c r="AI142" s="141"/>
      <c r="AJ142" s="67"/>
      <c r="AK142" s="67"/>
      <c r="AL142" s="24"/>
      <c r="AM142" s="24"/>
      <c r="AN142" s="24"/>
      <c r="AO142" s="71"/>
      <c r="AP142" s="69"/>
      <c r="AQ142" s="141"/>
      <c r="AR142" s="141"/>
      <c r="AS142" s="141"/>
      <c r="AT142" s="141"/>
      <c r="AU142" s="141"/>
      <c r="AV142" s="141"/>
      <c r="AW142" s="141"/>
      <c r="AX142" s="141"/>
      <c r="AY142" s="141"/>
      <c r="AZ142" s="141"/>
    </row>
    <row r="143" spans="1:52" ht="45" customHeight="1">
      <c r="A143" s="153">
        <f t="shared" si="12"/>
        <v>140</v>
      </c>
      <c r="B143" s="153"/>
      <c r="C143" s="153"/>
      <c r="D143" s="28"/>
      <c r="E143" s="69"/>
      <c r="F143" s="39">
        <v>0</v>
      </c>
      <c r="G143" s="21"/>
      <c r="H143" s="21"/>
      <c r="I143" s="21"/>
      <c r="J143" s="141"/>
      <c r="K143" s="21"/>
      <c r="L143" s="69"/>
      <c r="M143" s="141"/>
      <c r="N143" s="59"/>
      <c r="O143" s="59"/>
      <c r="P143" s="105"/>
      <c r="Q143" s="105"/>
      <c r="R143" s="105"/>
      <c r="S143" s="105"/>
      <c r="T143" s="105"/>
      <c r="U143" s="90"/>
      <c r="V143" s="90"/>
      <c r="W143" s="90"/>
      <c r="X143" s="93"/>
      <c r="Y143" s="93"/>
      <c r="Z143" s="93"/>
      <c r="AA143" s="29">
        <v>0</v>
      </c>
      <c r="AB143" s="145">
        <v>0</v>
      </c>
      <c r="AC143" s="145">
        <v>0</v>
      </c>
      <c r="AD143" s="145">
        <v>0</v>
      </c>
      <c r="AE143" s="145">
        <v>0</v>
      </c>
      <c r="AF143" s="145">
        <v>0</v>
      </c>
      <c r="AG143" s="145">
        <v>0</v>
      </c>
      <c r="AH143" s="142">
        <f t="shared" si="11"/>
        <v>0</v>
      </c>
      <c r="AI143" s="141"/>
      <c r="AJ143" s="67"/>
      <c r="AK143" s="67"/>
      <c r="AL143" s="24"/>
      <c r="AM143" s="24"/>
      <c r="AN143" s="24"/>
      <c r="AO143" s="71"/>
      <c r="AP143" s="69"/>
      <c r="AQ143" s="141"/>
      <c r="AR143" s="141"/>
      <c r="AS143" s="141"/>
      <c r="AT143" s="141"/>
      <c r="AU143" s="141"/>
      <c r="AV143" s="141"/>
      <c r="AW143" s="141"/>
      <c r="AX143" s="141"/>
      <c r="AY143" s="141"/>
      <c r="AZ143" s="141"/>
    </row>
    <row r="144" spans="1:52" ht="45" customHeight="1">
      <c r="A144" s="153">
        <f t="shared" si="12"/>
        <v>141</v>
      </c>
      <c r="B144" s="153"/>
      <c r="C144" s="153"/>
      <c r="D144" s="28"/>
      <c r="E144" s="69"/>
      <c r="F144" s="39">
        <v>0</v>
      </c>
      <c r="G144" s="21"/>
      <c r="H144" s="21"/>
      <c r="I144" s="21"/>
      <c r="J144" s="141"/>
      <c r="K144" s="21"/>
      <c r="L144" s="69"/>
      <c r="M144" s="141"/>
      <c r="N144" s="59"/>
      <c r="O144" s="59"/>
      <c r="P144" s="105"/>
      <c r="Q144" s="105"/>
      <c r="R144" s="105"/>
      <c r="S144" s="105"/>
      <c r="T144" s="105"/>
      <c r="U144" s="90"/>
      <c r="V144" s="90"/>
      <c r="W144" s="90"/>
      <c r="X144" s="93"/>
      <c r="Y144" s="93"/>
      <c r="Z144" s="93"/>
      <c r="AA144" s="29">
        <v>0</v>
      </c>
      <c r="AB144" s="145">
        <v>0</v>
      </c>
      <c r="AC144" s="145">
        <v>0</v>
      </c>
      <c r="AD144" s="145">
        <v>0</v>
      </c>
      <c r="AE144" s="145">
        <v>0</v>
      </c>
      <c r="AF144" s="145">
        <v>0</v>
      </c>
      <c r="AG144" s="145">
        <v>0</v>
      </c>
      <c r="AH144" s="142">
        <f t="shared" si="11"/>
        <v>0</v>
      </c>
      <c r="AI144" s="141"/>
      <c r="AJ144" s="67"/>
      <c r="AK144" s="67"/>
      <c r="AL144" s="24"/>
      <c r="AM144" s="24"/>
      <c r="AN144" s="24"/>
      <c r="AO144" s="71"/>
      <c r="AP144" s="69"/>
      <c r="AQ144" s="141"/>
      <c r="AR144" s="141"/>
      <c r="AS144" s="141"/>
      <c r="AT144" s="141"/>
      <c r="AU144" s="141"/>
      <c r="AV144" s="141"/>
      <c r="AW144" s="141"/>
      <c r="AX144" s="141"/>
      <c r="AY144" s="141"/>
      <c r="AZ144" s="141"/>
    </row>
    <row r="145" spans="1:52" ht="45" customHeight="1">
      <c r="A145" s="153">
        <f t="shared" si="12"/>
        <v>142</v>
      </c>
      <c r="B145" s="153"/>
      <c r="C145" s="153"/>
      <c r="D145" s="28"/>
      <c r="E145" s="69"/>
      <c r="F145" s="39">
        <v>0</v>
      </c>
      <c r="G145" s="21"/>
      <c r="H145" s="21"/>
      <c r="I145" s="21"/>
      <c r="J145" s="141"/>
      <c r="K145" s="21"/>
      <c r="L145" s="69"/>
      <c r="M145" s="141"/>
      <c r="N145" s="59">
        <v>0</v>
      </c>
      <c r="O145" s="59"/>
      <c r="P145" s="105"/>
      <c r="Q145" s="105"/>
      <c r="R145" s="105"/>
      <c r="S145" s="105"/>
      <c r="T145" s="105"/>
      <c r="U145" s="90"/>
      <c r="V145" s="90"/>
      <c r="W145" s="90"/>
      <c r="X145" s="93"/>
      <c r="Y145" s="93"/>
      <c r="Z145" s="93"/>
      <c r="AA145" s="29">
        <v>0</v>
      </c>
      <c r="AB145" s="145">
        <v>0</v>
      </c>
      <c r="AC145" s="145">
        <v>0</v>
      </c>
      <c r="AD145" s="145">
        <v>0</v>
      </c>
      <c r="AE145" s="145">
        <v>0</v>
      </c>
      <c r="AF145" s="145">
        <v>0</v>
      </c>
      <c r="AG145" s="145">
        <v>0</v>
      </c>
      <c r="AH145" s="142">
        <f t="shared" si="11"/>
        <v>0</v>
      </c>
      <c r="AI145" s="141"/>
      <c r="AJ145" s="67"/>
      <c r="AK145" s="67"/>
      <c r="AL145" s="24"/>
      <c r="AM145" s="24"/>
      <c r="AN145" s="24"/>
      <c r="AO145" s="71"/>
      <c r="AP145" s="69"/>
      <c r="AQ145" s="141"/>
      <c r="AR145" s="141"/>
      <c r="AS145" s="141"/>
      <c r="AT145" s="141"/>
      <c r="AU145" s="141"/>
      <c r="AV145" s="141"/>
      <c r="AW145" s="141"/>
      <c r="AX145" s="141"/>
      <c r="AY145" s="141"/>
      <c r="AZ145" s="141"/>
    </row>
    <row r="146" spans="1:52" ht="45" customHeight="1">
      <c r="A146" s="153">
        <f t="shared" si="12"/>
        <v>143</v>
      </c>
      <c r="B146" s="153"/>
      <c r="C146" s="153"/>
      <c r="D146" s="28"/>
      <c r="E146" s="69"/>
      <c r="F146" s="39">
        <v>0</v>
      </c>
      <c r="G146" s="21"/>
      <c r="H146" s="21"/>
      <c r="I146" s="21"/>
      <c r="J146" s="141"/>
      <c r="K146" s="21"/>
      <c r="L146" s="69"/>
      <c r="M146" s="141"/>
      <c r="N146" s="59">
        <v>0.5</v>
      </c>
      <c r="O146" s="59"/>
      <c r="P146" s="105"/>
      <c r="Q146" s="105"/>
      <c r="R146" s="105"/>
      <c r="S146" s="105"/>
      <c r="T146" s="105"/>
      <c r="U146" s="90"/>
      <c r="V146" s="90"/>
      <c r="W146" s="90"/>
      <c r="X146" s="93"/>
      <c r="Y146" s="93"/>
      <c r="Z146" s="93"/>
      <c r="AA146" s="29">
        <v>0</v>
      </c>
      <c r="AB146" s="145">
        <v>0</v>
      </c>
      <c r="AC146" s="145">
        <v>0</v>
      </c>
      <c r="AD146" s="145">
        <v>0</v>
      </c>
      <c r="AE146" s="145">
        <v>0</v>
      </c>
      <c r="AF146" s="145">
        <v>0</v>
      </c>
      <c r="AG146" s="145">
        <v>0</v>
      </c>
      <c r="AH146" s="142">
        <f t="shared" si="11"/>
        <v>0</v>
      </c>
      <c r="AI146" s="141"/>
      <c r="AJ146" s="67"/>
      <c r="AK146" s="67"/>
      <c r="AL146" s="24"/>
      <c r="AM146" s="24"/>
      <c r="AN146" s="24"/>
      <c r="AO146" s="71"/>
      <c r="AP146" s="69"/>
      <c r="AQ146" s="141"/>
      <c r="AR146" s="141"/>
      <c r="AS146" s="141"/>
      <c r="AT146" s="141"/>
      <c r="AU146" s="141"/>
      <c r="AV146" s="141"/>
      <c r="AW146" s="141"/>
      <c r="AX146" s="141"/>
      <c r="AY146" s="141"/>
      <c r="AZ146" s="141"/>
    </row>
    <row r="147" spans="1:52" ht="45" customHeight="1">
      <c r="A147" s="153">
        <f t="shared" si="12"/>
        <v>144</v>
      </c>
      <c r="B147" s="153"/>
      <c r="C147" s="153"/>
      <c r="D147" s="28"/>
      <c r="E147" s="69"/>
      <c r="F147" s="39">
        <v>0</v>
      </c>
      <c r="G147" s="21"/>
      <c r="H147" s="21"/>
      <c r="I147" s="21"/>
      <c r="J147" s="141"/>
      <c r="K147" s="21"/>
      <c r="L147" s="69"/>
      <c r="M147" s="141"/>
      <c r="N147" s="59">
        <v>1</v>
      </c>
      <c r="O147" s="59"/>
      <c r="P147" s="105"/>
      <c r="Q147" s="105"/>
      <c r="R147" s="105"/>
      <c r="S147" s="105"/>
      <c r="T147" s="105"/>
      <c r="U147" s="90"/>
      <c r="V147" s="90"/>
      <c r="W147" s="90"/>
      <c r="X147" s="93"/>
      <c r="Y147" s="93"/>
      <c r="Z147" s="93"/>
      <c r="AA147" s="29">
        <v>0</v>
      </c>
      <c r="AB147" s="145">
        <v>0</v>
      </c>
      <c r="AC147" s="145">
        <v>0</v>
      </c>
      <c r="AD147" s="145">
        <v>0</v>
      </c>
      <c r="AE147" s="145">
        <v>0</v>
      </c>
      <c r="AF147" s="145">
        <v>0</v>
      </c>
      <c r="AG147" s="145">
        <v>0</v>
      </c>
      <c r="AH147" s="142">
        <f t="shared" si="11"/>
        <v>0</v>
      </c>
      <c r="AI147" s="141"/>
      <c r="AJ147" s="67"/>
      <c r="AK147" s="67"/>
      <c r="AL147" s="24"/>
      <c r="AM147" s="24"/>
      <c r="AN147" s="24"/>
      <c r="AO147" s="71"/>
      <c r="AP147" s="69"/>
      <c r="AQ147" s="141"/>
      <c r="AR147" s="141"/>
      <c r="AS147" s="141"/>
      <c r="AT147" s="141"/>
      <c r="AU147" s="141"/>
      <c r="AV147" s="141"/>
      <c r="AW147" s="141"/>
      <c r="AX147" s="141"/>
      <c r="AY147" s="141"/>
      <c r="AZ147" s="141"/>
    </row>
    <row r="148" spans="1:52" ht="45" customHeight="1">
      <c r="A148" s="153">
        <f t="shared" si="12"/>
        <v>145</v>
      </c>
      <c r="B148" s="153"/>
      <c r="C148" s="153"/>
      <c r="D148" s="28"/>
      <c r="E148" s="69"/>
      <c r="F148" s="39">
        <v>0</v>
      </c>
      <c r="G148" s="21"/>
      <c r="H148" s="21"/>
      <c r="I148" s="21"/>
      <c r="J148" s="141"/>
      <c r="K148" s="21"/>
      <c r="L148" s="69"/>
      <c r="M148" s="141"/>
      <c r="N148" s="59">
        <v>1.5</v>
      </c>
      <c r="O148" s="59"/>
      <c r="P148" s="105"/>
      <c r="Q148" s="105"/>
      <c r="R148" s="105"/>
      <c r="S148" s="105"/>
      <c r="T148" s="105"/>
      <c r="U148" s="90"/>
      <c r="V148" s="90"/>
      <c r="W148" s="90"/>
      <c r="X148" s="93"/>
      <c r="Y148" s="93"/>
      <c r="Z148" s="93"/>
      <c r="AA148" s="29">
        <v>0</v>
      </c>
      <c r="AB148" s="145">
        <v>0</v>
      </c>
      <c r="AC148" s="145">
        <v>0</v>
      </c>
      <c r="AD148" s="145">
        <v>0</v>
      </c>
      <c r="AE148" s="145">
        <v>0</v>
      </c>
      <c r="AF148" s="145">
        <v>0</v>
      </c>
      <c r="AG148" s="145">
        <v>0</v>
      </c>
      <c r="AH148" s="142">
        <f t="shared" ref="AH148:AH179" si="13">AVERAGE(AA148:AG148)</f>
        <v>0</v>
      </c>
      <c r="AI148" s="141"/>
      <c r="AJ148" s="67"/>
      <c r="AK148" s="67"/>
      <c r="AL148" s="24"/>
      <c r="AM148" s="24"/>
      <c r="AN148" s="24"/>
      <c r="AO148" s="71"/>
      <c r="AP148" s="69"/>
      <c r="AQ148" s="141"/>
      <c r="AR148" s="141"/>
      <c r="AS148" s="141"/>
      <c r="AT148" s="141"/>
      <c r="AU148" s="141"/>
      <c r="AV148" s="141"/>
      <c r="AW148" s="141"/>
      <c r="AX148" s="141"/>
      <c r="AY148" s="141"/>
      <c r="AZ148" s="141"/>
    </row>
    <row r="149" spans="1:52" ht="45" customHeight="1">
      <c r="A149" s="153">
        <f t="shared" si="12"/>
        <v>146</v>
      </c>
      <c r="B149" s="153"/>
      <c r="C149" s="153"/>
      <c r="D149" s="28"/>
      <c r="E149" s="69"/>
      <c r="F149" s="39">
        <v>0</v>
      </c>
      <c r="G149" s="21"/>
      <c r="H149" s="21"/>
      <c r="I149" s="21"/>
      <c r="J149" s="141"/>
      <c r="K149" s="21"/>
      <c r="L149" s="69"/>
      <c r="M149" s="141"/>
      <c r="N149" s="59">
        <v>2</v>
      </c>
      <c r="O149" s="59"/>
      <c r="P149" s="105"/>
      <c r="Q149" s="105"/>
      <c r="R149" s="105"/>
      <c r="S149" s="105"/>
      <c r="T149" s="105"/>
      <c r="U149" s="90"/>
      <c r="V149" s="90"/>
      <c r="W149" s="90"/>
      <c r="X149" s="93"/>
      <c r="Y149" s="93"/>
      <c r="Z149" s="93"/>
      <c r="AA149" s="29">
        <v>0</v>
      </c>
      <c r="AB149" s="145">
        <v>0</v>
      </c>
      <c r="AC149" s="145">
        <v>0</v>
      </c>
      <c r="AD149" s="145">
        <v>0</v>
      </c>
      <c r="AE149" s="145">
        <v>0</v>
      </c>
      <c r="AF149" s="145">
        <v>0</v>
      </c>
      <c r="AG149" s="145">
        <v>0</v>
      </c>
      <c r="AH149" s="142">
        <f t="shared" si="13"/>
        <v>0</v>
      </c>
      <c r="AI149" s="141"/>
      <c r="AJ149" s="67"/>
      <c r="AK149" s="67"/>
      <c r="AL149" s="24"/>
      <c r="AM149" s="24"/>
      <c r="AN149" s="24"/>
      <c r="AO149" s="71"/>
      <c r="AP149" s="69"/>
      <c r="AQ149" s="141"/>
      <c r="AR149" s="141"/>
      <c r="AS149" s="141"/>
      <c r="AT149" s="141"/>
      <c r="AU149" s="141"/>
      <c r="AV149" s="141"/>
      <c r="AW149" s="141"/>
      <c r="AX149" s="141"/>
      <c r="AY149" s="141"/>
      <c r="AZ149" s="141"/>
    </row>
    <row r="150" spans="1:52" ht="45" customHeight="1">
      <c r="A150" s="153">
        <f t="shared" si="12"/>
        <v>147</v>
      </c>
      <c r="B150" s="153"/>
      <c r="C150" s="153"/>
      <c r="D150" s="28"/>
      <c r="E150" s="69"/>
      <c r="F150" s="39">
        <v>0</v>
      </c>
      <c r="G150" s="21"/>
      <c r="H150" s="21"/>
      <c r="I150" s="21"/>
      <c r="J150" s="141"/>
      <c r="K150" s="21"/>
      <c r="L150" s="69"/>
      <c r="M150" s="141"/>
      <c r="N150" s="59">
        <v>2.5</v>
      </c>
      <c r="O150" s="59"/>
      <c r="P150" s="105"/>
      <c r="Q150" s="105"/>
      <c r="R150" s="105"/>
      <c r="S150" s="105"/>
      <c r="T150" s="105"/>
      <c r="U150" s="90"/>
      <c r="V150" s="90"/>
      <c r="W150" s="90"/>
      <c r="X150" s="93"/>
      <c r="Y150" s="93"/>
      <c r="Z150" s="93"/>
      <c r="AA150" s="29">
        <v>0</v>
      </c>
      <c r="AB150" s="145">
        <v>0</v>
      </c>
      <c r="AC150" s="145">
        <v>0</v>
      </c>
      <c r="AD150" s="145">
        <v>0</v>
      </c>
      <c r="AE150" s="145">
        <v>0</v>
      </c>
      <c r="AF150" s="145">
        <v>0</v>
      </c>
      <c r="AG150" s="145">
        <v>0</v>
      </c>
      <c r="AH150" s="142">
        <f t="shared" si="13"/>
        <v>0</v>
      </c>
      <c r="AI150" s="141"/>
      <c r="AJ150" s="67"/>
      <c r="AK150" s="67"/>
      <c r="AL150" s="24"/>
      <c r="AM150" s="24"/>
      <c r="AN150" s="24"/>
      <c r="AO150" s="71"/>
      <c r="AP150" s="69"/>
      <c r="AQ150" s="141"/>
      <c r="AR150" s="141"/>
      <c r="AS150" s="141"/>
      <c r="AT150" s="141"/>
      <c r="AU150" s="141"/>
      <c r="AV150" s="141"/>
      <c r="AW150" s="141"/>
      <c r="AX150" s="141"/>
      <c r="AY150" s="141"/>
      <c r="AZ150" s="141"/>
    </row>
    <row r="151" spans="1:52" ht="45" customHeight="1">
      <c r="A151" s="153">
        <f t="shared" si="12"/>
        <v>148</v>
      </c>
      <c r="B151" s="153"/>
      <c r="C151" s="153"/>
      <c r="D151" s="28"/>
      <c r="E151" s="69"/>
      <c r="F151" s="39">
        <v>0</v>
      </c>
      <c r="G151" s="25"/>
      <c r="H151" s="25"/>
      <c r="I151" s="25"/>
      <c r="J151" s="154"/>
      <c r="K151" s="25"/>
      <c r="L151" s="69"/>
      <c r="M151" s="141"/>
      <c r="N151" s="59">
        <v>3</v>
      </c>
      <c r="O151" s="59"/>
      <c r="P151" s="105"/>
      <c r="Q151" s="105"/>
      <c r="R151" s="105"/>
      <c r="S151" s="105"/>
      <c r="T151" s="105"/>
      <c r="U151" s="90"/>
      <c r="V151" s="90"/>
      <c r="W151" s="90"/>
      <c r="X151" s="93"/>
      <c r="Y151" s="94"/>
      <c r="Z151" s="94"/>
      <c r="AA151" s="29">
        <v>0</v>
      </c>
      <c r="AB151" s="145">
        <v>0</v>
      </c>
      <c r="AC151" s="145">
        <v>0</v>
      </c>
      <c r="AD151" s="145">
        <v>0</v>
      </c>
      <c r="AE151" s="145">
        <v>0</v>
      </c>
      <c r="AF151" s="145">
        <v>0</v>
      </c>
      <c r="AG151" s="145">
        <v>0</v>
      </c>
      <c r="AH151" s="142">
        <f t="shared" si="13"/>
        <v>0</v>
      </c>
      <c r="AI151" s="141"/>
      <c r="AJ151" s="67"/>
      <c r="AK151" s="67"/>
      <c r="AL151" s="24"/>
      <c r="AM151" s="24"/>
      <c r="AN151" s="24"/>
      <c r="AO151" s="71"/>
      <c r="AP151" s="69"/>
      <c r="AQ151" s="141"/>
      <c r="AR151" s="141"/>
      <c r="AS151" s="141"/>
      <c r="AT151" s="141"/>
      <c r="AU151" s="141"/>
      <c r="AV151" s="141"/>
      <c r="AW151" s="141"/>
      <c r="AX151" s="141"/>
      <c r="AY151" s="141"/>
      <c r="AZ151" s="141"/>
    </row>
    <row r="152" spans="1:52" ht="45" customHeight="1">
      <c r="A152" s="153">
        <f t="shared" si="12"/>
        <v>149</v>
      </c>
      <c r="B152" s="153"/>
      <c r="C152" s="153"/>
      <c r="D152" s="28"/>
      <c r="E152" s="69"/>
      <c r="F152" s="39">
        <v>0</v>
      </c>
      <c r="G152" s="21"/>
      <c r="H152" s="21"/>
      <c r="I152" s="21"/>
      <c r="J152" s="141"/>
      <c r="K152" s="21"/>
      <c r="L152" s="69"/>
      <c r="M152" s="141"/>
      <c r="N152" s="59">
        <v>3.5</v>
      </c>
      <c r="O152" s="59"/>
      <c r="P152" s="105"/>
      <c r="Q152" s="105"/>
      <c r="R152" s="105"/>
      <c r="S152" s="105"/>
      <c r="T152" s="105"/>
      <c r="U152" s="90"/>
      <c r="V152" s="90"/>
      <c r="W152" s="90"/>
      <c r="X152" s="93"/>
      <c r="Y152" s="96"/>
      <c r="Z152" s="96"/>
      <c r="AA152" s="29">
        <v>0</v>
      </c>
      <c r="AB152" s="145">
        <v>0</v>
      </c>
      <c r="AC152" s="145">
        <v>0</v>
      </c>
      <c r="AD152" s="145">
        <v>0</v>
      </c>
      <c r="AE152" s="145">
        <v>0</v>
      </c>
      <c r="AF152" s="145">
        <v>0</v>
      </c>
      <c r="AG152" s="145">
        <v>0</v>
      </c>
      <c r="AH152" s="142">
        <f t="shared" si="13"/>
        <v>0</v>
      </c>
      <c r="AI152" s="141"/>
      <c r="AJ152" s="67"/>
      <c r="AK152" s="67"/>
      <c r="AL152" s="24"/>
      <c r="AM152" s="24"/>
      <c r="AN152" s="24"/>
      <c r="AO152" s="71"/>
      <c r="AP152" s="69"/>
      <c r="AQ152" s="141"/>
      <c r="AR152" s="141"/>
      <c r="AS152" s="141"/>
      <c r="AT152" s="141"/>
      <c r="AU152" s="141"/>
      <c r="AV152" s="141"/>
      <c r="AW152" s="141"/>
      <c r="AX152" s="141"/>
      <c r="AY152" s="141"/>
      <c r="AZ152" s="141"/>
    </row>
    <row r="153" spans="1:52" ht="45" customHeight="1">
      <c r="A153" s="153">
        <f t="shared" si="12"/>
        <v>150</v>
      </c>
      <c r="B153" s="153"/>
      <c r="C153" s="153"/>
      <c r="D153" s="28"/>
      <c r="E153" s="69"/>
      <c r="F153" s="39">
        <v>0</v>
      </c>
      <c r="G153" s="21"/>
      <c r="H153" s="21"/>
      <c r="I153" s="21"/>
      <c r="J153" s="141"/>
      <c r="K153" s="21"/>
      <c r="L153" s="69"/>
      <c r="M153" s="141"/>
      <c r="N153" s="59">
        <v>4</v>
      </c>
      <c r="O153" s="59"/>
      <c r="P153" s="105"/>
      <c r="Q153" s="105"/>
      <c r="R153" s="105"/>
      <c r="S153" s="105"/>
      <c r="T153" s="105"/>
      <c r="U153" s="90"/>
      <c r="V153" s="90"/>
      <c r="W153" s="90"/>
      <c r="X153" s="93"/>
      <c r="Y153" s="96"/>
      <c r="Z153" s="96"/>
      <c r="AA153" s="29">
        <v>0</v>
      </c>
      <c r="AB153" s="145">
        <v>0</v>
      </c>
      <c r="AC153" s="145">
        <v>0</v>
      </c>
      <c r="AD153" s="145">
        <v>0</v>
      </c>
      <c r="AE153" s="145">
        <v>0</v>
      </c>
      <c r="AF153" s="145">
        <v>0</v>
      </c>
      <c r="AG153" s="145">
        <v>0</v>
      </c>
      <c r="AH153" s="142">
        <f t="shared" si="13"/>
        <v>0</v>
      </c>
      <c r="AI153" s="141"/>
      <c r="AJ153" s="67"/>
      <c r="AK153" s="67"/>
      <c r="AL153" s="24"/>
      <c r="AM153" s="24"/>
      <c r="AN153" s="24"/>
      <c r="AO153" s="71"/>
      <c r="AP153" s="69"/>
      <c r="AQ153" s="141"/>
      <c r="AR153" s="141"/>
      <c r="AS153" s="141"/>
      <c r="AT153" s="141"/>
      <c r="AU153" s="141"/>
      <c r="AV153" s="141"/>
      <c r="AW153" s="141"/>
      <c r="AX153" s="141"/>
      <c r="AY153" s="141"/>
      <c r="AZ153" s="141"/>
    </row>
    <row r="154" spans="1:52" ht="45" customHeight="1">
      <c r="A154" s="153">
        <f t="shared" si="12"/>
        <v>151</v>
      </c>
      <c r="B154" s="153"/>
      <c r="C154" s="28"/>
      <c r="D154" s="28"/>
      <c r="E154" s="69"/>
      <c r="F154" s="39">
        <v>0</v>
      </c>
      <c r="G154" s="21"/>
      <c r="H154" s="21"/>
      <c r="I154" s="21"/>
      <c r="J154" s="141"/>
      <c r="K154" s="21"/>
      <c r="L154" s="69"/>
      <c r="M154" s="141"/>
      <c r="N154" s="59">
        <v>4.5</v>
      </c>
      <c r="O154" s="59"/>
      <c r="P154" s="105"/>
      <c r="Q154" s="105"/>
      <c r="R154" s="105"/>
      <c r="S154" s="105"/>
      <c r="T154" s="105"/>
      <c r="U154" s="92"/>
      <c r="V154" s="90"/>
      <c r="W154" s="90"/>
      <c r="X154" s="93"/>
      <c r="Y154" s="96"/>
      <c r="Z154" s="96"/>
      <c r="AA154" s="29">
        <v>0</v>
      </c>
      <c r="AB154" s="145">
        <v>0</v>
      </c>
      <c r="AC154" s="145">
        <v>0</v>
      </c>
      <c r="AD154" s="145">
        <v>0</v>
      </c>
      <c r="AE154" s="145">
        <v>0</v>
      </c>
      <c r="AF154" s="145">
        <v>0</v>
      </c>
      <c r="AG154" s="145">
        <v>0</v>
      </c>
      <c r="AH154" s="142">
        <f t="shared" si="13"/>
        <v>0</v>
      </c>
      <c r="AI154" s="141"/>
      <c r="AJ154" s="67"/>
      <c r="AK154" s="67"/>
      <c r="AL154" s="24"/>
      <c r="AM154" s="24"/>
      <c r="AN154" s="24"/>
      <c r="AO154" s="71"/>
      <c r="AP154" s="69"/>
      <c r="AQ154" s="141"/>
      <c r="AR154" s="141"/>
      <c r="AS154" s="141"/>
      <c r="AT154" s="141"/>
      <c r="AU154" s="141"/>
      <c r="AV154" s="141"/>
      <c r="AW154" s="141"/>
      <c r="AX154" s="141"/>
      <c r="AY154" s="141"/>
      <c r="AZ154" s="141"/>
    </row>
    <row r="155" spans="1:52" ht="45" customHeight="1">
      <c r="A155" s="153">
        <f t="shared" si="12"/>
        <v>152</v>
      </c>
      <c r="B155" s="153"/>
      <c r="C155" s="140"/>
      <c r="D155" s="140"/>
      <c r="E155" s="69"/>
      <c r="F155" s="70">
        <v>0</v>
      </c>
      <c r="G155" s="21"/>
      <c r="H155" s="21"/>
      <c r="I155" s="21"/>
      <c r="J155" s="141"/>
      <c r="K155" s="21"/>
      <c r="L155" s="69"/>
      <c r="M155" s="141"/>
      <c r="N155" s="59">
        <v>5</v>
      </c>
      <c r="O155" s="59"/>
      <c r="P155" s="105"/>
      <c r="Q155" s="105"/>
      <c r="R155" s="105"/>
      <c r="S155" s="105"/>
      <c r="T155" s="105"/>
      <c r="U155" s="90"/>
      <c r="V155" s="91"/>
      <c r="W155" s="91"/>
      <c r="X155" s="93"/>
      <c r="Y155" s="96"/>
      <c r="Z155" s="96"/>
      <c r="AA155" s="29">
        <v>0</v>
      </c>
      <c r="AB155" s="145">
        <v>0</v>
      </c>
      <c r="AC155" s="145">
        <v>0</v>
      </c>
      <c r="AD155" s="145">
        <v>0</v>
      </c>
      <c r="AE155" s="145">
        <v>0</v>
      </c>
      <c r="AF155" s="145">
        <v>0</v>
      </c>
      <c r="AG155" s="145">
        <v>0</v>
      </c>
      <c r="AH155" s="142">
        <f t="shared" si="13"/>
        <v>0</v>
      </c>
      <c r="AI155" s="141"/>
      <c r="AJ155" s="67"/>
      <c r="AK155" s="67"/>
      <c r="AL155" s="24"/>
      <c r="AM155" s="24"/>
      <c r="AN155" s="24"/>
      <c r="AO155" s="71"/>
      <c r="AP155" s="69"/>
      <c r="AQ155" s="141"/>
      <c r="AR155" s="141"/>
      <c r="AS155" s="141"/>
      <c r="AT155" s="141"/>
      <c r="AU155" s="141"/>
      <c r="AV155" s="141"/>
      <c r="AW155" s="141"/>
      <c r="AX155" s="141"/>
      <c r="AY155" s="141"/>
      <c r="AZ155" s="141"/>
    </row>
  </sheetData>
  <autoFilter ref="A3:AZ155" xr:uid="{696602BA-561E-4DCB-9536-28EA9CF1990B}">
    <sortState xmlns:xlrd2="http://schemas.microsoft.com/office/spreadsheetml/2017/richdata2" ref="A4:AZ155">
      <sortCondition ref="C3:C155"/>
    </sortState>
  </autoFilter>
  <mergeCells count="6">
    <mergeCell ref="E1:M2"/>
    <mergeCell ref="U1:Z2"/>
    <mergeCell ref="AP1:AU1"/>
    <mergeCell ref="AV1:AZ1"/>
    <mergeCell ref="AC2:AD2"/>
    <mergeCell ref="AE2:AG2"/>
  </mergeCells>
  <conditionalFormatting sqref="F4:F155">
    <cfRule type="iconSet" priority="6">
      <iconSet iconSet="5Rating">
        <cfvo type="percent" val="0"/>
        <cfvo type="percent" val="20"/>
        <cfvo type="percent" val="40"/>
        <cfvo type="percent" val="60"/>
        <cfvo type="percent" val="80"/>
      </iconSet>
    </cfRule>
  </conditionalFormatting>
  <conditionalFormatting sqref="N4:T155">
    <cfRule type="colorScale" priority="10">
      <colorScale>
        <cfvo type="min"/>
        <cfvo type="percentile" val="50"/>
        <cfvo type="max"/>
        <color rgb="FFF8696B"/>
        <color rgb="FFFFEB84"/>
        <color rgb="FF63BE7B"/>
      </colorScale>
    </cfRule>
  </conditionalFormatting>
  <conditionalFormatting sqref="P4:Q155">
    <cfRule type="containsText" dxfId="35" priority="1" operator="containsText" text="NON DÉFINI">
      <formula>NOT(ISERROR(SEARCH("NON DÉFINI",P4)))</formula>
    </cfRule>
    <cfRule type="containsText" dxfId="34" priority="2" operator="containsText" text="EXCELLENT">
      <formula>NOT(ISERROR(SEARCH("EXCELLENT",P4)))</formula>
    </cfRule>
    <cfRule type="containsText" dxfId="33" priority="3" operator="containsText" text="BON">
      <formula>NOT(ISERROR(SEARCH("BON",P4)))</formula>
    </cfRule>
    <cfRule type="containsText" dxfId="32" priority="4" operator="containsText" text="WARNING !">
      <formula>NOT(ISERROR(SEARCH("WARNING !",P4)))</formula>
    </cfRule>
    <cfRule type="containsText" dxfId="31" priority="5" operator="containsText" text="A AMÉLIORER">
      <formula>NOT(ISERROR(SEARCH("A AMÉLIORER",P4)))</formula>
    </cfRule>
  </conditionalFormatting>
  <conditionalFormatting sqref="U4:W155">
    <cfRule type="cellIs" dxfId="30" priority="7" operator="between">
      <formula>TODAY()</formula>
      <formula>TODAY()+7</formula>
    </cfRule>
    <cfRule type="cellIs" dxfId="29" priority="8" operator="greaterThanOrEqual">
      <formula>TODAY()+30</formula>
    </cfRule>
    <cfRule type="cellIs" dxfId="28" priority="9" operator="lessThan">
      <formula>TODAY()-30</formula>
    </cfRule>
  </conditionalFormatting>
  <conditionalFormatting sqref="AA4:AH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I4:AK155 M4:M155" xr:uid="{85839149-E40A-425E-A431-99C46FFCAEC8}"/>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043ED943-221A-4F18-AE09-A04B3AD25373}">
          <x14:formula1>
            <xm:f>'Guide suivi GDP '!$E$9:$E$13</xm:f>
          </x14:formula1>
          <xm:sqref>P4:Q150</xm:sqref>
        </x14:dataValidation>
        <x14:dataValidation type="list" allowBlank="1" showInputMessage="1" showErrorMessage="1" xr:uid="{481F0FD7-E2EF-44F3-91BB-94B71075DAB3}">
          <x14:formula1>
            <xm:f>'Guide suivi GDP '!$E$3:$E$8</xm:f>
          </x14:formula1>
          <xm:sqref>J4:J155</xm:sqref>
        </x14:dataValidation>
        <x14:dataValidation type="list" allowBlank="1" showInputMessage="1" showErrorMessage="1" xr:uid="{EBED730C-AED8-45A5-BA14-86499D7592D9}">
          <x14:formula1>
            <xm:f>'Guide suivi GDP '!$E$20:$E$24</xm:f>
          </x14:formula1>
          <xm:sqref>K4:K155</xm:sqref>
        </x14:dataValidation>
        <x14:dataValidation type="list" showInputMessage="1" showErrorMessage="1" xr:uid="{0BF6B72A-07B5-4564-826B-8B71BDECF99F}">
          <x14:formula1>
            <xm:f>'Guide suivi GDP '!$E$31:$E$33</xm:f>
          </x14:formula1>
          <xm:sqref>B4:B155</xm:sqref>
        </x14:dataValidation>
        <x14:dataValidation type="list" showInputMessage="1" showErrorMessage="1" xr:uid="{AA8F0A79-E7E4-407E-8AC5-0B93082A559C}">
          <x14:formula1>
            <xm:f>'Guide suivi GDP '!$E$34:$E$36</xm:f>
          </x14:formula1>
          <xm:sqref>C4:C155</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469D-5D16-4432-88C2-129C1EF4A4AA}">
  <sheetPr>
    <tabColor rgb="FF92D050"/>
  </sheetPr>
  <dimension ref="A1:AZ157"/>
  <sheetViews>
    <sheetView workbookViewId="0">
      <pane xSplit="4" ySplit="3" topLeftCell="X47" activePane="bottomRight" state="frozen"/>
      <selection pane="topRight"/>
      <selection pane="bottomLeft"/>
      <selection pane="bottomRight" activeCell="E1" sqref="E1:M2"/>
    </sheetView>
  </sheetViews>
  <sheetFormatPr baseColWidth="10" defaultColWidth="9.140625" defaultRowHeight="12.75" outlineLevelCol="1"/>
  <cols>
    <col min="1" max="1" width="3.4257812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9" width="12.28515625" style="5" customWidth="1" outlineLevel="1"/>
    <col min="10" max="10" width="11.7109375" style="5" customWidth="1" outlineLevel="1"/>
    <col min="11" max="11" width="17.42578125" style="5" customWidth="1" outlineLevel="1"/>
    <col min="12" max="12" width="16.7109375" style="26" customWidth="1"/>
    <col min="13" max="13" width="12.28515625" style="26" customWidth="1"/>
    <col min="14" max="15" width="9.140625" style="26" hidden="1" customWidth="1"/>
    <col min="16" max="16" width="12.28515625" style="26" bestFit="1" customWidth="1"/>
    <col min="17" max="17" width="11.42578125" style="26" customWidth="1"/>
    <col min="18" max="18" width="9.140625" style="26" customWidth="1"/>
    <col min="19" max="19" width="9.42578125" style="26" customWidth="1"/>
    <col min="20" max="20" width="11.5703125" style="26" customWidth="1"/>
    <col min="21" max="21" width="13.5703125" style="26" customWidth="1"/>
    <col min="22" max="23" width="14.85546875" style="26" customWidth="1"/>
    <col min="24" max="24" width="37.42578125" style="98" customWidth="1"/>
    <col min="25" max="25" width="50.140625" style="98" customWidth="1"/>
    <col min="26" max="26" width="39.28515625" style="98" customWidth="1"/>
    <col min="27" max="27" width="20" style="26" hidden="1" customWidth="1" outlineLevel="1" collapsed="1"/>
    <col min="28" max="28" width="17.7109375" style="26" hidden="1" customWidth="1" outlineLevel="1"/>
    <col min="29" max="29" width="13.28515625" style="26" hidden="1" customWidth="1" outlineLevel="1"/>
    <col min="30" max="30" width="11.140625" style="26" hidden="1" customWidth="1" outlineLevel="1"/>
    <col min="31" max="31" width="11.7109375" style="26" hidden="1" customWidth="1" outlineLevel="1"/>
    <col min="32" max="32" width="12.28515625" style="26" hidden="1" customWidth="1" outlineLevel="1"/>
    <col min="33" max="33" width="31.85546875" style="26" customWidth="1" outlineLevel="1"/>
    <col min="34" max="34" width="9.42578125" style="13" customWidth="1"/>
    <col min="35" max="35" width="28.5703125" style="13" hidden="1" customWidth="1" outlineLevel="1"/>
    <col min="36" max="36" width="21.42578125" style="13" hidden="1" customWidth="1" outlineLevel="1"/>
    <col min="37" max="37" width="26.85546875" style="13" hidden="1" customWidth="1" outlineLevel="1"/>
    <col min="38" max="39" width="30" style="26" hidden="1" customWidth="1" outlineLevel="1"/>
    <col min="40" max="40" width="33.5703125" style="13" hidden="1" customWidth="1" outlineLevel="1"/>
    <col min="41" max="41" width="2" style="13" customWidth="1" collapsed="1"/>
    <col min="42" max="42" width="44.28515625" style="26" customWidth="1"/>
    <col min="43" max="43" width="10.85546875" style="74" customWidth="1" outlineLevel="1"/>
    <col min="44" max="44" width="13.85546875" style="13" customWidth="1" outlineLevel="1"/>
    <col min="45" max="45" width="9.85546875" style="13" customWidth="1" outlineLevel="1"/>
    <col min="46" max="46" width="8.7109375" style="13" customWidth="1" outlineLevel="1"/>
    <col min="47" max="47" width="23.28515625" style="13" customWidth="1" outlineLevel="1"/>
    <col min="48" max="48" width="9.5703125" style="13" customWidth="1" outlineLevel="1"/>
    <col min="49" max="49" width="9.28515625" style="13" customWidth="1" outlineLevel="1"/>
    <col min="50" max="52" width="9.140625" style="13" customWidth="1" outlineLevel="1"/>
    <col min="53" max="53" width="9.140625" style="13" customWidth="1"/>
    <col min="54" max="16384" width="9.140625" style="13"/>
  </cols>
  <sheetData>
    <row r="1" spans="1:52" s="78" customFormat="1" ht="94.5">
      <c r="B1" s="88" t="s">
        <v>1143</v>
      </c>
      <c r="C1" s="99"/>
      <c r="D1" s="88" t="s">
        <v>718</v>
      </c>
      <c r="E1" s="210" t="s">
        <v>720</v>
      </c>
      <c r="F1" s="211"/>
      <c r="G1" s="211"/>
      <c r="H1" s="211"/>
      <c r="I1" s="211"/>
      <c r="J1" s="211"/>
      <c r="K1" s="211"/>
      <c r="L1" s="211"/>
      <c r="M1" s="211"/>
      <c r="N1" s="82" t="s">
        <v>870</v>
      </c>
      <c r="O1" s="82" t="s">
        <v>870</v>
      </c>
      <c r="P1" s="112" t="s">
        <v>871</v>
      </c>
      <c r="Q1" s="112" t="s">
        <v>872</v>
      </c>
      <c r="R1" s="82"/>
      <c r="S1" s="82"/>
      <c r="T1" s="82"/>
      <c r="U1" s="204" t="s">
        <v>719</v>
      </c>
      <c r="V1" s="204"/>
      <c r="W1" s="204"/>
      <c r="X1" s="204"/>
      <c r="Y1" s="204"/>
      <c r="Z1" s="205"/>
      <c r="AA1" s="79" t="s">
        <v>721</v>
      </c>
      <c r="AB1" s="80"/>
      <c r="AC1" s="80"/>
      <c r="AD1" s="80"/>
      <c r="AE1" s="80"/>
      <c r="AF1" s="80"/>
      <c r="AG1" s="80"/>
      <c r="AH1" s="80"/>
      <c r="AI1" s="77" t="s">
        <v>721</v>
      </c>
      <c r="AJ1" s="81"/>
      <c r="AK1" s="81"/>
      <c r="AL1" s="81"/>
      <c r="AM1" s="81"/>
      <c r="AN1" s="81"/>
      <c r="AP1" s="207" t="s">
        <v>722</v>
      </c>
      <c r="AQ1" s="207"/>
      <c r="AR1" s="207"/>
      <c r="AS1" s="207"/>
      <c r="AT1" s="207"/>
      <c r="AU1" s="208"/>
      <c r="AV1" s="206" t="s">
        <v>723</v>
      </c>
      <c r="AW1" s="206"/>
      <c r="AX1" s="206"/>
      <c r="AY1" s="206"/>
      <c r="AZ1" s="206"/>
    </row>
    <row r="2" spans="1:52" s="78" customFormat="1" ht="18">
      <c r="A2" s="82"/>
      <c r="B2" s="82"/>
      <c r="C2" s="82"/>
      <c r="D2" s="87">
        <f>SUBTOTAL(3,D4:D157)</f>
        <v>51</v>
      </c>
      <c r="E2" s="212"/>
      <c r="F2" s="213"/>
      <c r="G2" s="213"/>
      <c r="H2" s="213"/>
      <c r="I2" s="213"/>
      <c r="J2" s="213"/>
      <c r="K2" s="213"/>
      <c r="L2" s="213"/>
      <c r="M2" s="213"/>
      <c r="N2" s="109">
        <f>SUBTOTAL(1,N4:N146)</f>
        <v>3.0151515151515151</v>
      </c>
      <c r="O2" s="109">
        <f>SUBTOTAL(1,O4:O146)</f>
        <v>3.3484848484848486</v>
      </c>
      <c r="P2" s="128"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41.463414634146346</v>
      </c>
      <c r="Q2" s="128"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-13.63636363636364</v>
      </c>
      <c r="R2" s="104"/>
      <c r="S2" s="104"/>
      <c r="T2" s="104"/>
      <c r="U2" s="214"/>
      <c r="V2" s="204"/>
      <c r="W2" s="204"/>
      <c r="X2" s="204"/>
      <c r="Y2" s="204"/>
      <c r="Z2" s="205"/>
      <c r="AA2" s="156" t="s">
        <v>68</v>
      </c>
      <c r="AB2" s="156" t="s">
        <v>69</v>
      </c>
      <c r="AC2" s="209" t="s">
        <v>71</v>
      </c>
      <c r="AD2" s="209"/>
      <c r="AE2" s="209" t="s">
        <v>76</v>
      </c>
      <c r="AF2" s="209"/>
      <c r="AG2" s="209"/>
      <c r="AH2" s="84">
        <f>SUBTOTAL(1,AH4:AH34)</f>
        <v>0</v>
      </c>
      <c r="AI2" s="81"/>
      <c r="AJ2" s="81"/>
      <c r="AK2" s="81"/>
      <c r="AL2" s="81"/>
      <c r="AM2" s="81"/>
      <c r="AN2" s="81"/>
      <c r="AP2" s="85"/>
      <c r="AQ2" s="76">
        <f t="shared" ref="AQ2" si="0">SUBTOTAL(9,AQ4:AQ499)</f>
        <v>245</v>
      </c>
      <c r="AR2" s="75"/>
      <c r="AS2" s="76">
        <f>SUBTOTAL(9,AS4:AS499)</f>
        <v>570</v>
      </c>
      <c r="AT2" s="76">
        <f>SUBTOTAL(9,AT4:AT499)</f>
        <v>1670</v>
      </c>
      <c r="AU2" s="75"/>
      <c r="AV2" s="89">
        <f>SUBTOTAL(3,AV4:AV499)</f>
        <v>30</v>
      </c>
      <c r="AW2" s="89">
        <f t="shared" ref="AW2:AZ2" si="1">SUBTOTAL(3,AW4:AW499)</f>
        <v>37</v>
      </c>
      <c r="AX2" s="89">
        <f t="shared" si="1"/>
        <v>12</v>
      </c>
      <c r="AY2" s="89">
        <f t="shared" si="1"/>
        <v>8</v>
      </c>
      <c r="AZ2" s="89">
        <f t="shared" si="1"/>
        <v>20</v>
      </c>
    </row>
    <row r="3" spans="1:52" ht="63.75">
      <c r="A3" s="72">
        <v>0</v>
      </c>
      <c r="B3" s="72" t="s">
        <v>873</v>
      </c>
      <c r="C3" s="72" t="s">
        <v>598</v>
      </c>
      <c r="D3" s="72" t="s">
        <v>85</v>
      </c>
      <c r="E3" s="73" t="s">
        <v>730</v>
      </c>
      <c r="F3" s="73" t="s">
        <v>229</v>
      </c>
      <c r="G3" s="73" t="s">
        <v>86</v>
      </c>
      <c r="H3" s="73" t="s">
        <v>731</v>
      </c>
      <c r="I3" s="73" t="s">
        <v>874</v>
      </c>
      <c r="J3" s="133" t="s">
        <v>732</v>
      </c>
      <c r="K3" s="133" t="s">
        <v>88</v>
      </c>
      <c r="L3" s="73" t="s">
        <v>729</v>
      </c>
      <c r="M3" s="73" t="s">
        <v>734</v>
      </c>
      <c r="N3" s="107" t="s">
        <v>726</v>
      </c>
      <c r="O3" s="107" t="s">
        <v>727</v>
      </c>
      <c r="P3" s="107" t="s">
        <v>600</v>
      </c>
      <c r="Q3" s="131" t="s">
        <v>875</v>
      </c>
      <c r="R3" s="107" t="s">
        <v>876</v>
      </c>
      <c r="S3" s="97" t="s">
        <v>975</v>
      </c>
      <c r="T3" s="131" t="s">
        <v>976</v>
      </c>
      <c r="U3" s="107" t="s">
        <v>728</v>
      </c>
      <c r="V3" s="72" t="s">
        <v>601</v>
      </c>
      <c r="W3" s="132" t="s">
        <v>1045</v>
      </c>
      <c r="X3" s="97" t="s">
        <v>602</v>
      </c>
      <c r="Y3" s="97" t="s">
        <v>603</v>
      </c>
      <c r="Z3" s="97" t="s">
        <v>604</v>
      </c>
      <c r="AA3" s="73" t="s">
        <v>90</v>
      </c>
      <c r="AB3" s="73" t="s">
        <v>91</v>
      </c>
      <c r="AC3" s="73" t="s">
        <v>92</v>
      </c>
      <c r="AD3" s="73" t="s">
        <v>93</v>
      </c>
      <c r="AE3" s="73" t="s">
        <v>94</v>
      </c>
      <c r="AF3" s="73" t="s">
        <v>95</v>
      </c>
      <c r="AG3" s="73" t="s">
        <v>96</v>
      </c>
      <c r="AH3" s="73" t="s">
        <v>80</v>
      </c>
      <c r="AI3" s="72" t="s">
        <v>735</v>
      </c>
      <c r="AJ3" s="72" t="s">
        <v>736</v>
      </c>
      <c r="AK3" s="72" t="s">
        <v>737</v>
      </c>
      <c r="AL3" s="72" t="s">
        <v>738</v>
      </c>
      <c r="AM3" s="72" t="s">
        <v>739</v>
      </c>
      <c r="AN3" s="72" t="s">
        <v>740</v>
      </c>
      <c r="AO3" s="72"/>
      <c r="AP3" s="72" t="s">
        <v>741</v>
      </c>
      <c r="AQ3" s="102" t="s">
        <v>742</v>
      </c>
      <c r="AR3" s="72" t="s">
        <v>743</v>
      </c>
      <c r="AS3" s="103" t="s">
        <v>744</v>
      </c>
      <c r="AT3" s="103" t="s">
        <v>745</v>
      </c>
      <c r="AU3" s="72" t="s">
        <v>746</v>
      </c>
      <c r="AV3" s="102" t="s">
        <v>85</v>
      </c>
      <c r="AW3" s="102" t="s">
        <v>747</v>
      </c>
      <c r="AX3" s="102" t="s">
        <v>748</v>
      </c>
      <c r="AY3" s="102" t="s">
        <v>749</v>
      </c>
      <c r="AZ3" s="102" t="s">
        <v>750</v>
      </c>
    </row>
    <row r="4" spans="1:52" ht="45" customHeight="1">
      <c r="A4" s="153">
        <f t="shared" ref="A4:A35" si="2">A3+1</f>
        <v>1</v>
      </c>
      <c r="B4" s="153" t="s">
        <v>57</v>
      </c>
      <c r="C4" s="153" t="s">
        <v>61</v>
      </c>
      <c r="D4" s="153" t="s">
        <v>711</v>
      </c>
      <c r="E4" s="69" t="s">
        <v>711</v>
      </c>
      <c r="F4" s="39">
        <v>3</v>
      </c>
      <c r="G4" s="141" t="s">
        <v>764</v>
      </c>
      <c r="H4" s="141" t="s">
        <v>765</v>
      </c>
      <c r="I4" s="141"/>
      <c r="J4" s="141" t="s">
        <v>6</v>
      </c>
      <c r="K4" s="141"/>
      <c r="L4" s="69"/>
      <c r="M4" s="141"/>
      <c r="N4" s="59"/>
      <c r="O4" s="59"/>
      <c r="P4" s="105"/>
      <c r="Q4" s="105"/>
      <c r="R4" s="105"/>
      <c r="S4" s="105" t="s">
        <v>1048</v>
      </c>
      <c r="T4" s="105" t="s">
        <v>1144</v>
      </c>
      <c r="U4" s="130">
        <v>45937</v>
      </c>
      <c r="V4" s="90"/>
      <c r="W4" s="90">
        <v>45976</v>
      </c>
      <c r="X4" s="93" t="s">
        <v>1024</v>
      </c>
      <c r="Y4" s="135" t="s">
        <v>896</v>
      </c>
      <c r="Z4" s="94"/>
      <c r="AA4" s="29"/>
      <c r="AB4" s="145"/>
      <c r="AC4" s="145"/>
      <c r="AD4" s="145"/>
      <c r="AE4" s="145"/>
      <c r="AF4" s="145"/>
      <c r="AG4" s="145"/>
      <c r="AH4" s="142"/>
      <c r="AI4" s="141"/>
      <c r="AJ4" s="67"/>
      <c r="AK4" s="67"/>
      <c r="AL4" s="24"/>
      <c r="AM4" s="24"/>
      <c r="AN4" s="24"/>
      <c r="AO4" s="71"/>
      <c r="AP4" s="69"/>
      <c r="AQ4" s="141">
        <v>5</v>
      </c>
      <c r="AR4" s="141"/>
      <c r="AS4" s="141"/>
      <c r="AT4" s="141"/>
      <c r="AU4" s="86"/>
      <c r="AV4" s="141" t="s">
        <v>757</v>
      </c>
      <c r="AW4" s="141" t="s">
        <v>757</v>
      </c>
      <c r="AX4" s="141"/>
      <c r="AY4" s="141"/>
      <c r="AZ4" s="141" t="s">
        <v>757</v>
      </c>
    </row>
    <row r="5" spans="1:52" ht="45" customHeight="1">
      <c r="A5" s="153">
        <f t="shared" si="2"/>
        <v>2</v>
      </c>
      <c r="B5" s="153" t="s">
        <v>57</v>
      </c>
      <c r="C5" s="153" t="s">
        <v>65</v>
      </c>
      <c r="D5" s="28" t="s">
        <v>671</v>
      </c>
      <c r="E5" s="69" t="s">
        <v>837</v>
      </c>
      <c r="F5" s="39">
        <v>2</v>
      </c>
      <c r="G5" s="141" t="s">
        <v>753</v>
      </c>
      <c r="H5" s="141" t="s">
        <v>805</v>
      </c>
      <c r="I5" s="141"/>
      <c r="J5" s="141" t="s">
        <v>26</v>
      </c>
      <c r="K5" s="141"/>
      <c r="L5" s="69"/>
      <c r="M5" s="141"/>
      <c r="N5" s="60">
        <v>3</v>
      </c>
      <c r="O5" s="60">
        <v>3</v>
      </c>
      <c r="P5" s="105" t="s">
        <v>35</v>
      </c>
      <c r="Q5" s="105" t="s">
        <v>35</v>
      </c>
      <c r="R5" s="106"/>
      <c r="S5" s="106" t="s">
        <v>1052</v>
      </c>
      <c r="T5" s="106" t="s">
        <v>1053</v>
      </c>
      <c r="U5" s="90"/>
      <c r="V5" s="90"/>
      <c r="W5" s="90">
        <v>45968</v>
      </c>
      <c r="X5" s="93" t="s">
        <v>672</v>
      </c>
      <c r="Y5" s="95" t="s">
        <v>1011</v>
      </c>
      <c r="Z5" s="95"/>
      <c r="AA5" s="29">
        <v>0</v>
      </c>
      <c r="AB5" s="145">
        <v>0</v>
      </c>
      <c r="AC5" s="145">
        <v>0</v>
      </c>
      <c r="AD5" s="145">
        <v>0</v>
      </c>
      <c r="AE5" s="145">
        <v>0</v>
      </c>
      <c r="AF5" s="145">
        <v>0</v>
      </c>
      <c r="AG5" s="145">
        <v>0</v>
      </c>
      <c r="AH5" s="142">
        <f t="shared" ref="AH5:AH11" si="3">AVERAGE(AA5:AG5)</f>
        <v>0</v>
      </c>
      <c r="AI5" s="141"/>
      <c r="AJ5" s="67"/>
      <c r="AK5" s="67"/>
      <c r="AL5" s="24"/>
      <c r="AM5" s="24"/>
      <c r="AN5" s="24"/>
      <c r="AO5" s="71"/>
      <c r="AP5" s="69" t="s">
        <v>838</v>
      </c>
      <c r="AQ5" s="141"/>
      <c r="AR5" s="141"/>
      <c r="AS5" s="141"/>
      <c r="AT5" s="141">
        <v>60</v>
      </c>
      <c r="AU5" s="86">
        <v>45962</v>
      </c>
      <c r="AV5" s="141" t="s">
        <v>757</v>
      </c>
      <c r="AW5" s="141" t="s">
        <v>757</v>
      </c>
      <c r="AX5" s="141"/>
      <c r="AY5" s="141"/>
      <c r="AZ5" s="141"/>
    </row>
    <row r="6" spans="1:52" ht="45" customHeight="1">
      <c r="A6" s="153">
        <f t="shared" si="2"/>
        <v>3</v>
      </c>
      <c r="B6" s="153" t="s">
        <v>57</v>
      </c>
      <c r="C6" s="153" t="s">
        <v>65</v>
      </c>
      <c r="D6" s="28" t="s">
        <v>667</v>
      </c>
      <c r="E6" s="69" t="s">
        <v>839</v>
      </c>
      <c r="F6" s="39">
        <v>2</v>
      </c>
      <c r="G6" s="141" t="s">
        <v>123</v>
      </c>
      <c r="H6" s="141" t="s">
        <v>797</v>
      </c>
      <c r="I6" s="141"/>
      <c r="J6" s="141"/>
      <c r="K6" s="141"/>
      <c r="L6" s="69"/>
      <c r="M6" s="141"/>
      <c r="N6" s="59">
        <v>4</v>
      </c>
      <c r="O6" s="59">
        <v>4</v>
      </c>
      <c r="P6" s="105" t="s">
        <v>33</v>
      </c>
      <c r="Q6" s="105" t="s">
        <v>33</v>
      </c>
      <c r="R6" s="105"/>
      <c r="S6" s="105" t="s">
        <v>1140</v>
      </c>
      <c r="T6" s="105" t="s">
        <v>1141</v>
      </c>
      <c r="U6" s="90">
        <v>45967</v>
      </c>
      <c r="V6" s="90">
        <v>45966</v>
      </c>
      <c r="W6" s="90"/>
      <c r="X6" s="93" t="s">
        <v>1142</v>
      </c>
      <c r="Y6" s="96" t="s">
        <v>1019</v>
      </c>
      <c r="Z6" s="96"/>
      <c r="AA6" s="29">
        <v>0</v>
      </c>
      <c r="AB6" s="145">
        <v>0</v>
      </c>
      <c r="AC6" s="145">
        <v>0</v>
      </c>
      <c r="AD6" s="145">
        <v>0</v>
      </c>
      <c r="AE6" s="145">
        <v>0</v>
      </c>
      <c r="AF6" s="145">
        <v>0</v>
      </c>
      <c r="AG6" s="145">
        <v>0</v>
      </c>
      <c r="AH6" s="142">
        <f t="shared" si="3"/>
        <v>0</v>
      </c>
      <c r="AI6" s="141"/>
      <c r="AJ6" s="67"/>
      <c r="AK6" s="67"/>
      <c r="AL6" s="24"/>
      <c r="AM6" s="24"/>
      <c r="AN6" s="24"/>
      <c r="AO6" s="71"/>
      <c r="AP6" s="69" t="s">
        <v>840</v>
      </c>
      <c r="AQ6" s="141"/>
      <c r="AR6" s="141"/>
      <c r="AS6" s="141"/>
      <c r="AT6" s="141">
        <v>15</v>
      </c>
      <c r="AU6" s="86">
        <v>45992</v>
      </c>
      <c r="AV6" s="141" t="s">
        <v>757</v>
      </c>
      <c r="AW6" s="141"/>
      <c r="AX6" s="141"/>
      <c r="AY6" s="141"/>
      <c r="AZ6" s="141"/>
    </row>
    <row r="7" spans="1:52" ht="45" customHeight="1">
      <c r="A7" s="153">
        <f t="shared" si="2"/>
        <v>4</v>
      </c>
      <c r="B7" s="153" t="s">
        <v>57</v>
      </c>
      <c r="C7" s="153" t="s">
        <v>61</v>
      </c>
      <c r="D7" s="28" t="s">
        <v>670</v>
      </c>
      <c r="E7" s="69" t="s">
        <v>763</v>
      </c>
      <c r="F7" s="39">
        <v>2</v>
      </c>
      <c r="G7" s="141" t="s">
        <v>764</v>
      </c>
      <c r="H7" s="141" t="s">
        <v>765</v>
      </c>
      <c r="I7" s="141"/>
      <c r="J7" s="141" t="s">
        <v>22</v>
      </c>
      <c r="K7" s="141"/>
      <c r="L7" s="69"/>
      <c r="M7" s="141"/>
      <c r="N7" s="59">
        <v>1</v>
      </c>
      <c r="O7" s="59">
        <v>4</v>
      </c>
      <c r="P7" s="105" t="s">
        <v>34</v>
      </c>
      <c r="Q7" s="105" t="s">
        <v>34</v>
      </c>
      <c r="R7" s="105"/>
      <c r="S7" s="105" t="s">
        <v>1057</v>
      </c>
      <c r="T7" s="105" t="s">
        <v>835</v>
      </c>
      <c r="U7" s="90"/>
      <c r="V7" s="90">
        <v>45968</v>
      </c>
      <c r="W7" s="90"/>
      <c r="X7" s="93"/>
      <c r="Y7" s="96"/>
      <c r="Z7" s="96"/>
      <c r="AA7" s="29">
        <v>0</v>
      </c>
      <c r="AB7" s="145">
        <v>0</v>
      </c>
      <c r="AC7" s="145">
        <v>0</v>
      </c>
      <c r="AD7" s="145">
        <v>0</v>
      </c>
      <c r="AE7" s="145">
        <v>0</v>
      </c>
      <c r="AF7" s="145">
        <v>0</v>
      </c>
      <c r="AG7" s="145">
        <v>0</v>
      </c>
      <c r="AH7" s="142">
        <f t="shared" si="3"/>
        <v>0</v>
      </c>
      <c r="AI7" s="141"/>
      <c r="AJ7" s="67"/>
      <c r="AK7" s="67"/>
      <c r="AL7" s="24"/>
      <c r="AM7" s="24"/>
      <c r="AN7" s="24"/>
      <c r="AO7" s="71"/>
      <c r="AP7" s="69" t="s">
        <v>766</v>
      </c>
      <c r="AQ7" s="141">
        <v>5</v>
      </c>
      <c r="AR7" s="141" t="s">
        <v>756</v>
      </c>
      <c r="AS7" s="141"/>
      <c r="AT7" s="141"/>
      <c r="AU7" s="141"/>
      <c r="AV7" s="141" t="s">
        <v>757</v>
      </c>
      <c r="AW7" s="141" t="s">
        <v>757</v>
      </c>
      <c r="AX7" s="141"/>
      <c r="AY7" s="141"/>
      <c r="AZ7" s="141"/>
    </row>
    <row r="8" spans="1:52" ht="45" customHeight="1">
      <c r="A8" s="153">
        <f t="shared" si="2"/>
        <v>5</v>
      </c>
      <c r="B8" s="153" t="s">
        <v>57</v>
      </c>
      <c r="C8" s="153" t="s">
        <v>63</v>
      </c>
      <c r="D8" s="28" t="s">
        <v>152</v>
      </c>
      <c r="E8" s="69" t="s">
        <v>845</v>
      </c>
      <c r="F8" s="39">
        <v>3</v>
      </c>
      <c r="G8" s="141" t="s">
        <v>753</v>
      </c>
      <c r="H8" s="141" t="s">
        <v>210</v>
      </c>
      <c r="I8" s="141"/>
      <c r="J8" s="141" t="s">
        <v>14</v>
      </c>
      <c r="K8" s="141"/>
      <c r="L8" s="69"/>
      <c r="M8" s="141"/>
      <c r="N8" s="59">
        <v>2</v>
      </c>
      <c r="O8" s="59">
        <v>4</v>
      </c>
      <c r="P8" s="105" t="s">
        <v>34</v>
      </c>
      <c r="Q8" s="105" t="s">
        <v>35</v>
      </c>
      <c r="R8" s="105"/>
      <c r="S8" s="105" t="s">
        <v>1030</v>
      </c>
      <c r="T8" s="105" t="s">
        <v>753</v>
      </c>
      <c r="U8" s="90">
        <v>45951</v>
      </c>
      <c r="V8" s="90">
        <v>45973</v>
      </c>
      <c r="W8" s="90"/>
      <c r="X8" s="93" t="s">
        <v>686</v>
      </c>
      <c r="Y8" s="96" t="s">
        <v>687</v>
      </c>
      <c r="Z8" s="96"/>
      <c r="AA8" s="29">
        <v>0</v>
      </c>
      <c r="AB8" s="145">
        <v>0</v>
      </c>
      <c r="AC8" s="145">
        <v>0</v>
      </c>
      <c r="AD8" s="145">
        <v>0</v>
      </c>
      <c r="AE8" s="145">
        <v>0</v>
      </c>
      <c r="AF8" s="145">
        <v>0</v>
      </c>
      <c r="AG8" s="145">
        <v>0</v>
      </c>
      <c r="AH8" s="142">
        <f t="shared" si="3"/>
        <v>0</v>
      </c>
      <c r="AI8" s="141"/>
      <c r="AJ8" s="67"/>
      <c r="AK8" s="67"/>
      <c r="AL8" s="24"/>
      <c r="AM8" s="24"/>
      <c r="AN8" s="24"/>
      <c r="AO8" s="71"/>
      <c r="AP8" s="69" t="s">
        <v>846</v>
      </c>
      <c r="AQ8" s="141">
        <v>15</v>
      </c>
      <c r="AR8" s="141" t="s">
        <v>761</v>
      </c>
      <c r="AS8" s="141"/>
      <c r="AT8" s="141"/>
      <c r="AU8" s="141"/>
      <c r="AV8" s="141"/>
      <c r="AW8" s="141" t="s">
        <v>757</v>
      </c>
      <c r="AX8" s="141"/>
      <c r="AY8" s="141"/>
      <c r="AZ8" s="141"/>
    </row>
    <row r="9" spans="1:52" ht="45" customHeight="1">
      <c r="A9" s="153">
        <f t="shared" si="2"/>
        <v>6</v>
      </c>
      <c r="B9" s="153" t="s">
        <v>57</v>
      </c>
      <c r="C9" s="153" t="s">
        <v>61</v>
      </c>
      <c r="D9" s="28" t="s">
        <v>653</v>
      </c>
      <c r="E9" s="69" t="s">
        <v>752</v>
      </c>
      <c r="F9" s="39">
        <v>2</v>
      </c>
      <c r="G9" s="141" t="s">
        <v>753</v>
      </c>
      <c r="H9" s="141" t="s">
        <v>754</v>
      </c>
      <c r="I9" s="141"/>
      <c r="J9" s="141" t="s">
        <v>26</v>
      </c>
      <c r="K9" s="141" t="s">
        <v>48</v>
      </c>
      <c r="L9" s="69"/>
      <c r="M9" s="141"/>
      <c r="N9" s="59">
        <v>4.5</v>
      </c>
      <c r="O9" s="59">
        <v>4.5</v>
      </c>
      <c r="P9" s="105" t="s">
        <v>34</v>
      </c>
      <c r="Q9" s="105" t="s">
        <v>34</v>
      </c>
      <c r="R9" s="105"/>
      <c r="S9" s="105" t="s">
        <v>1054</v>
      </c>
      <c r="T9" s="105" t="s">
        <v>753</v>
      </c>
      <c r="U9" s="90">
        <v>45973</v>
      </c>
      <c r="V9" s="90">
        <v>45979</v>
      </c>
      <c r="W9" s="90">
        <v>45979</v>
      </c>
      <c r="X9" s="93" t="s">
        <v>654</v>
      </c>
      <c r="Y9" s="96" t="s">
        <v>1145</v>
      </c>
      <c r="Z9" s="96"/>
      <c r="AA9" s="29">
        <v>0</v>
      </c>
      <c r="AB9" s="145">
        <v>0</v>
      </c>
      <c r="AC9" s="145">
        <v>0</v>
      </c>
      <c r="AD9" s="145">
        <v>0</v>
      </c>
      <c r="AE9" s="145">
        <v>0</v>
      </c>
      <c r="AF9" s="145">
        <v>0</v>
      </c>
      <c r="AG9" s="145">
        <v>0</v>
      </c>
      <c r="AH9" s="142">
        <f t="shared" si="3"/>
        <v>0</v>
      </c>
      <c r="AI9" s="141"/>
      <c r="AJ9" s="67"/>
      <c r="AK9" s="67"/>
      <c r="AL9" s="24"/>
      <c r="AM9" s="24"/>
      <c r="AN9" s="24"/>
      <c r="AO9" s="71"/>
      <c r="AP9" s="69" t="s">
        <v>755</v>
      </c>
      <c r="AQ9" s="141">
        <v>5</v>
      </c>
      <c r="AR9" s="141" t="s">
        <v>756</v>
      </c>
      <c r="AS9" s="141"/>
      <c r="AT9" s="141"/>
      <c r="AU9" s="141"/>
      <c r="AV9" s="141"/>
      <c r="AW9" s="141" t="s">
        <v>757</v>
      </c>
      <c r="AX9" s="141"/>
      <c r="AY9" s="141"/>
      <c r="AZ9" s="141"/>
    </row>
    <row r="10" spans="1:52" ht="45" customHeight="1">
      <c r="A10" s="153">
        <f t="shared" si="2"/>
        <v>7</v>
      </c>
      <c r="B10" s="153" t="s">
        <v>57</v>
      </c>
      <c r="C10" s="153" t="s">
        <v>61</v>
      </c>
      <c r="D10" s="28" t="s">
        <v>708</v>
      </c>
      <c r="E10" s="69" t="s">
        <v>758</v>
      </c>
      <c r="F10" s="39">
        <v>2</v>
      </c>
      <c r="G10" s="141" t="s">
        <v>753</v>
      </c>
      <c r="H10" s="141" t="s">
        <v>1146</v>
      </c>
      <c r="I10" s="141"/>
      <c r="J10" s="141" t="s">
        <v>26</v>
      </c>
      <c r="K10" s="21"/>
      <c r="L10" s="69"/>
      <c r="M10" s="141"/>
      <c r="N10" s="59">
        <v>2.5</v>
      </c>
      <c r="O10" s="59">
        <v>5</v>
      </c>
      <c r="P10" s="105" t="s">
        <v>33</v>
      </c>
      <c r="Q10" s="105" t="s">
        <v>33</v>
      </c>
      <c r="R10" s="105"/>
      <c r="S10" s="105" t="s">
        <v>1055</v>
      </c>
      <c r="T10" s="105" t="s">
        <v>753</v>
      </c>
      <c r="U10" s="90">
        <v>45950</v>
      </c>
      <c r="V10" s="90">
        <v>45973</v>
      </c>
      <c r="W10" s="90">
        <v>45988</v>
      </c>
      <c r="X10" s="93" t="s">
        <v>1147</v>
      </c>
      <c r="Y10" s="96" t="s">
        <v>710</v>
      </c>
      <c r="Z10" s="96"/>
      <c r="AA10" s="29">
        <v>0</v>
      </c>
      <c r="AB10" s="145">
        <v>0</v>
      </c>
      <c r="AC10" s="145">
        <v>0</v>
      </c>
      <c r="AD10" s="145">
        <v>0</v>
      </c>
      <c r="AE10" s="145">
        <v>0</v>
      </c>
      <c r="AF10" s="145">
        <v>0</v>
      </c>
      <c r="AG10" s="145">
        <v>0</v>
      </c>
      <c r="AH10" s="142">
        <f t="shared" si="3"/>
        <v>0</v>
      </c>
      <c r="AI10" s="141"/>
      <c r="AJ10" s="67"/>
      <c r="AK10" s="67"/>
      <c r="AL10" s="24"/>
      <c r="AM10" s="24"/>
      <c r="AN10" s="24"/>
      <c r="AO10" s="71"/>
      <c r="AP10" s="69" t="s">
        <v>760</v>
      </c>
      <c r="AQ10" s="141">
        <v>5</v>
      </c>
      <c r="AR10" s="141" t="s">
        <v>761</v>
      </c>
      <c r="AS10" s="141"/>
      <c r="AT10" s="141"/>
      <c r="AU10" s="141"/>
      <c r="AV10" s="141" t="s">
        <v>757</v>
      </c>
      <c r="AW10" s="141" t="s">
        <v>757</v>
      </c>
      <c r="AX10" s="141" t="s">
        <v>757</v>
      </c>
      <c r="AY10" s="141"/>
      <c r="AZ10" s="141"/>
    </row>
    <row r="11" spans="1:52" ht="45" customHeight="1">
      <c r="A11" s="153">
        <f t="shared" si="2"/>
        <v>8</v>
      </c>
      <c r="B11" s="153" t="s">
        <v>57</v>
      </c>
      <c r="C11" s="153" t="s">
        <v>61</v>
      </c>
      <c r="D11" s="28" t="s">
        <v>611</v>
      </c>
      <c r="E11" s="69" t="s">
        <v>772</v>
      </c>
      <c r="F11" s="39">
        <v>2</v>
      </c>
      <c r="G11" s="141" t="s">
        <v>753</v>
      </c>
      <c r="H11" s="141" t="s">
        <v>770</v>
      </c>
      <c r="I11" s="141"/>
      <c r="J11" s="141" t="s">
        <v>26</v>
      </c>
      <c r="K11" s="141"/>
      <c r="L11" s="69"/>
      <c r="M11" s="141"/>
      <c r="N11" s="59">
        <v>4.5</v>
      </c>
      <c r="O11" s="59">
        <v>4.5</v>
      </c>
      <c r="P11" s="105" t="s">
        <v>34</v>
      </c>
      <c r="Q11" s="105" t="s">
        <v>34</v>
      </c>
      <c r="R11" s="105"/>
      <c r="S11" s="105" t="s">
        <v>1056</v>
      </c>
      <c r="T11" s="105" t="s">
        <v>753</v>
      </c>
      <c r="U11" s="90">
        <v>45909</v>
      </c>
      <c r="V11" s="90">
        <v>45979</v>
      </c>
      <c r="W11" s="90">
        <v>45979</v>
      </c>
      <c r="X11" s="93" t="s">
        <v>612</v>
      </c>
      <c r="Y11" s="96" t="s">
        <v>613</v>
      </c>
      <c r="Z11" s="96" t="s">
        <v>614</v>
      </c>
      <c r="AA11" s="29">
        <v>0</v>
      </c>
      <c r="AB11" s="145">
        <v>0</v>
      </c>
      <c r="AC11" s="145">
        <v>0</v>
      </c>
      <c r="AD11" s="145">
        <v>0</v>
      </c>
      <c r="AE11" s="145">
        <v>0</v>
      </c>
      <c r="AF11" s="145">
        <v>0</v>
      </c>
      <c r="AG11" s="145">
        <v>0</v>
      </c>
      <c r="AH11" s="142">
        <f t="shared" si="3"/>
        <v>0</v>
      </c>
      <c r="AI11" s="141"/>
      <c r="AJ11" s="67"/>
      <c r="AK11" s="67"/>
      <c r="AL11" s="24"/>
      <c r="AM11" s="24"/>
      <c r="AN11" s="24"/>
      <c r="AO11" s="71"/>
      <c r="AP11" s="69" t="s">
        <v>773</v>
      </c>
      <c r="AQ11" s="141">
        <v>2</v>
      </c>
      <c r="AR11" s="141" t="s">
        <v>756</v>
      </c>
      <c r="AS11" s="141"/>
      <c r="AT11" s="141"/>
      <c r="AU11" s="141"/>
      <c r="AV11" s="141" t="s">
        <v>757</v>
      </c>
      <c r="AW11" s="141" t="s">
        <v>757</v>
      </c>
      <c r="AX11" s="141"/>
      <c r="AY11" s="141"/>
      <c r="AZ11" s="141" t="s">
        <v>757</v>
      </c>
    </row>
    <row r="12" spans="1:52" ht="45" customHeight="1">
      <c r="A12" s="153">
        <f t="shared" si="2"/>
        <v>9</v>
      </c>
      <c r="B12" s="153" t="s">
        <v>57</v>
      </c>
      <c r="C12" s="153" t="s">
        <v>61</v>
      </c>
      <c r="D12" s="28" t="s">
        <v>904</v>
      </c>
      <c r="E12" s="69" t="s">
        <v>905</v>
      </c>
      <c r="F12" s="39">
        <v>1</v>
      </c>
      <c r="G12" s="141" t="s">
        <v>753</v>
      </c>
      <c r="H12" s="141" t="s">
        <v>754</v>
      </c>
      <c r="I12" s="141"/>
      <c r="J12" s="141" t="s">
        <v>26</v>
      </c>
      <c r="K12" s="141"/>
      <c r="L12" s="69"/>
      <c r="M12" s="141"/>
      <c r="N12" s="59"/>
      <c r="O12" s="59"/>
      <c r="P12" s="105" t="s">
        <v>34</v>
      </c>
      <c r="Q12" s="105" t="s">
        <v>34</v>
      </c>
      <c r="R12" s="105"/>
      <c r="S12" s="105" t="s">
        <v>1068</v>
      </c>
      <c r="T12" s="105" t="s">
        <v>753</v>
      </c>
      <c r="U12" s="90"/>
      <c r="V12" s="90">
        <v>45982</v>
      </c>
      <c r="W12" s="90">
        <v>45982</v>
      </c>
      <c r="X12" s="93"/>
      <c r="Y12" s="96"/>
      <c r="Z12" s="96"/>
      <c r="AA12" s="29"/>
      <c r="AB12" s="145"/>
      <c r="AC12" s="145"/>
      <c r="AD12" s="145"/>
      <c r="AE12" s="145"/>
      <c r="AF12" s="145"/>
      <c r="AG12" s="145"/>
      <c r="AH12" s="142"/>
      <c r="AI12" s="141"/>
      <c r="AJ12" s="67"/>
      <c r="AK12" s="67"/>
      <c r="AL12" s="24"/>
      <c r="AM12" s="24"/>
      <c r="AN12" s="24"/>
      <c r="AO12" s="71"/>
      <c r="AP12" s="69"/>
      <c r="AQ12" s="141"/>
      <c r="AR12" s="141"/>
      <c r="AS12" s="141"/>
      <c r="AT12" s="141"/>
      <c r="AU12" s="141"/>
      <c r="AV12" s="141"/>
      <c r="AW12" s="141"/>
      <c r="AX12" s="141"/>
      <c r="AY12" s="141"/>
      <c r="AZ12" s="141"/>
    </row>
    <row r="13" spans="1:52" ht="45" customHeight="1">
      <c r="A13" s="153">
        <f t="shared" si="2"/>
        <v>10</v>
      </c>
      <c r="B13" s="153" t="s">
        <v>57</v>
      </c>
      <c r="C13" s="153" t="s">
        <v>65</v>
      </c>
      <c r="D13" s="28" t="s">
        <v>605</v>
      </c>
      <c r="E13" s="69" t="s">
        <v>842</v>
      </c>
      <c r="F13" s="39">
        <v>2</v>
      </c>
      <c r="G13" s="141" t="s">
        <v>123</v>
      </c>
      <c r="H13" s="141" t="s">
        <v>811</v>
      </c>
      <c r="I13" s="141"/>
      <c r="J13" s="141" t="s">
        <v>6</v>
      </c>
      <c r="K13" s="21"/>
      <c r="L13" s="69"/>
      <c r="M13" s="141"/>
      <c r="N13" s="59"/>
      <c r="O13" s="59"/>
      <c r="P13" s="105"/>
      <c r="Q13" s="105" t="s">
        <v>31</v>
      </c>
      <c r="R13" s="105" t="s">
        <v>897</v>
      </c>
      <c r="S13" s="105" t="s">
        <v>1148</v>
      </c>
      <c r="T13" s="105" t="s">
        <v>753</v>
      </c>
      <c r="U13" s="90"/>
      <c r="V13" s="90">
        <v>45992</v>
      </c>
      <c r="W13" s="90">
        <v>45992</v>
      </c>
      <c r="X13" s="93" t="s">
        <v>994</v>
      </c>
      <c r="Y13" s="96" t="s">
        <v>898</v>
      </c>
      <c r="Z13" s="96"/>
      <c r="AA13" s="29">
        <v>0</v>
      </c>
      <c r="AB13" s="145">
        <v>0</v>
      </c>
      <c r="AC13" s="145">
        <v>0</v>
      </c>
      <c r="AD13" s="145">
        <v>0</v>
      </c>
      <c r="AE13" s="145">
        <v>0</v>
      </c>
      <c r="AF13" s="145">
        <v>0</v>
      </c>
      <c r="AG13" s="145">
        <v>0</v>
      </c>
      <c r="AH13" s="142">
        <f t="shared" ref="AH13:AH20" si="4">AVERAGE(AA13:AG13)</f>
        <v>0</v>
      </c>
      <c r="AI13" s="141"/>
      <c r="AJ13" s="67"/>
      <c r="AK13" s="67"/>
      <c r="AL13" s="24"/>
      <c r="AM13" s="24"/>
      <c r="AN13" s="24"/>
      <c r="AO13" s="71"/>
      <c r="AP13" s="69" t="s">
        <v>843</v>
      </c>
      <c r="AQ13" s="141"/>
      <c r="AR13" s="141"/>
      <c r="AS13" s="141"/>
      <c r="AT13" s="141">
        <v>15</v>
      </c>
      <c r="AU13" s="86">
        <v>45901</v>
      </c>
      <c r="AV13" s="141" t="s">
        <v>757</v>
      </c>
      <c r="AW13" s="141"/>
      <c r="AX13" s="141"/>
      <c r="AY13" s="141"/>
      <c r="AZ13" s="141"/>
    </row>
    <row r="14" spans="1:52" ht="45" customHeight="1">
      <c r="A14" s="153">
        <f t="shared" si="2"/>
        <v>11</v>
      </c>
      <c r="B14" s="153" t="s">
        <v>57</v>
      </c>
      <c r="C14" s="153" t="s">
        <v>61</v>
      </c>
      <c r="D14" s="28" t="s">
        <v>677</v>
      </c>
      <c r="E14" s="69" t="s">
        <v>769</v>
      </c>
      <c r="F14" s="39">
        <v>2</v>
      </c>
      <c r="G14" s="141" t="s">
        <v>764</v>
      </c>
      <c r="H14" s="141" t="s">
        <v>770</v>
      </c>
      <c r="I14" s="141"/>
      <c r="J14" s="141" t="s">
        <v>26</v>
      </c>
      <c r="K14" s="141"/>
      <c r="L14" s="69"/>
      <c r="M14" s="141"/>
      <c r="N14" s="59">
        <v>2</v>
      </c>
      <c r="O14" s="59">
        <v>2</v>
      </c>
      <c r="P14" s="105" t="s">
        <v>31</v>
      </c>
      <c r="Q14" s="105" t="s">
        <v>31</v>
      </c>
      <c r="R14" s="105" t="s">
        <v>881</v>
      </c>
      <c r="S14" s="105" t="s">
        <v>1149</v>
      </c>
      <c r="T14" s="105" t="s">
        <v>753</v>
      </c>
      <c r="U14" s="90">
        <v>45922</v>
      </c>
      <c r="V14" s="90">
        <v>45980</v>
      </c>
      <c r="W14" s="90">
        <v>45980</v>
      </c>
      <c r="X14" s="93" t="s">
        <v>1029</v>
      </c>
      <c r="Y14" s="96" t="s">
        <v>679</v>
      </c>
      <c r="Z14" s="96"/>
      <c r="AA14" s="29">
        <v>0</v>
      </c>
      <c r="AB14" s="145">
        <v>0</v>
      </c>
      <c r="AC14" s="145">
        <v>0</v>
      </c>
      <c r="AD14" s="145">
        <v>0</v>
      </c>
      <c r="AE14" s="145">
        <v>0</v>
      </c>
      <c r="AF14" s="145">
        <v>0</v>
      </c>
      <c r="AG14" s="145">
        <v>0</v>
      </c>
      <c r="AH14" s="142">
        <f t="shared" si="4"/>
        <v>0</v>
      </c>
      <c r="AI14" s="141"/>
      <c r="AJ14" s="67"/>
      <c r="AK14" s="67"/>
      <c r="AL14" s="24"/>
      <c r="AM14" s="24"/>
      <c r="AN14" s="24"/>
      <c r="AO14" s="71"/>
      <c r="AP14" s="69" t="s">
        <v>771</v>
      </c>
      <c r="AQ14" s="141">
        <v>5</v>
      </c>
      <c r="AR14" s="141" t="s">
        <v>761</v>
      </c>
      <c r="AS14" s="141"/>
      <c r="AT14" s="141"/>
      <c r="AU14" s="141"/>
      <c r="AV14" s="141" t="s">
        <v>757</v>
      </c>
      <c r="AW14" s="141" t="s">
        <v>757</v>
      </c>
      <c r="AX14" s="141"/>
      <c r="AY14" s="141"/>
      <c r="AZ14" s="141"/>
    </row>
    <row r="15" spans="1:52" ht="45" customHeight="1">
      <c r="A15" s="153">
        <f t="shared" si="2"/>
        <v>12</v>
      </c>
      <c r="B15" s="153" t="s">
        <v>57</v>
      </c>
      <c r="C15" s="153" t="s">
        <v>63</v>
      </c>
      <c r="D15" s="28" t="s">
        <v>1111</v>
      </c>
      <c r="E15" s="69" t="s">
        <v>1112</v>
      </c>
      <c r="F15" s="39">
        <v>0</v>
      </c>
      <c r="G15" s="141" t="s">
        <v>150</v>
      </c>
      <c r="H15" s="141" t="s">
        <v>759</v>
      </c>
      <c r="I15" s="141"/>
      <c r="J15" s="141" t="s">
        <v>6</v>
      </c>
      <c r="K15" s="141"/>
      <c r="L15" s="69"/>
      <c r="M15" s="141"/>
      <c r="N15" s="59"/>
      <c r="O15" s="59"/>
      <c r="P15" s="105" t="s">
        <v>33</v>
      </c>
      <c r="Q15" s="105" t="s">
        <v>33</v>
      </c>
      <c r="R15" s="105"/>
      <c r="S15" s="105" t="s">
        <v>1113</v>
      </c>
      <c r="T15" s="105" t="s">
        <v>753</v>
      </c>
      <c r="U15" s="90"/>
      <c r="V15" s="90">
        <v>45978</v>
      </c>
      <c r="W15" s="90"/>
      <c r="X15" s="93"/>
      <c r="Y15" s="96" t="s">
        <v>1114</v>
      </c>
      <c r="Z15" s="96"/>
      <c r="AA15" s="29">
        <v>0</v>
      </c>
      <c r="AB15" s="145">
        <v>0</v>
      </c>
      <c r="AC15" s="145">
        <v>0</v>
      </c>
      <c r="AD15" s="145">
        <v>0</v>
      </c>
      <c r="AE15" s="145">
        <v>0</v>
      </c>
      <c r="AF15" s="145">
        <v>0</v>
      </c>
      <c r="AG15" s="145">
        <v>0</v>
      </c>
      <c r="AH15" s="142">
        <f t="shared" si="4"/>
        <v>0</v>
      </c>
      <c r="AI15" s="141"/>
      <c r="AJ15" s="67"/>
      <c r="AK15" s="67"/>
      <c r="AL15" s="24"/>
      <c r="AM15" s="24"/>
      <c r="AN15" s="24"/>
      <c r="AO15" s="71"/>
      <c r="AP15" s="69"/>
      <c r="AQ15" s="141"/>
      <c r="AR15" s="141"/>
      <c r="AS15" s="141"/>
      <c r="AT15" s="141"/>
      <c r="AU15" s="141"/>
      <c r="AV15" s="141"/>
      <c r="AW15" s="141"/>
      <c r="AX15" s="141"/>
      <c r="AY15" s="141"/>
      <c r="AZ15" s="141"/>
    </row>
    <row r="16" spans="1:52" ht="45" customHeight="1">
      <c r="A16" s="153">
        <f t="shared" si="2"/>
        <v>13</v>
      </c>
      <c r="B16" s="153" t="s">
        <v>57</v>
      </c>
      <c r="C16" s="153" t="s">
        <v>61</v>
      </c>
      <c r="D16" s="28" t="s">
        <v>246</v>
      </c>
      <c r="E16" s="69" t="s">
        <v>784</v>
      </c>
      <c r="F16" s="39">
        <v>2</v>
      </c>
      <c r="G16" s="141" t="s">
        <v>150</v>
      </c>
      <c r="H16" s="141" t="s">
        <v>753</v>
      </c>
      <c r="I16" s="141"/>
      <c r="J16" s="141" t="s">
        <v>14</v>
      </c>
      <c r="K16" s="141"/>
      <c r="L16" s="69"/>
      <c r="M16" s="141"/>
      <c r="N16" s="59">
        <v>1</v>
      </c>
      <c r="O16" s="59">
        <v>1</v>
      </c>
      <c r="P16" s="105" t="s">
        <v>31</v>
      </c>
      <c r="Q16" s="105" t="s">
        <v>31</v>
      </c>
      <c r="R16" s="105" t="s">
        <v>882</v>
      </c>
      <c r="S16" s="105" t="s">
        <v>1132</v>
      </c>
      <c r="T16" s="105" t="s">
        <v>753</v>
      </c>
      <c r="U16" s="90">
        <v>45965</v>
      </c>
      <c r="V16" s="90">
        <v>45982</v>
      </c>
      <c r="W16" s="90">
        <v>45982</v>
      </c>
      <c r="X16" s="93" t="s">
        <v>1150</v>
      </c>
      <c r="Y16" s="126" t="s">
        <v>701</v>
      </c>
      <c r="Z16" s="96" t="s">
        <v>1134</v>
      </c>
      <c r="AA16" s="29">
        <v>0</v>
      </c>
      <c r="AB16" s="145">
        <v>0</v>
      </c>
      <c r="AC16" s="145">
        <v>0</v>
      </c>
      <c r="AD16" s="145">
        <v>0</v>
      </c>
      <c r="AE16" s="145">
        <v>0</v>
      </c>
      <c r="AF16" s="145">
        <v>0</v>
      </c>
      <c r="AG16" s="145">
        <v>0</v>
      </c>
      <c r="AH16" s="142">
        <f t="shared" si="4"/>
        <v>0</v>
      </c>
      <c r="AI16" s="141"/>
      <c r="AJ16" s="67"/>
      <c r="AK16" s="67"/>
      <c r="AL16" s="24"/>
      <c r="AM16" s="24"/>
      <c r="AN16" s="24"/>
      <c r="AO16" s="71"/>
      <c r="AP16" s="69" t="s">
        <v>785</v>
      </c>
      <c r="AQ16" s="141"/>
      <c r="AR16" s="141"/>
      <c r="AS16" s="141">
        <v>5</v>
      </c>
      <c r="AT16" s="141">
        <v>10</v>
      </c>
      <c r="AU16" s="141"/>
      <c r="AV16" s="141"/>
      <c r="AW16" s="141" t="s">
        <v>757</v>
      </c>
      <c r="AX16" s="141"/>
      <c r="AY16" s="141" t="s">
        <v>757</v>
      </c>
      <c r="AZ16" s="141" t="s">
        <v>757</v>
      </c>
    </row>
    <row r="17" spans="1:52" ht="45" customHeight="1">
      <c r="A17" s="153">
        <f t="shared" si="2"/>
        <v>14</v>
      </c>
      <c r="B17" s="153" t="s">
        <v>57</v>
      </c>
      <c r="C17" s="153" t="s">
        <v>61</v>
      </c>
      <c r="D17" s="28" t="s">
        <v>633</v>
      </c>
      <c r="E17" s="69" t="s">
        <v>787</v>
      </c>
      <c r="F17" s="39">
        <v>3</v>
      </c>
      <c r="G17" s="141" t="s">
        <v>764</v>
      </c>
      <c r="H17" s="141" t="s">
        <v>770</v>
      </c>
      <c r="I17" s="141"/>
      <c r="J17" s="141" t="s">
        <v>14</v>
      </c>
      <c r="K17" s="141"/>
      <c r="L17" s="69"/>
      <c r="M17" s="141"/>
      <c r="N17" s="59">
        <v>4</v>
      </c>
      <c r="O17" s="59">
        <v>2</v>
      </c>
      <c r="P17" s="105" t="s">
        <v>31</v>
      </c>
      <c r="Q17" s="105" t="s">
        <v>31</v>
      </c>
      <c r="R17" s="105" t="s">
        <v>902</v>
      </c>
      <c r="S17" s="105" t="s">
        <v>1121</v>
      </c>
      <c r="T17" s="105" t="s">
        <v>753</v>
      </c>
      <c r="U17" s="90">
        <v>45951</v>
      </c>
      <c r="V17" s="90">
        <v>45982</v>
      </c>
      <c r="W17" s="90">
        <v>45982</v>
      </c>
      <c r="X17" s="93" t="s">
        <v>903</v>
      </c>
      <c r="Y17" s="96" t="s">
        <v>1027</v>
      </c>
      <c r="Z17" s="96"/>
      <c r="AA17" s="29">
        <v>0</v>
      </c>
      <c r="AB17" s="145">
        <v>0</v>
      </c>
      <c r="AC17" s="145">
        <v>0</v>
      </c>
      <c r="AD17" s="145">
        <v>0</v>
      </c>
      <c r="AE17" s="145">
        <v>0</v>
      </c>
      <c r="AF17" s="145">
        <v>0</v>
      </c>
      <c r="AG17" s="145">
        <v>0</v>
      </c>
      <c r="AH17" s="142">
        <f t="shared" si="4"/>
        <v>0</v>
      </c>
      <c r="AI17" s="141"/>
      <c r="AJ17" s="67"/>
      <c r="AK17" s="67"/>
      <c r="AL17" s="24"/>
      <c r="AM17" s="24"/>
      <c r="AN17" s="24"/>
      <c r="AO17" s="71"/>
      <c r="AP17" s="69" t="s">
        <v>788</v>
      </c>
      <c r="AQ17" s="141"/>
      <c r="AR17" s="141"/>
      <c r="AS17" s="141">
        <v>35</v>
      </c>
      <c r="AT17" s="141"/>
      <c r="AU17" s="141"/>
      <c r="AV17" s="141"/>
      <c r="AW17" s="141" t="s">
        <v>757</v>
      </c>
      <c r="AX17" s="141" t="s">
        <v>757</v>
      </c>
      <c r="AY17" s="141" t="s">
        <v>757</v>
      </c>
      <c r="AZ17" s="141"/>
    </row>
    <row r="18" spans="1:52" ht="45" customHeight="1">
      <c r="A18" s="153">
        <f t="shared" si="2"/>
        <v>15</v>
      </c>
      <c r="B18" s="153" t="s">
        <v>57</v>
      </c>
      <c r="C18" s="153" t="s">
        <v>61</v>
      </c>
      <c r="D18" s="28" t="s">
        <v>615</v>
      </c>
      <c r="E18" s="69" t="s">
        <v>780</v>
      </c>
      <c r="F18" s="39">
        <v>3</v>
      </c>
      <c r="G18" s="141" t="s">
        <v>764</v>
      </c>
      <c r="H18" s="141" t="s">
        <v>770</v>
      </c>
      <c r="I18" s="141"/>
      <c r="J18" s="141" t="s">
        <v>14</v>
      </c>
      <c r="K18" s="141"/>
      <c r="L18" s="69"/>
      <c r="M18" s="141"/>
      <c r="N18" s="59">
        <v>5</v>
      </c>
      <c r="O18" s="59">
        <v>5</v>
      </c>
      <c r="P18" s="105" t="s">
        <v>34</v>
      </c>
      <c r="Q18" s="105" t="s">
        <v>34</v>
      </c>
      <c r="R18" s="105"/>
      <c r="S18" s="105" t="s">
        <v>1151</v>
      </c>
      <c r="T18" s="105" t="s">
        <v>1064</v>
      </c>
      <c r="U18" s="90">
        <v>45965</v>
      </c>
      <c r="V18" s="90">
        <v>45968</v>
      </c>
      <c r="W18" s="90"/>
      <c r="X18" s="93" t="s">
        <v>1020</v>
      </c>
      <c r="Y18" s="96"/>
      <c r="Z18" s="96" t="s">
        <v>1021</v>
      </c>
      <c r="AA18" s="29">
        <v>0</v>
      </c>
      <c r="AB18" s="145">
        <v>0</v>
      </c>
      <c r="AC18" s="145">
        <v>0</v>
      </c>
      <c r="AD18" s="145">
        <v>0</v>
      </c>
      <c r="AE18" s="145">
        <v>0</v>
      </c>
      <c r="AF18" s="145">
        <v>0</v>
      </c>
      <c r="AG18" s="145">
        <v>0</v>
      </c>
      <c r="AH18" s="142">
        <f t="shared" si="4"/>
        <v>0</v>
      </c>
      <c r="AI18" s="141"/>
      <c r="AJ18" s="67"/>
      <c r="AK18" s="67"/>
      <c r="AL18" s="24"/>
      <c r="AM18" s="24"/>
      <c r="AN18" s="24"/>
      <c r="AO18" s="71"/>
      <c r="AP18" s="69" t="s">
        <v>781</v>
      </c>
      <c r="AQ18" s="141"/>
      <c r="AR18" s="141"/>
      <c r="AS18" s="141">
        <v>150</v>
      </c>
      <c r="AT18" s="141"/>
      <c r="AU18" s="141"/>
      <c r="AV18" s="141"/>
      <c r="AW18" s="141" t="s">
        <v>757</v>
      </c>
      <c r="AX18" s="141" t="s">
        <v>757</v>
      </c>
      <c r="AY18" s="141" t="s">
        <v>757</v>
      </c>
      <c r="AZ18" s="141"/>
    </row>
    <row r="19" spans="1:52" ht="45" customHeight="1">
      <c r="A19" s="153">
        <f t="shared" si="2"/>
        <v>16</v>
      </c>
      <c r="B19" s="153" t="s">
        <v>57</v>
      </c>
      <c r="C19" s="153" t="s">
        <v>61</v>
      </c>
      <c r="D19" s="28" t="s">
        <v>693</v>
      </c>
      <c r="E19" s="69" t="s">
        <v>775</v>
      </c>
      <c r="F19" s="39">
        <v>2</v>
      </c>
      <c r="G19" s="141" t="s">
        <v>764</v>
      </c>
      <c r="H19" s="141" t="s">
        <v>770</v>
      </c>
      <c r="I19" s="141"/>
      <c r="J19" s="141" t="s">
        <v>26</v>
      </c>
      <c r="K19" s="141"/>
      <c r="L19" s="69"/>
      <c r="M19" s="141"/>
      <c r="N19" s="59">
        <v>3</v>
      </c>
      <c r="O19" s="59">
        <v>4</v>
      </c>
      <c r="P19" s="105" t="s">
        <v>34</v>
      </c>
      <c r="Q19" s="105" t="s">
        <v>32</v>
      </c>
      <c r="R19" s="105"/>
      <c r="S19" s="105" t="s">
        <v>1152</v>
      </c>
      <c r="T19" s="105" t="s">
        <v>1064</v>
      </c>
      <c r="U19" s="90">
        <v>45958</v>
      </c>
      <c r="V19" s="90">
        <v>45966</v>
      </c>
      <c r="W19" s="90">
        <v>45992</v>
      </c>
      <c r="X19" s="93" t="s">
        <v>1025</v>
      </c>
      <c r="Y19" s="96" t="s">
        <v>695</v>
      </c>
      <c r="Z19" s="96"/>
      <c r="AA19" s="29">
        <v>0</v>
      </c>
      <c r="AB19" s="145">
        <v>0</v>
      </c>
      <c r="AC19" s="145">
        <v>0</v>
      </c>
      <c r="AD19" s="145">
        <v>0</v>
      </c>
      <c r="AE19" s="145">
        <v>0</v>
      </c>
      <c r="AF19" s="145">
        <v>0</v>
      </c>
      <c r="AG19" s="145">
        <v>0</v>
      </c>
      <c r="AH19" s="142">
        <f t="shared" si="4"/>
        <v>0</v>
      </c>
      <c r="AI19" s="141"/>
      <c r="AJ19" s="67"/>
      <c r="AK19" s="67"/>
      <c r="AL19" s="24"/>
      <c r="AM19" s="24"/>
      <c r="AN19" s="24"/>
      <c r="AO19" s="71"/>
      <c r="AP19" s="69" t="s">
        <v>776</v>
      </c>
      <c r="AQ19" s="141">
        <v>5</v>
      </c>
      <c r="AR19" s="141" t="s">
        <v>761</v>
      </c>
      <c r="AS19" s="141"/>
      <c r="AT19" s="141"/>
      <c r="AU19" s="141"/>
      <c r="AV19" s="141" t="s">
        <v>757</v>
      </c>
      <c r="AW19" s="141" t="s">
        <v>757</v>
      </c>
      <c r="AX19" s="141"/>
      <c r="AY19" s="141"/>
      <c r="AZ19" s="141" t="s">
        <v>757</v>
      </c>
    </row>
    <row r="20" spans="1:52" ht="45" customHeight="1">
      <c r="A20" s="153">
        <f t="shared" si="2"/>
        <v>17</v>
      </c>
      <c r="B20" s="153" t="s">
        <v>57</v>
      </c>
      <c r="C20" s="153" t="s">
        <v>61</v>
      </c>
      <c r="D20" s="28" t="s">
        <v>643</v>
      </c>
      <c r="E20" s="69" t="s">
        <v>789</v>
      </c>
      <c r="F20" s="39">
        <v>2</v>
      </c>
      <c r="G20" s="141" t="s">
        <v>764</v>
      </c>
      <c r="H20" s="141" t="s">
        <v>770</v>
      </c>
      <c r="I20" s="141"/>
      <c r="J20" s="141" t="s">
        <v>10</v>
      </c>
      <c r="K20" s="141"/>
      <c r="L20" s="69"/>
      <c r="M20" s="141" t="s">
        <v>880</v>
      </c>
      <c r="N20" s="59">
        <v>3</v>
      </c>
      <c r="O20" s="59">
        <v>3</v>
      </c>
      <c r="P20" s="105" t="s">
        <v>33</v>
      </c>
      <c r="Q20" s="105" t="s">
        <v>33</v>
      </c>
      <c r="R20" s="105"/>
      <c r="S20" s="105" t="s">
        <v>1153</v>
      </c>
      <c r="T20" s="105" t="s">
        <v>1154</v>
      </c>
      <c r="U20" s="90">
        <v>45961</v>
      </c>
      <c r="V20" s="90">
        <v>45978</v>
      </c>
      <c r="W20" s="90">
        <v>45978</v>
      </c>
      <c r="X20" s="93" t="s">
        <v>1059</v>
      </c>
      <c r="Y20" s="96" t="s">
        <v>894</v>
      </c>
      <c r="Z20" s="96" t="s">
        <v>895</v>
      </c>
      <c r="AA20" s="29">
        <v>0</v>
      </c>
      <c r="AB20" s="145">
        <v>0</v>
      </c>
      <c r="AC20" s="145">
        <v>0</v>
      </c>
      <c r="AD20" s="145">
        <v>0</v>
      </c>
      <c r="AE20" s="145">
        <v>0</v>
      </c>
      <c r="AF20" s="145">
        <v>0</v>
      </c>
      <c r="AG20" s="145">
        <v>0</v>
      </c>
      <c r="AH20" s="142">
        <f t="shared" si="4"/>
        <v>0</v>
      </c>
      <c r="AI20" s="141"/>
      <c r="AJ20" s="67"/>
      <c r="AK20" s="67"/>
      <c r="AL20" s="24"/>
      <c r="AM20" s="24"/>
      <c r="AN20" s="24"/>
      <c r="AO20" s="71"/>
      <c r="AP20" s="69" t="s">
        <v>790</v>
      </c>
      <c r="AQ20" s="141"/>
      <c r="AR20" s="141"/>
      <c r="AS20" s="141"/>
      <c r="AT20" s="141">
        <v>35</v>
      </c>
      <c r="AU20" s="86">
        <v>45931</v>
      </c>
      <c r="AV20" s="141" t="s">
        <v>757</v>
      </c>
      <c r="AW20" s="141" t="s">
        <v>757</v>
      </c>
      <c r="AX20" s="141" t="s">
        <v>757</v>
      </c>
      <c r="AY20" s="141" t="s">
        <v>757</v>
      </c>
      <c r="AZ20" s="141"/>
    </row>
    <row r="21" spans="1:52" ht="45" customHeight="1">
      <c r="A21" s="153">
        <f t="shared" si="2"/>
        <v>18</v>
      </c>
      <c r="B21" s="153" t="s">
        <v>57</v>
      </c>
      <c r="C21" s="153" t="s">
        <v>61</v>
      </c>
      <c r="D21" s="28" t="s">
        <v>906</v>
      </c>
      <c r="E21" s="69" t="s">
        <v>907</v>
      </c>
      <c r="F21" s="39">
        <v>1</v>
      </c>
      <c r="G21" s="141" t="s">
        <v>764</v>
      </c>
      <c r="H21" s="141"/>
      <c r="I21" s="141"/>
      <c r="J21" s="141" t="s">
        <v>6</v>
      </c>
      <c r="K21" s="141"/>
      <c r="L21" s="69"/>
      <c r="M21" s="141"/>
      <c r="N21" s="59"/>
      <c r="O21" s="59"/>
      <c r="P21" s="105"/>
      <c r="Q21" s="105"/>
      <c r="R21" s="105"/>
      <c r="S21" s="105" t="s">
        <v>1069</v>
      </c>
      <c r="T21" s="105" t="s">
        <v>764</v>
      </c>
      <c r="U21" s="90"/>
      <c r="V21" s="90">
        <v>45982</v>
      </c>
      <c r="W21" s="90">
        <v>45982</v>
      </c>
      <c r="X21" s="93"/>
      <c r="Y21" s="96" t="s">
        <v>908</v>
      </c>
      <c r="Z21" s="96"/>
      <c r="AA21" s="29"/>
      <c r="AB21" s="145"/>
      <c r="AC21" s="145"/>
      <c r="AD21" s="145"/>
      <c r="AE21" s="145"/>
      <c r="AF21" s="145"/>
      <c r="AG21" s="145"/>
      <c r="AH21" s="142"/>
      <c r="AI21" s="141"/>
      <c r="AJ21" s="67"/>
      <c r="AK21" s="67"/>
      <c r="AL21" s="24"/>
      <c r="AM21" s="24"/>
      <c r="AN21" s="24"/>
      <c r="AO21" s="71"/>
      <c r="AP21" s="69"/>
      <c r="AQ21" s="141"/>
      <c r="AR21" s="141"/>
      <c r="AS21" s="141"/>
      <c r="AT21" s="141"/>
      <c r="AU21" s="141"/>
      <c r="AV21" s="141"/>
      <c r="AW21" s="141"/>
      <c r="AX21" s="141"/>
      <c r="AY21" s="141"/>
      <c r="AZ21" s="141"/>
    </row>
    <row r="22" spans="1:52" ht="45" customHeight="1">
      <c r="A22" s="153">
        <f t="shared" si="2"/>
        <v>19</v>
      </c>
      <c r="B22" s="153" t="s">
        <v>57</v>
      </c>
      <c r="C22" s="153" t="s">
        <v>61</v>
      </c>
      <c r="D22" s="28" t="s">
        <v>697</v>
      </c>
      <c r="E22" s="69" t="s">
        <v>800</v>
      </c>
      <c r="F22" s="39">
        <v>2</v>
      </c>
      <c r="G22" s="141" t="s">
        <v>764</v>
      </c>
      <c r="H22" s="141" t="s">
        <v>770</v>
      </c>
      <c r="I22" s="141"/>
      <c r="J22" s="141" t="s">
        <v>6</v>
      </c>
      <c r="K22" s="21"/>
      <c r="L22" s="69"/>
      <c r="M22" s="141"/>
      <c r="N22" s="59">
        <v>1</v>
      </c>
      <c r="O22" s="59">
        <v>4</v>
      </c>
      <c r="P22" s="105"/>
      <c r="Q22" s="105"/>
      <c r="R22" s="105"/>
      <c r="S22" s="105" t="s">
        <v>1155</v>
      </c>
      <c r="T22" s="105" t="s">
        <v>1062</v>
      </c>
      <c r="U22" s="90">
        <v>45778</v>
      </c>
      <c r="V22" s="90">
        <v>45986</v>
      </c>
      <c r="W22" s="90">
        <v>45986</v>
      </c>
      <c r="X22" s="93" t="s">
        <v>899</v>
      </c>
      <c r="Y22" s="96" t="s">
        <v>699</v>
      </c>
      <c r="Z22" s="96"/>
      <c r="AA22" s="29">
        <v>0</v>
      </c>
      <c r="AB22" s="145">
        <v>0</v>
      </c>
      <c r="AC22" s="145">
        <v>0</v>
      </c>
      <c r="AD22" s="145">
        <v>0</v>
      </c>
      <c r="AE22" s="145">
        <v>0</v>
      </c>
      <c r="AF22" s="145">
        <v>0</v>
      </c>
      <c r="AG22" s="145">
        <v>0</v>
      </c>
      <c r="AH22" s="142">
        <f t="shared" ref="AH22:AH27" si="5">AVERAGE(AA22:AG22)</f>
        <v>0</v>
      </c>
      <c r="AI22" s="141"/>
      <c r="AJ22" s="67"/>
      <c r="AK22" s="67"/>
      <c r="AL22" s="24"/>
      <c r="AM22" s="24"/>
      <c r="AN22" s="24"/>
      <c r="AO22" s="71"/>
      <c r="AP22" s="69" t="s">
        <v>801</v>
      </c>
      <c r="AQ22" s="141"/>
      <c r="AR22" s="141"/>
      <c r="AS22" s="141"/>
      <c r="AT22" s="141">
        <v>100</v>
      </c>
      <c r="AU22" s="86">
        <v>46023</v>
      </c>
      <c r="AV22" s="141" t="s">
        <v>757</v>
      </c>
      <c r="AW22" s="141" t="s">
        <v>757</v>
      </c>
      <c r="AX22" s="141"/>
      <c r="AY22" s="141"/>
      <c r="AZ22" s="141"/>
    </row>
    <row r="23" spans="1:52" ht="45" customHeight="1">
      <c r="A23" s="153">
        <f t="shared" si="2"/>
        <v>20</v>
      </c>
      <c r="B23" s="153" t="s">
        <v>57</v>
      </c>
      <c r="C23" s="153" t="s">
        <v>63</v>
      </c>
      <c r="D23" s="28" t="s">
        <v>154</v>
      </c>
      <c r="E23" s="69" t="s">
        <v>851</v>
      </c>
      <c r="F23" s="39">
        <v>1</v>
      </c>
      <c r="G23" s="141" t="s">
        <v>150</v>
      </c>
      <c r="H23" s="141" t="s">
        <v>765</v>
      </c>
      <c r="I23" s="141"/>
      <c r="J23" s="141" t="s">
        <v>26</v>
      </c>
      <c r="K23" s="141"/>
      <c r="L23" s="69"/>
      <c r="M23" s="141"/>
      <c r="N23" s="59">
        <v>5</v>
      </c>
      <c r="O23" s="59">
        <v>5</v>
      </c>
      <c r="P23" s="105" t="s">
        <v>34</v>
      </c>
      <c r="Q23" s="105" t="s">
        <v>32</v>
      </c>
      <c r="R23" s="105"/>
      <c r="S23" s="105" t="s">
        <v>1095</v>
      </c>
      <c r="T23" s="105" t="s">
        <v>1096</v>
      </c>
      <c r="U23" s="90">
        <v>45973</v>
      </c>
      <c r="V23" s="90">
        <v>45975</v>
      </c>
      <c r="W23" s="90">
        <v>45991</v>
      </c>
      <c r="X23" s="93" t="s">
        <v>1097</v>
      </c>
      <c r="Y23" s="96" t="s">
        <v>1098</v>
      </c>
      <c r="Z23" s="96" t="s">
        <v>920</v>
      </c>
      <c r="AA23" s="29">
        <v>0</v>
      </c>
      <c r="AB23" s="145">
        <v>0</v>
      </c>
      <c r="AC23" s="145">
        <v>0</v>
      </c>
      <c r="AD23" s="145">
        <v>0</v>
      </c>
      <c r="AE23" s="145">
        <v>0</v>
      </c>
      <c r="AF23" s="145">
        <v>0</v>
      </c>
      <c r="AG23" s="145">
        <v>0</v>
      </c>
      <c r="AH23" s="142">
        <f t="shared" si="5"/>
        <v>0</v>
      </c>
      <c r="AI23" s="141"/>
      <c r="AJ23" s="67"/>
      <c r="AK23" s="67"/>
      <c r="AL23" s="24"/>
      <c r="AM23" s="24"/>
      <c r="AN23" s="24"/>
      <c r="AO23" s="71"/>
      <c r="AP23" s="69" t="s">
        <v>852</v>
      </c>
      <c r="AQ23" s="141">
        <v>5</v>
      </c>
      <c r="AR23" s="141" t="s">
        <v>756</v>
      </c>
      <c r="AS23" s="141"/>
      <c r="AT23" s="141"/>
      <c r="AU23" s="141"/>
      <c r="AV23" s="141" t="s">
        <v>757</v>
      </c>
      <c r="AW23" s="141" t="s">
        <v>757</v>
      </c>
      <c r="AX23" s="141" t="s">
        <v>757</v>
      </c>
      <c r="AY23" s="141"/>
      <c r="AZ23" s="141" t="s">
        <v>757</v>
      </c>
    </row>
    <row r="24" spans="1:52" ht="45" customHeight="1">
      <c r="A24" s="153">
        <f t="shared" si="2"/>
        <v>21</v>
      </c>
      <c r="B24" s="153" t="s">
        <v>57</v>
      </c>
      <c r="C24" s="153" t="s">
        <v>61</v>
      </c>
      <c r="D24" s="28" t="s">
        <v>703</v>
      </c>
      <c r="E24" s="69" t="s">
        <v>791</v>
      </c>
      <c r="F24" s="39">
        <v>2</v>
      </c>
      <c r="G24" s="141" t="s">
        <v>764</v>
      </c>
      <c r="H24" s="141" t="s">
        <v>770</v>
      </c>
      <c r="I24" s="141"/>
      <c r="J24" s="141" t="s">
        <v>6</v>
      </c>
      <c r="K24" s="141"/>
      <c r="L24" s="69"/>
      <c r="M24" s="141"/>
      <c r="N24" s="59">
        <v>2</v>
      </c>
      <c r="O24" s="59">
        <v>2</v>
      </c>
      <c r="P24" s="105"/>
      <c r="Q24" s="105"/>
      <c r="R24" s="105"/>
      <c r="S24" s="105" t="s">
        <v>1156</v>
      </c>
      <c r="T24" s="105" t="s">
        <v>1081</v>
      </c>
      <c r="U24" s="90">
        <v>45975</v>
      </c>
      <c r="V24" s="90">
        <v>45988</v>
      </c>
      <c r="W24" s="90">
        <v>45988</v>
      </c>
      <c r="X24" s="93"/>
      <c r="Y24" s="96" t="s">
        <v>704</v>
      </c>
      <c r="Z24" s="96"/>
      <c r="AA24" s="29">
        <v>0</v>
      </c>
      <c r="AB24" s="145">
        <v>0</v>
      </c>
      <c r="AC24" s="145">
        <v>0</v>
      </c>
      <c r="AD24" s="145">
        <v>0</v>
      </c>
      <c r="AE24" s="145">
        <v>0</v>
      </c>
      <c r="AF24" s="145">
        <v>0</v>
      </c>
      <c r="AG24" s="145">
        <v>0</v>
      </c>
      <c r="AH24" s="142">
        <f t="shared" si="5"/>
        <v>0</v>
      </c>
      <c r="AI24" s="141"/>
      <c r="AJ24" s="67"/>
      <c r="AK24" s="67"/>
      <c r="AL24" s="24"/>
      <c r="AM24" s="24"/>
      <c r="AN24" s="24"/>
      <c r="AO24" s="71"/>
      <c r="AP24" s="69" t="s">
        <v>792</v>
      </c>
      <c r="AQ24" s="141"/>
      <c r="AR24" s="141"/>
      <c r="AS24" s="141"/>
      <c r="AT24" s="141">
        <v>35</v>
      </c>
      <c r="AU24" s="86">
        <v>46023</v>
      </c>
      <c r="AV24" s="141" t="s">
        <v>757</v>
      </c>
      <c r="AW24" s="141" t="s">
        <v>757</v>
      </c>
      <c r="AX24" s="141" t="s">
        <v>757</v>
      </c>
      <c r="AY24" s="141"/>
      <c r="AZ24" s="141"/>
    </row>
    <row r="25" spans="1:52" ht="45" customHeight="1">
      <c r="A25" s="153">
        <f t="shared" si="2"/>
        <v>22</v>
      </c>
      <c r="B25" s="153" t="s">
        <v>57</v>
      </c>
      <c r="C25" s="153" t="s">
        <v>65</v>
      </c>
      <c r="D25" s="28" t="s">
        <v>662</v>
      </c>
      <c r="E25" s="69"/>
      <c r="F25" s="39">
        <v>0</v>
      </c>
      <c r="G25" s="141" t="s">
        <v>150</v>
      </c>
      <c r="H25" s="141" t="s">
        <v>805</v>
      </c>
      <c r="I25" s="141"/>
      <c r="J25" s="141" t="s">
        <v>6</v>
      </c>
      <c r="K25" s="21" t="s">
        <v>44</v>
      </c>
      <c r="L25" s="69"/>
      <c r="M25" s="141"/>
      <c r="N25" s="59"/>
      <c r="O25" s="59"/>
      <c r="P25" s="105" t="s">
        <v>35</v>
      </c>
      <c r="Q25" s="105" t="s">
        <v>35</v>
      </c>
      <c r="R25" s="105"/>
      <c r="S25" s="105" t="s">
        <v>1080</v>
      </c>
      <c r="T25" s="105" t="s">
        <v>1081</v>
      </c>
      <c r="U25" s="90">
        <v>45966</v>
      </c>
      <c r="V25" s="90">
        <v>45975</v>
      </c>
      <c r="W25" s="90">
        <v>45978</v>
      </c>
      <c r="X25" s="93" t="s">
        <v>1082</v>
      </c>
      <c r="Y25" s="96" t="s">
        <v>1083</v>
      </c>
      <c r="Z25" s="96"/>
      <c r="AA25" s="29">
        <v>0</v>
      </c>
      <c r="AB25" s="145">
        <v>0</v>
      </c>
      <c r="AC25" s="145">
        <v>0</v>
      </c>
      <c r="AD25" s="145">
        <v>0</v>
      </c>
      <c r="AE25" s="145">
        <v>0</v>
      </c>
      <c r="AF25" s="145">
        <v>0</v>
      </c>
      <c r="AG25" s="145">
        <v>0</v>
      </c>
      <c r="AH25" s="142">
        <f t="shared" si="5"/>
        <v>0</v>
      </c>
      <c r="AI25" s="141"/>
      <c r="AJ25" s="67"/>
      <c r="AK25" s="67"/>
      <c r="AL25" s="24"/>
      <c r="AM25" s="24"/>
      <c r="AN25" s="24"/>
      <c r="AO25" s="71"/>
      <c r="AP25" s="69"/>
      <c r="AQ25" s="141"/>
      <c r="AR25" s="141"/>
      <c r="AS25" s="141"/>
      <c r="AT25" s="141"/>
      <c r="AU25" s="141"/>
      <c r="AV25" s="141"/>
      <c r="AW25" s="141"/>
      <c r="AX25" s="141"/>
      <c r="AY25" s="141"/>
      <c r="AZ25" s="141"/>
    </row>
    <row r="26" spans="1:52" ht="45" customHeight="1">
      <c r="A26" s="153">
        <f t="shared" si="2"/>
        <v>23</v>
      </c>
      <c r="B26" s="153" t="s">
        <v>57</v>
      </c>
      <c r="C26" s="153" t="s">
        <v>65</v>
      </c>
      <c r="D26" s="28" t="s">
        <v>125</v>
      </c>
      <c r="E26" s="69"/>
      <c r="F26" s="39">
        <v>3</v>
      </c>
      <c r="G26" s="141" t="s">
        <v>123</v>
      </c>
      <c r="H26" s="141" t="s">
        <v>797</v>
      </c>
      <c r="I26" s="141"/>
      <c r="J26" s="141" t="s">
        <v>26</v>
      </c>
      <c r="K26" s="141"/>
      <c r="L26" s="69"/>
      <c r="M26" s="141"/>
      <c r="N26" s="59">
        <v>0</v>
      </c>
      <c r="O26" s="59">
        <v>0</v>
      </c>
      <c r="P26" s="105" t="s">
        <v>32</v>
      </c>
      <c r="Q26" s="105" t="s">
        <v>32</v>
      </c>
      <c r="R26" s="105" t="s">
        <v>981</v>
      </c>
      <c r="S26" s="105" t="s">
        <v>982</v>
      </c>
      <c r="T26" s="105" t="s">
        <v>983</v>
      </c>
      <c r="U26" s="90">
        <v>45964</v>
      </c>
      <c r="V26" s="90">
        <v>45971</v>
      </c>
      <c r="W26" s="90">
        <v>45991</v>
      </c>
      <c r="X26" s="93" t="s">
        <v>1119</v>
      </c>
      <c r="Y26" s="96" t="s">
        <v>1120</v>
      </c>
      <c r="Z26" s="121" t="s">
        <v>986</v>
      </c>
      <c r="AA26" s="29">
        <v>0</v>
      </c>
      <c r="AB26" s="145">
        <v>0</v>
      </c>
      <c r="AC26" s="145">
        <v>0</v>
      </c>
      <c r="AD26" s="145">
        <v>0</v>
      </c>
      <c r="AE26" s="145">
        <v>0</v>
      </c>
      <c r="AF26" s="145">
        <v>0</v>
      </c>
      <c r="AG26" s="145">
        <v>0</v>
      </c>
      <c r="AH26" s="142">
        <f t="shared" si="5"/>
        <v>0</v>
      </c>
      <c r="AI26" s="141"/>
      <c r="AJ26" s="67"/>
      <c r="AK26" s="67"/>
      <c r="AL26" s="24"/>
      <c r="AM26" s="24"/>
      <c r="AN26" s="24"/>
      <c r="AO26" s="71"/>
      <c r="AP26" s="69" t="s">
        <v>819</v>
      </c>
      <c r="AQ26" s="141">
        <v>2</v>
      </c>
      <c r="AR26" s="141" t="s">
        <v>761</v>
      </c>
      <c r="AS26" s="141"/>
      <c r="AT26" s="141"/>
      <c r="AU26" s="141"/>
      <c r="AV26" s="141"/>
      <c r="AW26" s="141" t="s">
        <v>757</v>
      </c>
      <c r="AX26" s="141"/>
      <c r="AY26" s="141"/>
      <c r="AZ26" s="141" t="s">
        <v>757</v>
      </c>
    </row>
    <row r="27" spans="1:52" ht="45" customHeight="1">
      <c r="A27" s="153">
        <f t="shared" si="2"/>
        <v>24</v>
      </c>
      <c r="B27" s="153" t="s">
        <v>57</v>
      </c>
      <c r="C27" s="153" t="s">
        <v>63</v>
      </c>
      <c r="D27" s="28" t="s">
        <v>608</v>
      </c>
      <c r="E27" s="69"/>
      <c r="F27" s="39">
        <v>1</v>
      </c>
      <c r="G27" s="141" t="s">
        <v>150</v>
      </c>
      <c r="H27" s="141" t="s">
        <v>765</v>
      </c>
      <c r="I27" s="141"/>
      <c r="J27" s="141" t="s">
        <v>26</v>
      </c>
      <c r="K27" s="141"/>
      <c r="L27" s="69"/>
      <c r="M27" s="141"/>
      <c r="N27" s="59">
        <v>0</v>
      </c>
      <c r="O27" s="59">
        <v>0</v>
      </c>
      <c r="P27" s="105" t="s">
        <v>34</v>
      </c>
      <c r="Q27" s="105" t="s">
        <v>34</v>
      </c>
      <c r="R27" s="105"/>
      <c r="S27" s="105" t="s">
        <v>1100</v>
      </c>
      <c r="T27" s="105" t="s">
        <v>1081</v>
      </c>
      <c r="U27" s="90">
        <v>45966</v>
      </c>
      <c r="V27" s="90">
        <v>45980</v>
      </c>
      <c r="W27" s="90">
        <v>46001</v>
      </c>
      <c r="X27" s="93" t="s">
        <v>1101</v>
      </c>
      <c r="Y27" s="96" t="s">
        <v>1102</v>
      </c>
      <c r="Z27" s="96"/>
      <c r="AA27" s="29">
        <v>0</v>
      </c>
      <c r="AB27" s="145">
        <v>0</v>
      </c>
      <c r="AC27" s="145">
        <v>0</v>
      </c>
      <c r="AD27" s="145">
        <v>0</v>
      </c>
      <c r="AE27" s="145">
        <v>0</v>
      </c>
      <c r="AF27" s="145">
        <v>0</v>
      </c>
      <c r="AG27" s="145">
        <v>0</v>
      </c>
      <c r="AH27" s="142">
        <f t="shared" si="5"/>
        <v>0</v>
      </c>
      <c r="AI27" s="141"/>
      <c r="AJ27" s="67"/>
      <c r="AK27" s="67"/>
      <c r="AL27" s="24"/>
      <c r="AM27" s="24"/>
      <c r="AN27" s="24"/>
      <c r="AO27" s="71"/>
      <c r="AP27" s="69" t="s">
        <v>857</v>
      </c>
      <c r="AQ27" s="141">
        <v>5</v>
      </c>
      <c r="AR27" s="141" t="s">
        <v>761</v>
      </c>
      <c r="AS27" s="141"/>
      <c r="AT27" s="141">
        <v>80</v>
      </c>
      <c r="AU27" s="86">
        <v>45931</v>
      </c>
      <c r="AV27" s="141" t="s">
        <v>757</v>
      </c>
      <c r="AW27" s="141" t="s">
        <v>757</v>
      </c>
      <c r="AX27" s="141"/>
      <c r="AY27" s="141"/>
      <c r="AZ27" s="141" t="s">
        <v>757</v>
      </c>
    </row>
    <row r="28" spans="1:52" ht="45" customHeight="1">
      <c r="A28" s="153">
        <f t="shared" si="2"/>
        <v>25</v>
      </c>
      <c r="B28" s="153" t="s">
        <v>57</v>
      </c>
      <c r="C28" s="153" t="s">
        <v>61</v>
      </c>
      <c r="D28" s="28" t="s">
        <v>1157</v>
      </c>
      <c r="E28" s="69" t="s">
        <v>1158</v>
      </c>
      <c r="F28" s="39">
        <v>1</v>
      </c>
      <c r="G28" s="141" t="s">
        <v>753</v>
      </c>
      <c r="H28" s="141" t="s">
        <v>765</v>
      </c>
      <c r="I28" s="141"/>
      <c r="J28" s="141" t="s">
        <v>6</v>
      </c>
      <c r="K28" s="141"/>
      <c r="L28" s="69"/>
      <c r="M28" s="141"/>
      <c r="N28" s="59"/>
      <c r="O28" s="59"/>
      <c r="P28" s="105" t="s">
        <v>34</v>
      </c>
      <c r="Q28" s="105" t="s">
        <v>34</v>
      </c>
      <c r="R28" s="105"/>
      <c r="S28" s="105" t="s">
        <v>1159</v>
      </c>
      <c r="T28" s="105" t="s">
        <v>1081</v>
      </c>
      <c r="U28" s="90">
        <v>45974</v>
      </c>
      <c r="V28" s="90">
        <v>45988</v>
      </c>
      <c r="W28" s="90">
        <v>45988</v>
      </c>
      <c r="X28" s="93" t="s">
        <v>1160</v>
      </c>
      <c r="Y28" s="96"/>
      <c r="Z28" s="96"/>
      <c r="AA28" s="29"/>
      <c r="AB28" s="145"/>
      <c r="AC28" s="145"/>
      <c r="AD28" s="145"/>
      <c r="AE28" s="145"/>
      <c r="AF28" s="145"/>
      <c r="AG28" s="145"/>
      <c r="AH28" s="142"/>
      <c r="AI28" s="141"/>
      <c r="AJ28" s="67"/>
      <c r="AK28" s="67"/>
      <c r="AL28" s="24"/>
      <c r="AM28" s="24"/>
      <c r="AN28" s="24"/>
      <c r="AO28" s="71"/>
      <c r="AP28" s="69"/>
      <c r="AQ28" s="141"/>
      <c r="AR28" s="141"/>
      <c r="AS28" s="141"/>
      <c r="AT28" s="141"/>
      <c r="AU28" s="141"/>
      <c r="AV28" s="141"/>
      <c r="AW28" s="141"/>
      <c r="AX28" s="141"/>
      <c r="AY28" s="141"/>
      <c r="AZ28" s="141"/>
    </row>
    <row r="29" spans="1:52" ht="45" customHeight="1">
      <c r="A29" s="153">
        <f t="shared" si="2"/>
        <v>26</v>
      </c>
      <c r="B29" s="153" t="s">
        <v>57</v>
      </c>
      <c r="C29" s="153" t="s">
        <v>61</v>
      </c>
      <c r="D29" s="28" t="s">
        <v>1161</v>
      </c>
      <c r="E29" s="69" t="s">
        <v>1162</v>
      </c>
      <c r="F29" s="39">
        <v>2</v>
      </c>
      <c r="G29" s="141" t="s">
        <v>753</v>
      </c>
      <c r="H29" s="141" t="s">
        <v>765</v>
      </c>
      <c r="I29" s="141"/>
      <c r="J29" s="141" t="s">
        <v>6</v>
      </c>
      <c r="K29" s="141"/>
      <c r="L29" s="69"/>
      <c r="M29" s="141"/>
      <c r="N29" s="59"/>
      <c r="O29" s="59"/>
      <c r="P29" s="105" t="s">
        <v>34</v>
      </c>
      <c r="Q29" s="105" t="s">
        <v>34</v>
      </c>
      <c r="R29" s="105"/>
      <c r="S29" s="105" t="s">
        <v>1163</v>
      </c>
      <c r="T29" s="105" t="s">
        <v>1081</v>
      </c>
      <c r="U29" s="90">
        <v>45974</v>
      </c>
      <c r="V29" s="90">
        <v>45982</v>
      </c>
      <c r="W29" s="90">
        <v>45982</v>
      </c>
      <c r="X29" s="93" t="s">
        <v>1164</v>
      </c>
      <c r="Y29" s="96"/>
      <c r="Z29" s="96"/>
      <c r="AA29" s="29"/>
      <c r="AB29" s="145"/>
      <c r="AC29" s="145"/>
      <c r="AD29" s="145"/>
      <c r="AE29" s="145"/>
      <c r="AF29" s="145"/>
      <c r="AG29" s="145"/>
      <c r="AH29" s="142"/>
      <c r="AI29" s="141"/>
      <c r="AJ29" s="67"/>
      <c r="AK29" s="67"/>
      <c r="AL29" s="24"/>
      <c r="AM29" s="24"/>
      <c r="AN29" s="24"/>
      <c r="AO29" s="71"/>
      <c r="AP29" s="69"/>
      <c r="AQ29" s="141"/>
      <c r="AR29" s="141"/>
      <c r="AS29" s="141"/>
      <c r="AT29" s="141"/>
      <c r="AU29" s="141"/>
      <c r="AV29" s="141"/>
      <c r="AW29" s="141"/>
      <c r="AX29" s="141"/>
      <c r="AY29" s="141"/>
      <c r="AZ29" s="141"/>
    </row>
    <row r="30" spans="1:52" ht="45" customHeight="1">
      <c r="A30" s="153">
        <f t="shared" si="2"/>
        <v>27</v>
      </c>
      <c r="B30" s="153" t="s">
        <v>57</v>
      </c>
      <c r="C30" s="153" t="s">
        <v>63</v>
      </c>
      <c r="D30" s="28" t="s">
        <v>141</v>
      </c>
      <c r="E30" s="69"/>
      <c r="F30" s="39">
        <v>1</v>
      </c>
      <c r="G30" s="141" t="s">
        <v>150</v>
      </c>
      <c r="H30" s="141" t="s">
        <v>210</v>
      </c>
      <c r="I30" s="141"/>
      <c r="J30" s="141" t="s">
        <v>26</v>
      </c>
      <c r="K30" s="141"/>
      <c r="L30" s="69"/>
      <c r="M30" s="141"/>
      <c r="N30" s="59">
        <v>0</v>
      </c>
      <c r="O30" s="59">
        <v>0</v>
      </c>
      <c r="P30" s="105" t="s">
        <v>31</v>
      </c>
      <c r="Q30" s="105" t="s">
        <v>31</v>
      </c>
      <c r="R30" s="105" t="s">
        <v>1037</v>
      </c>
      <c r="S30" s="105" t="s">
        <v>1165</v>
      </c>
      <c r="T30" s="105" t="s">
        <v>1081</v>
      </c>
      <c r="U30" s="90">
        <v>45945</v>
      </c>
      <c r="V30" s="90">
        <v>45971</v>
      </c>
      <c r="W30" s="90">
        <v>45982</v>
      </c>
      <c r="X30" s="93" t="s">
        <v>1038</v>
      </c>
      <c r="Y30" s="96" t="s">
        <v>638</v>
      </c>
      <c r="Z30" s="96" t="s">
        <v>922</v>
      </c>
      <c r="AA30" s="29">
        <v>0</v>
      </c>
      <c r="AB30" s="145">
        <v>0</v>
      </c>
      <c r="AC30" s="145">
        <v>0</v>
      </c>
      <c r="AD30" s="145">
        <v>0</v>
      </c>
      <c r="AE30" s="145">
        <v>0</v>
      </c>
      <c r="AF30" s="145">
        <v>0</v>
      </c>
      <c r="AG30" s="145">
        <v>0</v>
      </c>
      <c r="AH30" s="142">
        <f t="shared" ref="AH30:AH44" si="6">AVERAGE(AA30:AG30)</f>
        <v>0</v>
      </c>
      <c r="AI30" s="141"/>
      <c r="AJ30" s="67"/>
      <c r="AK30" s="67"/>
      <c r="AL30" s="24"/>
      <c r="AM30" s="24"/>
      <c r="AN30" s="24"/>
      <c r="AO30" s="71"/>
      <c r="AP30" s="69" t="s">
        <v>854</v>
      </c>
      <c r="AQ30" s="141">
        <v>2</v>
      </c>
      <c r="AR30" s="141" t="s">
        <v>855</v>
      </c>
      <c r="AS30" s="141"/>
      <c r="AT30" s="141">
        <v>50</v>
      </c>
      <c r="AU30" s="86">
        <v>45962</v>
      </c>
      <c r="AV30" s="141" t="s">
        <v>757</v>
      </c>
      <c r="AW30" s="141" t="s">
        <v>757</v>
      </c>
      <c r="AX30" s="141" t="s">
        <v>757</v>
      </c>
      <c r="AY30" s="141"/>
      <c r="AZ30" s="141"/>
    </row>
    <row r="31" spans="1:52" ht="108" customHeight="1">
      <c r="A31" s="153">
        <f t="shared" si="2"/>
        <v>28</v>
      </c>
      <c r="B31" s="153" t="s">
        <v>57</v>
      </c>
      <c r="C31" s="153" t="s">
        <v>65</v>
      </c>
      <c r="D31" s="28" t="s">
        <v>707</v>
      </c>
      <c r="E31" s="69" t="s">
        <v>829</v>
      </c>
      <c r="F31" s="39">
        <v>4</v>
      </c>
      <c r="G31" s="141" t="s">
        <v>794</v>
      </c>
      <c r="H31" s="141" t="s">
        <v>797</v>
      </c>
      <c r="I31" s="141"/>
      <c r="J31" s="141" t="s">
        <v>14</v>
      </c>
      <c r="K31" s="141"/>
      <c r="L31" s="69"/>
      <c r="M31" s="141">
        <v>300</v>
      </c>
      <c r="N31" s="59"/>
      <c r="O31" s="59"/>
      <c r="P31" s="105" t="s">
        <v>33</v>
      </c>
      <c r="Q31" s="105" t="s">
        <v>31</v>
      </c>
      <c r="R31" s="105"/>
      <c r="S31" s="105" t="s">
        <v>1166</v>
      </c>
      <c r="T31" s="105" t="s">
        <v>1125</v>
      </c>
      <c r="U31" s="90"/>
      <c r="V31" s="90"/>
      <c r="W31" s="90">
        <v>45978</v>
      </c>
      <c r="X31" s="93" t="s">
        <v>1167</v>
      </c>
      <c r="Y31" s="96"/>
      <c r="Z31" s="96"/>
      <c r="AA31" s="29">
        <v>0</v>
      </c>
      <c r="AB31" s="145">
        <v>0</v>
      </c>
      <c r="AC31" s="145">
        <v>0</v>
      </c>
      <c r="AD31" s="145">
        <v>0</v>
      </c>
      <c r="AE31" s="145">
        <v>0</v>
      </c>
      <c r="AF31" s="145">
        <v>0</v>
      </c>
      <c r="AG31" s="145">
        <v>0</v>
      </c>
      <c r="AH31" s="142">
        <f t="shared" si="6"/>
        <v>0</v>
      </c>
      <c r="AI31" s="141"/>
      <c r="AJ31" s="67"/>
      <c r="AK31" s="67"/>
      <c r="AL31" s="24"/>
      <c r="AM31" s="24"/>
      <c r="AN31" s="24"/>
      <c r="AO31" s="71"/>
      <c r="AP31" s="69" t="s">
        <v>830</v>
      </c>
      <c r="AQ31" s="141">
        <v>10</v>
      </c>
      <c r="AR31" s="141" t="s">
        <v>756</v>
      </c>
      <c r="AS31" s="141">
        <v>300</v>
      </c>
      <c r="AT31" s="141"/>
      <c r="AU31" s="86">
        <v>45901</v>
      </c>
      <c r="AV31" s="141" t="s">
        <v>757</v>
      </c>
      <c r="AW31" s="141"/>
      <c r="AX31" s="141"/>
      <c r="AY31" s="141"/>
      <c r="AZ31" s="141"/>
    </row>
    <row r="32" spans="1:52" ht="45" customHeight="1">
      <c r="A32" s="153">
        <f t="shared" si="2"/>
        <v>29</v>
      </c>
      <c r="B32" s="153" t="s">
        <v>57</v>
      </c>
      <c r="C32" s="153" t="s">
        <v>63</v>
      </c>
      <c r="D32" s="28" t="s">
        <v>628</v>
      </c>
      <c r="E32" s="69"/>
      <c r="F32" s="39">
        <v>2</v>
      </c>
      <c r="G32" s="141" t="s">
        <v>150</v>
      </c>
      <c r="H32" s="141" t="s">
        <v>797</v>
      </c>
      <c r="I32" s="141"/>
      <c r="J32" s="141" t="s">
        <v>6</v>
      </c>
      <c r="K32" s="141"/>
      <c r="L32" s="69"/>
      <c r="M32" s="141"/>
      <c r="N32" s="59"/>
      <c r="O32" s="59"/>
      <c r="P32" s="105" t="s">
        <v>33</v>
      </c>
      <c r="Q32" s="105" t="s">
        <v>33</v>
      </c>
      <c r="R32" s="105"/>
      <c r="S32" s="105" t="s">
        <v>1168</v>
      </c>
      <c r="T32" s="105" t="s">
        <v>1125</v>
      </c>
      <c r="U32" s="90"/>
      <c r="V32" s="90"/>
      <c r="W32" s="90"/>
      <c r="X32" s="93" t="s">
        <v>629</v>
      </c>
      <c r="Y32" s="96"/>
      <c r="Z32" s="96"/>
      <c r="AA32" s="29">
        <v>0</v>
      </c>
      <c r="AB32" s="145">
        <v>0</v>
      </c>
      <c r="AC32" s="145">
        <v>0</v>
      </c>
      <c r="AD32" s="145">
        <v>0</v>
      </c>
      <c r="AE32" s="145">
        <v>0</v>
      </c>
      <c r="AF32" s="145">
        <v>0</v>
      </c>
      <c r="AG32" s="145">
        <v>0</v>
      </c>
      <c r="AH32" s="142">
        <f t="shared" si="6"/>
        <v>0</v>
      </c>
      <c r="AI32" s="141"/>
      <c r="AJ32" s="67"/>
      <c r="AK32" s="67"/>
      <c r="AL32" s="24"/>
      <c r="AM32" s="24"/>
      <c r="AN32" s="24"/>
      <c r="AO32" s="71"/>
      <c r="AP32" s="69" t="s">
        <v>868</v>
      </c>
      <c r="AQ32" s="141"/>
      <c r="AR32" s="141"/>
      <c r="AS32" s="141"/>
      <c r="AT32" s="141">
        <v>60</v>
      </c>
      <c r="AU32" s="86">
        <v>45962</v>
      </c>
      <c r="AV32" s="141" t="s">
        <v>757</v>
      </c>
      <c r="AW32" s="141" t="s">
        <v>757</v>
      </c>
      <c r="AX32" s="141"/>
      <c r="AY32" s="141"/>
      <c r="AZ32" s="141" t="s">
        <v>757</v>
      </c>
    </row>
    <row r="33" spans="1:52" ht="45" customHeight="1">
      <c r="A33" s="153">
        <f t="shared" si="2"/>
        <v>30</v>
      </c>
      <c r="B33" s="153" t="s">
        <v>57</v>
      </c>
      <c r="C33" s="153" t="s">
        <v>61</v>
      </c>
      <c r="D33" s="28" t="s">
        <v>639</v>
      </c>
      <c r="E33" s="69" t="s">
        <v>796</v>
      </c>
      <c r="F33" s="39">
        <v>3</v>
      </c>
      <c r="G33" s="141" t="s">
        <v>794</v>
      </c>
      <c r="H33" s="141" t="s">
        <v>797</v>
      </c>
      <c r="I33" s="141"/>
      <c r="J33" s="141" t="s">
        <v>6</v>
      </c>
      <c r="K33" s="21"/>
      <c r="L33" s="69"/>
      <c r="M33" s="141"/>
      <c r="N33" s="59"/>
      <c r="O33" s="59"/>
      <c r="P33" s="105"/>
      <c r="Q33" s="105" t="s">
        <v>31</v>
      </c>
      <c r="R33" s="105"/>
      <c r="S33" s="105" t="s">
        <v>1124</v>
      </c>
      <c r="T33" s="105" t="s">
        <v>1125</v>
      </c>
      <c r="U33" s="90"/>
      <c r="V33" s="90"/>
      <c r="W33" s="90"/>
      <c r="X33" s="93" t="s">
        <v>1126</v>
      </c>
      <c r="Y33" s="96"/>
      <c r="Z33" s="96"/>
      <c r="AA33" s="29">
        <v>0</v>
      </c>
      <c r="AB33" s="145">
        <v>0</v>
      </c>
      <c r="AC33" s="145">
        <v>0</v>
      </c>
      <c r="AD33" s="145">
        <v>0</v>
      </c>
      <c r="AE33" s="145">
        <v>0</v>
      </c>
      <c r="AF33" s="145">
        <v>0</v>
      </c>
      <c r="AG33" s="145">
        <v>0</v>
      </c>
      <c r="AH33" s="142">
        <f t="shared" si="6"/>
        <v>0</v>
      </c>
      <c r="AI33" s="141"/>
      <c r="AJ33" s="67"/>
      <c r="AK33" s="67"/>
      <c r="AL33" s="24"/>
      <c r="AM33" s="24"/>
      <c r="AN33" s="24"/>
      <c r="AO33" s="71"/>
      <c r="AP33" s="69" t="s">
        <v>798</v>
      </c>
      <c r="AQ33" s="141"/>
      <c r="AR33" s="141"/>
      <c r="AS33" s="141"/>
      <c r="AT33" s="141">
        <v>40</v>
      </c>
      <c r="AU33" s="86">
        <v>45962</v>
      </c>
      <c r="AV33" s="141" t="s">
        <v>757</v>
      </c>
      <c r="AW33" s="141"/>
      <c r="AX33" s="141"/>
      <c r="AY33" s="141"/>
      <c r="AZ33" s="141" t="s">
        <v>757</v>
      </c>
    </row>
    <row r="34" spans="1:52" ht="45" customHeight="1">
      <c r="A34" s="153">
        <f t="shared" si="2"/>
        <v>31</v>
      </c>
      <c r="B34" s="153" t="s">
        <v>57</v>
      </c>
      <c r="C34" s="153" t="s">
        <v>61</v>
      </c>
      <c r="D34" s="28" t="s">
        <v>617</v>
      </c>
      <c r="E34" s="69" t="s">
        <v>775</v>
      </c>
      <c r="F34" s="39">
        <v>2</v>
      </c>
      <c r="G34" s="141" t="s">
        <v>150</v>
      </c>
      <c r="H34" s="141" t="s">
        <v>764</v>
      </c>
      <c r="I34" s="141"/>
      <c r="J34" s="141" t="s">
        <v>26</v>
      </c>
      <c r="K34" s="141"/>
      <c r="L34" s="69"/>
      <c r="M34" s="141"/>
      <c r="N34" s="59">
        <v>4</v>
      </c>
      <c r="O34" s="59">
        <v>3.5</v>
      </c>
      <c r="P34" s="105" t="s">
        <v>32</v>
      </c>
      <c r="Q34" s="105" t="s">
        <v>31</v>
      </c>
      <c r="R34" s="105"/>
      <c r="S34" s="105" t="s">
        <v>1130</v>
      </c>
      <c r="T34" s="105" t="s">
        <v>150</v>
      </c>
      <c r="U34" s="90">
        <v>45966</v>
      </c>
      <c r="V34" s="90">
        <v>45975</v>
      </c>
      <c r="W34" s="90">
        <v>45982</v>
      </c>
      <c r="X34" s="93" t="s">
        <v>1169</v>
      </c>
      <c r="Y34" s="96" t="s">
        <v>619</v>
      </c>
      <c r="Z34" s="96" t="s">
        <v>1170</v>
      </c>
      <c r="AA34" s="29">
        <v>0</v>
      </c>
      <c r="AB34" s="145">
        <v>0</v>
      </c>
      <c r="AC34" s="145">
        <v>0</v>
      </c>
      <c r="AD34" s="145">
        <v>0</v>
      </c>
      <c r="AE34" s="145">
        <v>0</v>
      </c>
      <c r="AF34" s="145">
        <v>0</v>
      </c>
      <c r="AG34" s="145">
        <v>0</v>
      </c>
      <c r="AH34" s="142">
        <f t="shared" si="6"/>
        <v>0</v>
      </c>
      <c r="AI34" s="141"/>
      <c r="AJ34" s="67"/>
      <c r="AK34" s="67"/>
      <c r="AL34" s="24"/>
      <c r="AM34" s="24"/>
      <c r="AN34" s="24"/>
      <c r="AO34" s="71"/>
      <c r="AP34" s="69" t="s">
        <v>778</v>
      </c>
      <c r="AQ34" s="141">
        <v>5</v>
      </c>
      <c r="AR34" s="141" t="s">
        <v>761</v>
      </c>
      <c r="AS34" s="141"/>
      <c r="AT34" s="141"/>
      <c r="AU34" s="141"/>
      <c r="AV34" s="141"/>
      <c r="AW34" s="141" t="s">
        <v>757</v>
      </c>
      <c r="AX34" s="141"/>
      <c r="AY34" s="141"/>
      <c r="AZ34" s="141" t="s">
        <v>757</v>
      </c>
    </row>
    <row r="35" spans="1:52" ht="45" customHeight="1">
      <c r="A35" s="153">
        <f t="shared" si="2"/>
        <v>32</v>
      </c>
      <c r="B35" s="153" t="s">
        <v>57</v>
      </c>
      <c r="C35" s="153" t="s">
        <v>63</v>
      </c>
      <c r="D35" s="28" t="s">
        <v>683</v>
      </c>
      <c r="E35" s="69"/>
      <c r="F35" s="39">
        <v>1</v>
      </c>
      <c r="G35" s="141" t="s">
        <v>794</v>
      </c>
      <c r="H35" s="141" t="s">
        <v>765</v>
      </c>
      <c r="I35" s="141"/>
      <c r="J35" s="141" t="s">
        <v>26</v>
      </c>
      <c r="K35" s="141"/>
      <c r="L35" s="69"/>
      <c r="M35" s="141"/>
      <c r="N35" s="59">
        <v>5</v>
      </c>
      <c r="O35" s="59">
        <v>5</v>
      </c>
      <c r="P35" s="105" t="s">
        <v>34</v>
      </c>
      <c r="Q35" s="105" t="s">
        <v>34</v>
      </c>
      <c r="R35" s="105"/>
      <c r="S35" s="105" t="s">
        <v>1103</v>
      </c>
      <c r="T35" s="105" t="s">
        <v>1104</v>
      </c>
      <c r="U35" s="90">
        <v>45974</v>
      </c>
      <c r="V35" s="90"/>
      <c r="W35" s="90">
        <v>45978</v>
      </c>
      <c r="X35" s="93" t="s">
        <v>1105</v>
      </c>
      <c r="Y35" s="96" t="s">
        <v>684</v>
      </c>
      <c r="Z35" s="96" t="s">
        <v>1106</v>
      </c>
      <c r="AA35" s="29">
        <v>0</v>
      </c>
      <c r="AB35" s="145">
        <v>0</v>
      </c>
      <c r="AC35" s="145">
        <v>0</v>
      </c>
      <c r="AD35" s="145">
        <v>0</v>
      </c>
      <c r="AE35" s="145">
        <v>0</v>
      </c>
      <c r="AF35" s="145">
        <v>0</v>
      </c>
      <c r="AG35" s="145">
        <v>0</v>
      </c>
      <c r="AH35" s="142">
        <f t="shared" si="6"/>
        <v>0</v>
      </c>
      <c r="AI35" s="141"/>
      <c r="AJ35" s="67"/>
      <c r="AK35" s="67"/>
      <c r="AL35" s="24"/>
      <c r="AM35" s="24"/>
      <c r="AN35" s="24"/>
      <c r="AO35" s="71"/>
      <c r="AP35" s="69" t="s">
        <v>858</v>
      </c>
      <c r="AQ35" s="141">
        <v>5</v>
      </c>
      <c r="AR35" s="141" t="s">
        <v>756</v>
      </c>
      <c r="AS35" s="141"/>
      <c r="AT35" s="141">
        <v>250</v>
      </c>
      <c r="AU35" s="86">
        <v>45931</v>
      </c>
      <c r="AV35" s="141" t="s">
        <v>757</v>
      </c>
      <c r="AW35" s="141" t="s">
        <v>757</v>
      </c>
      <c r="AX35" s="141"/>
      <c r="AY35" s="141"/>
      <c r="AZ35" s="141"/>
    </row>
    <row r="36" spans="1:52" ht="45" customHeight="1">
      <c r="A36" s="153">
        <f t="shared" ref="A36:A67" si="7">A35+1</f>
        <v>33</v>
      </c>
      <c r="B36" s="153" t="s">
        <v>57</v>
      </c>
      <c r="C36" s="153" t="s">
        <v>63</v>
      </c>
      <c r="D36" s="28" t="s">
        <v>680</v>
      </c>
      <c r="E36" s="69"/>
      <c r="F36" s="39">
        <v>1</v>
      </c>
      <c r="G36" s="141" t="s">
        <v>150</v>
      </c>
      <c r="H36" s="141" t="s">
        <v>765</v>
      </c>
      <c r="I36" s="141"/>
      <c r="J36" s="141" t="s">
        <v>26</v>
      </c>
      <c r="K36" s="141"/>
      <c r="L36" s="69"/>
      <c r="M36" s="141"/>
      <c r="N36" s="59">
        <v>5</v>
      </c>
      <c r="O36" s="59">
        <v>5</v>
      </c>
      <c r="P36" s="105" t="s">
        <v>34</v>
      </c>
      <c r="Q36" s="105" t="s">
        <v>31</v>
      </c>
      <c r="R36" s="105"/>
      <c r="S36" s="105" t="s">
        <v>1171</v>
      </c>
      <c r="T36" s="105" t="s">
        <v>1172</v>
      </c>
      <c r="U36" s="90">
        <v>45971</v>
      </c>
      <c r="V36" s="90">
        <v>45978</v>
      </c>
      <c r="W36" s="90">
        <v>45982</v>
      </c>
      <c r="X36" s="93" t="s">
        <v>1173</v>
      </c>
      <c r="Y36" s="134" t="s">
        <v>1174</v>
      </c>
      <c r="Z36" s="96"/>
      <c r="AA36" s="29">
        <v>0</v>
      </c>
      <c r="AB36" s="145">
        <v>0</v>
      </c>
      <c r="AC36" s="145">
        <v>0</v>
      </c>
      <c r="AD36" s="145">
        <v>0</v>
      </c>
      <c r="AE36" s="145">
        <v>0</v>
      </c>
      <c r="AF36" s="145">
        <v>0</v>
      </c>
      <c r="AG36" s="145">
        <v>0</v>
      </c>
      <c r="AH36" s="142">
        <f t="shared" si="6"/>
        <v>0</v>
      </c>
      <c r="AI36" s="141"/>
      <c r="AJ36" s="67"/>
      <c r="AK36" s="67"/>
      <c r="AL36" s="24"/>
      <c r="AM36" s="24"/>
      <c r="AN36" s="24"/>
      <c r="AO36" s="71"/>
      <c r="AP36" s="69" t="s">
        <v>860</v>
      </c>
      <c r="AQ36" s="141">
        <v>5</v>
      </c>
      <c r="AR36" s="141" t="s">
        <v>756</v>
      </c>
      <c r="AS36" s="141"/>
      <c r="AT36" s="141"/>
      <c r="AU36" s="141"/>
      <c r="AV36" s="141"/>
      <c r="AW36" s="141"/>
      <c r="AX36" s="141"/>
      <c r="AY36" s="141"/>
      <c r="AZ36" s="141" t="s">
        <v>757</v>
      </c>
    </row>
    <row r="37" spans="1:52" ht="45" customHeight="1">
      <c r="A37" s="153">
        <f t="shared" si="7"/>
        <v>34</v>
      </c>
      <c r="B37" s="153" t="s">
        <v>57</v>
      </c>
      <c r="C37" s="153" t="s">
        <v>65</v>
      </c>
      <c r="D37" s="28" t="s">
        <v>658</v>
      </c>
      <c r="E37" s="69" t="s">
        <v>804</v>
      </c>
      <c r="F37" s="39">
        <v>2</v>
      </c>
      <c r="G37" s="141" t="s">
        <v>150</v>
      </c>
      <c r="H37" s="141" t="s">
        <v>805</v>
      </c>
      <c r="I37" s="141"/>
      <c r="J37" s="141" t="s">
        <v>6</v>
      </c>
      <c r="K37" s="141"/>
      <c r="L37" s="69"/>
      <c r="M37" s="141"/>
      <c r="N37" s="59">
        <v>4</v>
      </c>
      <c r="O37" s="59">
        <v>4</v>
      </c>
      <c r="P37" s="105" t="s">
        <v>34</v>
      </c>
      <c r="Q37" s="105" t="s">
        <v>34</v>
      </c>
      <c r="R37" s="105"/>
      <c r="S37" s="105" t="s">
        <v>1077</v>
      </c>
      <c r="T37" s="105" t="s">
        <v>1078</v>
      </c>
      <c r="U37" s="90">
        <v>45933</v>
      </c>
      <c r="V37" s="90">
        <v>45974</v>
      </c>
      <c r="W37" s="90">
        <v>45978</v>
      </c>
      <c r="X37" s="129"/>
      <c r="Y37" s="96" t="s">
        <v>1079</v>
      </c>
      <c r="Z37" s="96" t="s">
        <v>661</v>
      </c>
      <c r="AA37" s="29">
        <v>0</v>
      </c>
      <c r="AB37" s="145">
        <v>0</v>
      </c>
      <c r="AC37" s="145">
        <v>0</v>
      </c>
      <c r="AD37" s="145">
        <v>0</v>
      </c>
      <c r="AE37" s="145">
        <v>0</v>
      </c>
      <c r="AF37" s="145">
        <v>0</v>
      </c>
      <c r="AG37" s="145">
        <v>0</v>
      </c>
      <c r="AH37" s="142">
        <f t="shared" si="6"/>
        <v>0</v>
      </c>
      <c r="AI37" s="141"/>
      <c r="AJ37" s="67"/>
      <c r="AK37" s="67"/>
      <c r="AL37" s="24"/>
      <c r="AM37" s="24"/>
      <c r="AN37" s="24"/>
      <c r="AO37" s="71"/>
      <c r="AP37" s="69" t="s">
        <v>806</v>
      </c>
      <c r="AQ37" s="141">
        <v>4</v>
      </c>
      <c r="AR37" s="141" t="s">
        <v>761</v>
      </c>
      <c r="AS37" s="141"/>
      <c r="AT37" s="141"/>
      <c r="AU37" s="141"/>
      <c r="AV37" s="141"/>
      <c r="AW37" s="141" t="s">
        <v>757</v>
      </c>
      <c r="AX37" s="141"/>
      <c r="AY37" s="141" t="s">
        <v>757</v>
      </c>
      <c r="AZ37" s="141"/>
    </row>
    <row r="38" spans="1:52" ht="45" customHeight="1">
      <c r="A38" s="153">
        <f t="shared" si="7"/>
        <v>35</v>
      </c>
      <c r="B38" s="153" t="s">
        <v>57</v>
      </c>
      <c r="C38" s="153" t="s">
        <v>63</v>
      </c>
      <c r="D38" s="28" t="s">
        <v>674</v>
      </c>
      <c r="E38" s="69"/>
      <c r="F38" s="39">
        <v>3</v>
      </c>
      <c r="G38" s="141" t="s">
        <v>150</v>
      </c>
      <c r="H38" s="141" t="s">
        <v>805</v>
      </c>
      <c r="I38" s="141"/>
      <c r="J38" s="141" t="s">
        <v>26</v>
      </c>
      <c r="K38" s="21"/>
      <c r="L38" s="69"/>
      <c r="M38" s="141"/>
      <c r="N38" s="59">
        <v>4</v>
      </c>
      <c r="O38" s="59">
        <v>4</v>
      </c>
      <c r="P38" s="105" t="s">
        <v>34</v>
      </c>
      <c r="Q38" s="105" t="s">
        <v>34</v>
      </c>
      <c r="R38" s="105" t="s">
        <v>1031</v>
      </c>
      <c r="S38" s="105" t="s">
        <v>1092</v>
      </c>
      <c r="T38" s="105" t="s">
        <v>1078</v>
      </c>
      <c r="U38" s="90">
        <v>45965</v>
      </c>
      <c r="V38" s="90">
        <v>45972</v>
      </c>
      <c r="W38" s="90">
        <v>45979</v>
      </c>
      <c r="X38" s="93" t="s">
        <v>1093</v>
      </c>
      <c r="Y38" s="93" t="s">
        <v>1094</v>
      </c>
      <c r="Z38" s="96"/>
      <c r="AA38" s="29">
        <v>0</v>
      </c>
      <c r="AB38" s="145">
        <v>0</v>
      </c>
      <c r="AC38" s="145">
        <v>0</v>
      </c>
      <c r="AD38" s="145">
        <v>0</v>
      </c>
      <c r="AE38" s="145">
        <v>0</v>
      </c>
      <c r="AF38" s="145">
        <v>0</v>
      </c>
      <c r="AG38" s="145">
        <v>0</v>
      </c>
      <c r="AH38" s="142">
        <f t="shared" si="6"/>
        <v>0</v>
      </c>
      <c r="AI38" s="141"/>
      <c r="AJ38" s="67"/>
      <c r="AK38" s="67"/>
      <c r="AL38" s="24"/>
      <c r="AM38" s="24"/>
      <c r="AN38" s="24"/>
      <c r="AO38" s="71"/>
      <c r="AP38" s="69" t="s">
        <v>849</v>
      </c>
      <c r="AQ38" s="141">
        <v>4</v>
      </c>
      <c r="AR38" s="141" t="s">
        <v>756</v>
      </c>
      <c r="AS38" s="141"/>
      <c r="AT38" s="141">
        <v>100</v>
      </c>
      <c r="AU38" s="86">
        <v>45901</v>
      </c>
      <c r="AV38" s="141" t="s">
        <v>757</v>
      </c>
      <c r="AW38" s="141" t="s">
        <v>757</v>
      </c>
      <c r="AX38" s="141" t="s">
        <v>757</v>
      </c>
      <c r="AY38" s="141" t="s">
        <v>757</v>
      </c>
      <c r="AZ38" s="141" t="s">
        <v>757</v>
      </c>
    </row>
    <row r="39" spans="1:52" ht="45" customHeight="1">
      <c r="A39" s="153">
        <f t="shared" si="7"/>
        <v>36</v>
      </c>
      <c r="B39" s="153" t="s">
        <v>57</v>
      </c>
      <c r="C39" s="153" t="s">
        <v>63</v>
      </c>
      <c r="D39" s="28" t="s">
        <v>648</v>
      </c>
      <c r="E39" s="69"/>
      <c r="F39" s="39">
        <v>2</v>
      </c>
      <c r="G39" s="141" t="s">
        <v>150</v>
      </c>
      <c r="H39" s="141" t="s">
        <v>805</v>
      </c>
      <c r="I39" s="141"/>
      <c r="J39" s="141" t="s">
        <v>6</v>
      </c>
      <c r="K39" s="141"/>
      <c r="L39" s="69"/>
      <c r="M39" s="141"/>
      <c r="N39" s="59"/>
      <c r="O39" s="59"/>
      <c r="P39" s="105" t="s">
        <v>33</v>
      </c>
      <c r="Q39" s="105" t="s">
        <v>33</v>
      </c>
      <c r="R39" s="105"/>
      <c r="S39" s="105" t="s">
        <v>1175</v>
      </c>
      <c r="T39" s="105" t="s">
        <v>805</v>
      </c>
      <c r="U39" s="90">
        <v>45925</v>
      </c>
      <c r="V39" s="90">
        <v>45967</v>
      </c>
      <c r="W39" s="90">
        <v>45982</v>
      </c>
      <c r="X39" s="93"/>
      <c r="Y39" s="96" t="s">
        <v>1176</v>
      </c>
      <c r="Z39" s="96"/>
      <c r="AA39" s="29">
        <v>0</v>
      </c>
      <c r="AB39" s="145">
        <v>0</v>
      </c>
      <c r="AC39" s="145">
        <v>0</v>
      </c>
      <c r="AD39" s="145">
        <v>0</v>
      </c>
      <c r="AE39" s="145">
        <v>0</v>
      </c>
      <c r="AF39" s="145">
        <v>0</v>
      </c>
      <c r="AG39" s="145">
        <v>0</v>
      </c>
      <c r="AH39" s="142">
        <f t="shared" si="6"/>
        <v>0</v>
      </c>
      <c r="AI39" s="141"/>
      <c r="AJ39" s="67"/>
      <c r="AK39" s="67"/>
      <c r="AL39" s="24"/>
      <c r="AM39" s="24"/>
      <c r="AN39" s="24"/>
      <c r="AO39" s="71"/>
      <c r="AP39" s="69" t="s">
        <v>866</v>
      </c>
      <c r="AQ39" s="141"/>
      <c r="AR39" s="141"/>
      <c r="AS39" s="141"/>
      <c r="AT39" s="141">
        <v>30</v>
      </c>
      <c r="AU39" s="86">
        <v>45901</v>
      </c>
      <c r="AV39" s="141" t="s">
        <v>757</v>
      </c>
      <c r="AW39" s="141" t="s">
        <v>757</v>
      </c>
      <c r="AX39" s="141" t="s">
        <v>757</v>
      </c>
      <c r="AY39" s="141"/>
      <c r="AZ39" s="141"/>
    </row>
    <row r="40" spans="1:52" ht="127.5" customHeight="1">
      <c r="A40" s="153">
        <f t="shared" si="7"/>
        <v>37</v>
      </c>
      <c r="B40" s="153" t="s">
        <v>57</v>
      </c>
      <c r="C40" s="153" t="s">
        <v>65</v>
      </c>
      <c r="D40" s="28" t="s">
        <v>995</v>
      </c>
      <c r="E40" s="69"/>
      <c r="F40" s="39">
        <v>3</v>
      </c>
      <c r="G40" s="141" t="s">
        <v>123</v>
      </c>
      <c r="H40" s="141" t="s">
        <v>805</v>
      </c>
      <c r="I40" s="141"/>
      <c r="J40" s="141" t="s">
        <v>26</v>
      </c>
      <c r="K40" s="141" t="s">
        <v>45</v>
      </c>
      <c r="L40" s="69"/>
      <c r="M40" s="141"/>
      <c r="N40" s="59"/>
      <c r="O40" s="59"/>
      <c r="P40" s="105" t="s">
        <v>34</v>
      </c>
      <c r="Q40" s="105" t="s">
        <v>34</v>
      </c>
      <c r="R40" s="105"/>
      <c r="S40" s="105" t="s">
        <v>1127</v>
      </c>
      <c r="T40" s="105" t="s">
        <v>409</v>
      </c>
      <c r="U40" s="90">
        <v>45964</v>
      </c>
      <c r="V40" s="90">
        <v>45973</v>
      </c>
      <c r="W40" s="90"/>
      <c r="X40" s="93" t="s">
        <v>1128</v>
      </c>
      <c r="Y40" s="96" t="s">
        <v>1129</v>
      </c>
      <c r="Z40" s="96" t="s">
        <v>999</v>
      </c>
      <c r="AA40" s="29">
        <v>0</v>
      </c>
      <c r="AB40" s="145">
        <v>0</v>
      </c>
      <c r="AC40" s="145">
        <v>0</v>
      </c>
      <c r="AD40" s="145">
        <v>0</v>
      </c>
      <c r="AE40" s="145">
        <v>0</v>
      </c>
      <c r="AF40" s="145">
        <v>0</v>
      </c>
      <c r="AG40" s="145">
        <v>0</v>
      </c>
      <c r="AH40" s="142">
        <f t="shared" si="6"/>
        <v>0</v>
      </c>
      <c r="AI40" s="141"/>
      <c r="AJ40" s="67"/>
      <c r="AK40" s="67"/>
      <c r="AL40" s="24"/>
      <c r="AM40" s="24"/>
      <c r="AN40" s="24"/>
      <c r="AO40" s="71"/>
      <c r="AP40" s="69" t="s">
        <v>818</v>
      </c>
      <c r="AQ40" s="141">
        <v>2</v>
      </c>
      <c r="AR40" s="141" t="s">
        <v>761</v>
      </c>
      <c r="AS40" s="141"/>
      <c r="AT40" s="141"/>
      <c r="AU40" s="141"/>
      <c r="AV40" s="141" t="s">
        <v>757</v>
      </c>
      <c r="AW40" s="141" t="s">
        <v>757</v>
      </c>
      <c r="AX40" s="141" t="s">
        <v>757</v>
      </c>
      <c r="AY40" s="141"/>
      <c r="AZ40" s="141"/>
    </row>
    <row r="41" spans="1:52" ht="121.5" customHeight="1">
      <c r="A41" s="153">
        <f t="shared" si="7"/>
        <v>38</v>
      </c>
      <c r="B41" s="153" t="s">
        <v>57</v>
      </c>
      <c r="C41" s="153" t="s">
        <v>65</v>
      </c>
      <c r="D41" s="28" t="s">
        <v>655</v>
      </c>
      <c r="E41" s="69" t="s">
        <v>824</v>
      </c>
      <c r="F41" s="39">
        <v>2</v>
      </c>
      <c r="G41" s="141" t="s">
        <v>123</v>
      </c>
      <c r="H41" s="141" t="s">
        <v>811</v>
      </c>
      <c r="I41" s="141"/>
      <c r="J41" s="141" t="s">
        <v>22</v>
      </c>
      <c r="K41" s="141"/>
      <c r="L41" s="69"/>
      <c r="M41" s="141"/>
      <c r="N41" s="59">
        <v>5</v>
      </c>
      <c r="O41" s="59">
        <v>5</v>
      </c>
      <c r="P41" s="105" t="s">
        <v>33</v>
      </c>
      <c r="Q41" s="105" t="s">
        <v>32</v>
      </c>
      <c r="R41" s="105"/>
      <c r="S41" s="105" t="s">
        <v>1088</v>
      </c>
      <c r="T41" s="105" t="s">
        <v>1089</v>
      </c>
      <c r="U41" s="90">
        <v>45973</v>
      </c>
      <c r="V41" s="90">
        <v>45980</v>
      </c>
      <c r="W41" s="90">
        <v>45980</v>
      </c>
      <c r="X41" s="93" t="s">
        <v>1090</v>
      </c>
      <c r="Y41" s="93" t="s">
        <v>657</v>
      </c>
      <c r="Z41" s="96" t="s">
        <v>1091</v>
      </c>
      <c r="AA41" s="29">
        <v>0</v>
      </c>
      <c r="AB41" s="145">
        <v>0</v>
      </c>
      <c r="AC41" s="145">
        <v>0</v>
      </c>
      <c r="AD41" s="145">
        <v>0</v>
      </c>
      <c r="AE41" s="145">
        <v>0</v>
      </c>
      <c r="AF41" s="145">
        <v>0</v>
      </c>
      <c r="AG41" s="145">
        <v>0</v>
      </c>
      <c r="AH41" s="142">
        <f t="shared" si="6"/>
        <v>0</v>
      </c>
      <c r="AI41" s="141"/>
      <c r="AJ41" s="67"/>
      <c r="AK41" s="67"/>
      <c r="AL41" s="24"/>
      <c r="AM41" s="24"/>
      <c r="AN41" s="24"/>
      <c r="AO41" s="71"/>
      <c r="AP41" s="69" t="s">
        <v>825</v>
      </c>
      <c r="AQ41" s="141">
        <v>4</v>
      </c>
      <c r="AR41" s="141" t="s">
        <v>756</v>
      </c>
      <c r="AS41" s="141"/>
      <c r="AT41" s="141"/>
      <c r="AU41" s="141"/>
      <c r="AV41" s="141" t="s">
        <v>757</v>
      </c>
      <c r="AW41" s="141" t="s">
        <v>757</v>
      </c>
      <c r="AX41" s="141"/>
      <c r="AY41" s="141"/>
      <c r="AZ41" s="141" t="s">
        <v>757</v>
      </c>
    </row>
    <row r="42" spans="1:52" ht="148.5" customHeight="1">
      <c r="A42" s="153">
        <f t="shared" si="7"/>
        <v>39</v>
      </c>
      <c r="B42" s="153" t="s">
        <v>57</v>
      </c>
      <c r="C42" s="153" t="s">
        <v>65</v>
      </c>
      <c r="D42" s="28" t="s">
        <v>650</v>
      </c>
      <c r="E42" s="69" t="s">
        <v>827</v>
      </c>
      <c r="F42" s="39">
        <v>3</v>
      </c>
      <c r="G42" s="141" t="s">
        <v>150</v>
      </c>
      <c r="H42" s="141" t="s">
        <v>797</v>
      </c>
      <c r="I42" s="141"/>
      <c r="J42" s="141" t="s">
        <v>14</v>
      </c>
      <c r="K42" s="21"/>
      <c r="L42" s="69"/>
      <c r="M42" s="141"/>
      <c r="N42" s="59">
        <v>4</v>
      </c>
      <c r="O42" s="59">
        <v>4</v>
      </c>
      <c r="P42" s="105" t="s">
        <v>34</v>
      </c>
      <c r="Q42" s="105" t="s">
        <v>31</v>
      </c>
      <c r="R42" s="105"/>
      <c r="S42" s="105" t="s">
        <v>1065</v>
      </c>
      <c r="T42" s="105" t="s">
        <v>759</v>
      </c>
      <c r="U42" s="90">
        <v>45965</v>
      </c>
      <c r="V42" s="90">
        <v>45979</v>
      </c>
      <c r="W42" s="90">
        <v>45979</v>
      </c>
      <c r="X42" s="93" t="s">
        <v>1066</v>
      </c>
      <c r="Y42" s="96" t="s">
        <v>1003</v>
      </c>
      <c r="Z42" s="96"/>
      <c r="AA42" s="29">
        <v>0</v>
      </c>
      <c r="AB42" s="145">
        <v>0</v>
      </c>
      <c r="AC42" s="145">
        <v>0</v>
      </c>
      <c r="AD42" s="145">
        <v>0</v>
      </c>
      <c r="AE42" s="145">
        <v>0</v>
      </c>
      <c r="AF42" s="145">
        <v>0</v>
      </c>
      <c r="AG42" s="145">
        <v>0</v>
      </c>
      <c r="AH42" s="142">
        <f t="shared" si="6"/>
        <v>0</v>
      </c>
      <c r="AI42" s="141"/>
      <c r="AJ42" s="67"/>
      <c r="AK42" s="67"/>
      <c r="AL42" s="24"/>
      <c r="AM42" s="24"/>
      <c r="AN42" s="24"/>
      <c r="AO42" s="71"/>
      <c r="AP42" s="69" t="s">
        <v>828</v>
      </c>
      <c r="AQ42" s="141"/>
      <c r="AR42" s="141"/>
      <c r="AS42" s="141">
        <v>80</v>
      </c>
      <c r="AT42" s="141"/>
      <c r="AU42" s="141"/>
      <c r="AV42" s="141"/>
      <c r="AW42" s="141" t="s">
        <v>757</v>
      </c>
      <c r="AX42" s="141" t="s">
        <v>757</v>
      </c>
      <c r="AY42" s="141"/>
      <c r="AZ42" s="141"/>
    </row>
    <row r="43" spans="1:52" ht="209.25" customHeight="1">
      <c r="A43" s="153">
        <f t="shared" si="7"/>
        <v>40</v>
      </c>
      <c r="B43" s="153" t="s">
        <v>57</v>
      </c>
      <c r="C43" s="153" t="s">
        <v>65</v>
      </c>
      <c r="D43" s="28" t="s">
        <v>620</v>
      </c>
      <c r="E43" s="69"/>
      <c r="F43" s="39">
        <v>1</v>
      </c>
      <c r="G43" s="141" t="s">
        <v>123</v>
      </c>
      <c r="H43" s="141" t="s">
        <v>811</v>
      </c>
      <c r="I43" s="141"/>
      <c r="J43" s="141" t="s">
        <v>26</v>
      </c>
      <c r="K43" s="141"/>
      <c r="L43" s="69"/>
      <c r="M43" s="141"/>
      <c r="N43" s="59">
        <v>4</v>
      </c>
      <c r="O43" s="59">
        <v>4</v>
      </c>
      <c r="P43" s="105" t="s">
        <v>34</v>
      </c>
      <c r="Q43" s="105" t="s">
        <v>31</v>
      </c>
      <c r="R43" s="105"/>
      <c r="S43" s="105" t="s">
        <v>1073</v>
      </c>
      <c r="T43" s="105" t="s">
        <v>1074</v>
      </c>
      <c r="U43" s="90">
        <v>45965</v>
      </c>
      <c r="V43" s="90">
        <v>45965</v>
      </c>
      <c r="W43" s="90"/>
      <c r="X43" s="93" t="s">
        <v>1075</v>
      </c>
      <c r="Y43" s="122" t="s">
        <v>993</v>
      </c>
      <c r="Z43" s="96" t="s">
        <v>1076</v>
      </c>
      <c r="AA43" s="29">
        <v>0</v>
      </c>
      <c r="AB43" s="145">
        <v>0</v>
      </c>
      <c r="AC43" s="145">
        <v>0</v>
      </c>
      <c r="AD43" s="145">
        <v>0</v>
      </c>
      <c r="AE43" s="145">
        <v>0</v>
      </c>
      <c r="AF43" s="145">
        <v>0</v>
      </c>
      <c r="AG43" s="145">
        <v>0</v>
      </c>
      <c r="AH43" s="142">
        <f t="shared" si="6"/>
        <v>0</v>
      </c>
      <c r="AI43" s="141"/>
      <c r="AJ43" s="67"/>
      <c r="AK43" s="67"/>
      <c r="AL43" s="24"/>
      <c r="AM43" s="24"/>
      <c r="AN43" s="24"/>
      <c r="AO43" s="71"/>
      <c r="AP43" s="69"/>
      <c r="AQ43" s="141">
        <v>12</v>
      </c>
      <c r="AR43" s="141" t="s">
        <v>812</v>
      </c>
      <c r="AS43" s="141"/>
      <c r="AT43" s="141">
        <v>100</v>
      </c>
      <c r="AU43" s="86">
        <v>45901</v>
      </c>
      <c r="AV43" s="141" t="s">
        <v>757</v>
      </c>
      <c r="AW43" s="141" t="s">
        <v>757</v>
      </c>
      <c r="AX43" s="141"/>
      <c r="AY43" s="141" t="s">
        <v>757</v>
      </c>
      <c r="AZ43" s="141"/>
    </row>
    <row r="44" spans="1:52" ht="45" customHeight="1">
      <c r="A44" s="153">
        <f t="shared" si="7"/>
        <v>41</v>
      </c>
      <c r="B44" s="153" t="s">
        <v>57</v>
      </c>
      <c r="C44" s="153" t="s">
        <v>65</v>
      </c>
      <c r="D44" s="28" t="s">
        <v>690</v>
      </c>
      <c r="E44" s="69"/>
      <c r="F44" s="39">
        <v>3</v>
      </c>
      <c r="G44" s="141" t="s">
        <v>123</v>
      </c>
      <c r="H44" s="141" t="s">
        <v>816</v>
      </c>
      <c r="I44" s="141"/>
      <c r="J44" s="141" t="s">
        <v>26</v>
      </c>
      <c r="K44" s="141" t="s">
        <v>48</v>
      </c>
      <c r="L44" s="69"/>
      <c r="M44" s="141"/>
      <c r="N44" s="59">
        <v>4</v>
      </c>
      <c r="O44" s="59">
        <v>4</v>
      </c>
      <c r="P44" s="105" t="s">
        <v>34</v>
      </c>
      <c r="Q44" s="105" t="s">
        <v>31</v>
      </c>
      <c r="R44" s="105"/>
      <c r="S44" s="105" t="s">
        <v>1084</v>
      </c>
      <c r="T44" s="105" t="s">
        <v>1085</v>
      </c>
      <c r="U44" s="90">
        <v>45958</v>
      </c>
      <c r="V44" s="90">
        <v>45964</v>
      </c>
      <c r="W44" s="90"/>
      <c r="X44" s="93" t="s">
        <v>1086</v>
      </c>
      <c r="Y44" s="96" t="s">
        <v>1087</v>
      </c>
      <c r="Z44" s="96"/>
      <c r="AA44" s="29">
        <v>0</v>
      </c>
      <c r="AB44" s="145">
        <v>0</v>
      </c>
      <c r="AC44" s="145">
        <v>0</v>
      </c>
      <c r="AD44" s="145">
        <v>0</v>
      </c>
      <c r="AE44" s="145">
        <v>0</v>
      </c>
      <c r="AF44" s="145">
        <v>0</v>
      </c>
      <c r="AG44" s="145">
        <v>0</v>
      </c>
      <c r="AH44" s="142">
        <f t="shared" si="6"/>
        <v>0</v>
      </c>
      <c r="AI44" s="141"/>
      <c r="AJ44" s="67"/>
      <c r="AK44" s="67"/>
      <c r="AL44" s="24"/>
      <c r="AM44" s="24"/>
      <c r="AN44" s="24"/>
      <c r="AO44" s="71"/>
      <c r="AP44" s="69" t="s">
        <v>817</v>
      </c>
      <c r="AQ44" s="141">
        <v>35</v>
      </c>
      <c r="AR44" s="141" t="s">
        <v>756</v>
      </c>
      <c r="AS44" s="141"/>
      <c r="AT44" s="141"/>
      <c r="AU44" s="141"/>
      <c r="AV44" s="141"/>
      <c r="AW44" s="141" t="s">
        <v>757</v>
      </c>
      <c r="AX44" s="141"/>
      <c r="AY44" s="141"/>
      <c r="AZ44" s="141" t="s">
        <v>757</v>
      </c>
    </row>
    <row r="45" spans="1:52" ht="45" customHeight="1">
      <c r="A45" s="153">
        <f t="shared" si="7"/>
        <v>42</v>
      </c>
      <c r="B45" s="153" t="s">
        <v>57</v>
      </c>
      <c r="C45" s="153" t="s">
        <v>65</v>
      </c>
      <c r="D45" s="28" t="s">
        <v>909</v>
      </c>
      <c r="E45" s="69" t="s">
        <v>910</v>
      </c>
      <c r="F45" s="39">
        <v>1</v>
      </c>
      <c r="G45" s="141" t="s">
        <v>123</v>
      </c>
      <c r="H45" s="141" t="s">
        <v>911</v>
      </c>
      <c r="I45" s="141"/>
      <c r="J45" s="141" t="s">
        <v>10</v>
      </c>
      <c r="K45" s="141"/>
      <c r="L45" s="69"/>
      <c r="M45" s="141"/>
      <c r="N45" s="59"/>
      <c r="O45" s="59"/>
      <c r="P45" s="105"/>
      <c r="Q45" s="105" t="s">
        <v>31</v>
      </c>
      <c r="R45" s="105" t="s">
        <v>1012</v>
      </c>
      <c r="S45" s="105"/>
      <c r="T45" s="105" t="s">
        <v>911</v>
      </c>
      <c r="U45" s="90">
        <v>45957</v>
      </c>
      <c r="V45" s="90" t="s">
        <v>1013</v>
      </c>
      <c r="W45" s="90"/>
      <c r="X45" s="93" t="s">
        <v>1099</v>
      </c>
      <c r="Y45" s="96" t="s">
        <v>913</v>
      </c>
      <c r="Z45" s="96" t="s">
        <v>1015</v>
      </c>
      <c r="AA45" s="29"/>
      <c r="AB45" s="145"/>
      <c r="AC45" s="145"/>
      <c r="AD45" s="145"/>
      <c r="AE45" s="145"/>
      <c r="AF45" s="145"/>
      <c r="AG45" s="145"/>
      <c r="AH45" s="142"/>
      <c r="AI45" s="141"/>
      <c r="AJ45" s="67"/>
      <c r="AK45" s="67"/>
      <c r="AL45" s="24"/>
      <c r="AM45" s="24"/>
      <c r="AN45" s="24"/>
      <c r="AO45" s="71"/>
      <c r="AP45" s="69" t="s">
        <v>914</v>
      </c>
      <c r="AQ45" s="141"/>
      <c r="AR45" s="141"/>
      <c r="AS45" s="141"/>
      <c r="AT45" s="141"/>
      <c r="AU45" s="86"/>
      <c r="AV45" s="141"/>
      <c r="AW45" s="141"/>
      <c r="AX45" s="141"/>
      <c r="AY45" s="141"/>
      <c r="AZ45" s="141"/>
    </row>
    <row r="46" spans="1:52" ht="45" customHeight="1">
      <c r="A46" s="153">
        <f t="shared" si="7"/>
        <v>43</v>
      </c>
      <c r="B46" s="153" t="s">
        <v>57</v>
      </c>
      <c r="C46" s="153" t="s">
        <v>65</v>
      </c>
      <c r="D46" s="28" t="s">
        <v>624</v>
      </c>
      <c r="E46" s="69"/>
      <c r="F46" s="39">
        <v>2</v>
      </c>
      <c r="G46" s="141" t="s">
        <v>123</v>
      </c>
      <c r="H46" s="141" t="s">
        <v>797</v>
      </c>
      <c r="I46" s="141"/>
      <c r="J46" s="141" t="s">
        <v>26</v>
      </c>
      <c r="K46" s="141"/>
      <c r="L46" s="69"/>
      <c r="M46" s="141"/>
      <c r="N46" s="59">
        <v>4</v>
      </c>
      <c r="O46" s="59">
        <v>4</v>
      </c>
      <c r="P46" s="105" t="s">
        <v>34</v>
      </c>
      <c r="Q46" s="105" t="s">
        <v>31</v>
      </c>
      <c r="R46" s="105" t="s">
        <v>987</v>
      </c>
      <c r="S46" s="105" t="s">
        <v>988</v>
      </c>
      <c r="T46" s="105" t="s">
        <v>123</v>
      </c>
      <c r="U46" s="90">
        <v>45965</v>
      </c>
      <c r="V46" s="90">
        <v>45972</v>
      </c>
      <c r="W46" s="90"/>
      <c r="X46" s="93" t="s">
        <v>1072</v>
      </c>
      <c r="Y46" s="96" t="s">
        <v>990</v>
      </c>
      <c r="Z46" s="96" t="s">
        <v>991</v>
      </c>
      <c r="AA46" s="29">
        <v>0</v>
      </c>
      <c r="AB46" s="145">
        <v>0</v>
      </c>
      <c r="AC46" s="145">
        <v>0</v>
      </c>
      <c r="AD46" s="145">
        <v>0</v>
      </c>
      <c r="AE46" s="145">
        <v>0</v>
      </c>
      <c r="AF46" s="145">
        <v>0</v>
      </c>
      <c r="AG46" s="145">
        <v>0</v>
      </c>
      <c r="AH46" s="142">
        <f>AVERAGE(AA46:AG46)</f>
        <v>0</v>
      </c>
      <c r="AI46" s="141"/>
      <c r="AJ46" s="67"/>
      <c r="AK46" s="67"/>
      <c r="AL46" s="24"/>
      <c r="AM46" s="24"/>
      <c r="AN46" s="24"/>
      <c r="AO46" s="71"/>
      <c r="AP46" s="69" t="s">
        <v>809</v>
      </c>
      <c r="AQ46" s="141">
        <v>16</v>
      </c>
      <c r="AR46" s="141" t="s">
        <v>761</v>
      </c>
      <c r="AS46" s="141"/>
      <c r="AT46" s="141"/>
      <c r="AU46" s="141"/>
      <c r="AV46" s="141"/>
      <c r="AW46" s="141" t="s">
        <v>757</v>
      </c>
      <c r="AX46" s="141"/>
      <c r="AY46" s="141"/>
      <c r="AZ46" s="141"/>
    </row>
    <row r="47" spans="1:52" ht="77.25" customHeight="1">
      <c r="A47" s="153">
        <f t="shared" si="7"/>
        <v>44</v>
      </c>
      <c r="B47" s="153" t="s">
        <v>57</v>
      </c>
      <c r="C47" s="153" t="s">
        <v>65</v>
      </c>
      <c r="D47" s="28" t="s">
        <v>665</v>
      </c>
      <c r="E47" s="69"/>
      <c r="F47" s="39">
        <v>1</v>
      </c>
      <c r="G47" s="141" t="s">
        <v>123</v>
      </c>
      <c r="H47" s="141" t="s">
        <v>797</v>
      </c>
      <c r="I47" s="141"/>
      <c r="J47" s="141" t="s">
        <v>14</v>
      </c>
      <c r="K47" s="141" t="s">
        <v>48</v>
      </c>
      <c r="L47" s="69"/>
      <c r="M47" s="141"/>
      <c r="N47" s="59">
        <v>0</v>
      </c>
      <c r="O47" s="59">
        <v>0</v>
      </c>
      <c r="P47" s="105" t="s">
        <v>34</v>
      </c>
      <c r="Q47" s="105" t="s">
        <v>32</v>
      </c>
      <c r="R47" s="105" t="s">
        <v>977</v>
      </c>
      <c r="S47" s="105" t="s">
        <v>1116</v>
      </c>
      <c r="T47" s="105" t="s">
        <v>123</v>
      </c>
      <c r="U47" s="90">
        <v>45967</v>
      </c>
      <c r="V47" s="90">
        <v>45968</v>
      </c>
      <c r="W47" s="90">
        <v>45982</v>
      </c>
      <c r="X47" s="93" t="s">
        <v>1117</v>
      </c>
      <c r="Y47" s="95" t="s">
        <v>1118</v>
      </c>
      <c r="Z47" s="95" t="s">
        <v>980</v>
      </c>
      <c r="AA47" s="29">
        <v>0</v>
      </c>
      <c r="AB47" s="145">
        <v>0</v>
      </c>
      <c r="AC47" s="145">
        <v>0</v>
      </c>
      <c r="AD47" s="145">
        <v>0</v>
      </c>
      <c r="AE47" s="145">
        <v>0</v>
      </c>
      <c r="AF47" s="145">
        <v>0</v>
      </c>
      <c r="AG47" s="145">
        <v>0</v>
      </c>
      <c r="AH47" s="142">
        <f>AVERAGE(AA47:AG47)</f>
        <v>0</v>
      </c>
      <c r="AI47" s="141"/>
      <c r="AJ47" s="67"/>
      <c r="AK47" s="67"/>
      <c r="AL47" s="24"/>
      <c r="AM47" s="24"/>
      <c r="AN47" s="24"/>
      <c r="AO47" s="71"/>
      <c r="AP47" s="69" t="s">
        <v>814</v>
      </c>
      <c r="AQ47" s="141">
        <v>70</v>
      </c>
      <c r="AR47" s="141" t="s">
        <v>812</v>
      </c>
      <c r="AS47" s="141"/>
      <c r="AT47" s="141"/>
      <c r="AU47" s="141"/>
      <c r="AV47" s="141" t="s">
        <v>757</v>
      </c>
      <c r="AW47" s="141" t="s">
        <v>757</v>
      </c>
      <c r="AX47" s="141"/>
      <c r="AY47" s="141" t="s">
        <v>757</v>
      </c>
      <c r="AZ47" s="141" t="s">
        <v>757</v>
      </c>
    </row>
    <row r="48" spans="1:52" ht="45" customHeight="1">
      <c r="A48" s="153">
        <f t="shared" si="7"/>
        <v>45</v>
      </c>
      <c r="B48" s="153" t="s">
        <v>57</v>
      </c>
      <c r="C48" s="153" t="s">
        <v>65</v>
      </c>
      <c r="D48" s="28" t="s">
        <v>688</v>
      </c>
      <c r="E48" s="69" t="s">
        <v>832</v>
      </c>
      <c r="F48" s="39">
        <v>1</v>
      </c>
      <c r="G48" s="141" t="s">
        <v>123</v>
      </c>
      <c r="H48" s="141" t="s">
        <v>805</v>
      </c>
      <c r="I48" s="141"/>
      <c r="J48" s="141" t="s">
        <v>6</v>
      </c>
      <c r="K48" s="141"/>
      <c r="L48" s="69"/>
      <c r="M48" s="141"/>
      <c r="N48" s="59"/>
      <c r="O48" s="59"/>
      <c r="P48" s="105"/>
      <c r="Q48" s="105"/>
      <c r="R48" s="105"/>
      <c r="S48" s="105" t="s">
        <v>1010</v>
      </c>
      <c r="T48" s="105" t="s">
        <v>123</v>
      </c>
      <c r="U48" s="90">
        <v>45936</v>
      </c>
      <c r="V48" s="90">
        <v>45998</v>
      </c>
      <c r="W48" s="90"/>
      <c r="X48" s="93" t="s">
        <v>689</v>
      </c>
      <c r="Y48" s="96"/>
      <c r="Z48" s="96"/>
      <c r="AA48" s="29">
        <v>0</v>
      </c>
      <c r="AB48" s="145">
        <v>0</v>
      </c>
      <c r="AC48" s="145">
        <v>0</v>
      </c>
      <c r="AD48" s="145">
        <v>0</v>
      </c>
      <c r="AE48" s="145">
        <v>0</v>
      </c>
      <c r="AF48" s="145">
        <v>0</v>
      </c>
      <c r="AG48" s="145">
        <v>0</v>
      </c>
      <c r="AH48" s="142">
        <f>AVERAGE(AA48:AG48)</f>
        <v>0</v>
      </c>
      <c r="AI48" s="141"/>
      <c r="AJ48" s="67"/>
      <c r="AK48" s="67"/>
      <c r="AL48" s="24"/>
      <c r="AM48" s="24"/>
      <c r="AN48" s="24"/>
      <c r="AO48" s="71"/>
      <c r="AP48" s="69" t="s">
        <v>833</v>
      </c>
      <c r="AQ48" s="141"/>
      <c r="AR48" s="141"/>
      <c r="AS48" s="141"/>
      <c r="AT48" s="141">
        <v>400</v>
      </c>
      <c r="AU48" s="86">
        <v>45931</v>
      </c>
      <c r="AV48" s="141" t="s">
        <v>757</v>
      </c>
      <c r="AW48" s="141" t="s">
        <v>757</v>
      </c>
      <c r="AX48" s="141"/>
      <c r="AY48" s="141"/>
      <c r="AZ48" s="141" t="s">
        <v>757</v>
      </c>
    </row>
    <row r="49" spans="1:52" ht="45" customHeight="1">
      <c r="A49" s="153">
        <f t="shared" si="7"/>
        <v>46</v>
      </c>
      <c r="B49" s="153" t="s">
        <v>57</v>
      </c>
      <c r="C49" s="153" t="s">
        <v>65</v>
      </c>
      <c r="D49" s="28" t="s">
        <v>915</v>
      </c>
      <c r="E49" s="69" t="s">
        <v>916</v>
      </c>
      <c r="F49" s="39"/>
      <c r="G49" s="141" t="s">
        <v>123</v>
      </c>
      <c r="H49" s="141" t="s">
        <v>759</v>
      </c>
      <c r="I49" s="141"/>
      <c r="J49" s="141" t="s">
        <v>6</v>
      </c>
      <c r="K49" s="141"/>
      <c r="L49" s="69"/>
      <c r="M49" s="141"/>
      <c r="N49" s="59"/>
      <c r="O49" s="59"/>
      <c r="P49" s="105"/>
      <c r="Q49" s="105"/>
      <c r="R49" s="105"/>
      <c r="S49" s="105" t="s">
        <v>1136</v>
      </c>
      <c r="T49" s="105" t="s">
        <v>1137</v>
      </c>
      <c r="U49" s="90">
        <v>45966</v>
      </c>
      <c r="V49" s="90">
        <v>45976</v>
      </c>
      <c r="W49" s="90">
        <v>45990</v>
      </c>
      <c r="X49" s="93" t="s">
        <v>1138</v>
      </c>
      <c r="Y49" s="96" t="s">
        <v>1139</v>
      </c>
      <c r="Z49" s="96"/>
      <c r="AA49" s="29"/>
      <c r="AB49" s="145"/>
      <c r="AC49" s="145"/>
      <c r="AD49" s="145"/>
      <c r="AE49" s="145"/>
      <c r="AF49" s="145"/>
      <c r="AG49" s="145"/>
      <c r="AH49" s="142"/>
      <c r="AI49" s="141"/>
      <c r="AJ49" s="67"/>
      <c r="AK49" s="67"/>
      <c r="AL49" s="24"/>
      <c r="AM49" s="24"/>
      <c r="AN49" s="24"/>
      <c r="AO49" s="71"/>
      <c r="AP49" s="69" t="s">
        <v>919</v>
      </c>
      <c r="AQ49" s="141"/>
      <c r="AR49" s="141"/>
      <c r="AS49" s="141"/>
      <c r="AT49" s="141"/>
      <c r="AU49" s="86"/>
      <c r="AV49" s="141"/>
      <c r="AW49" s="141"/>
      <c r="AX49" s="141"/>
      <c r="AY49" s="141"/>
      <c r="AZ49" s="141"/>
    </row>
    <row r="50" spans="1:52" ht="105.75" customHeight="1">
      <c r="A50" s="153">
        <f t="shared" si="7"/>
        <v>47</v>
      </c>
      <c r="B50" s="153" t="s">
        <v>57</v>
      </c>
      <c r="C50" s="153" t="s">
        <v>65</v>
      </c>
      <c r="D50" s="28" t="s">
        <v>696</v>
      </c>
      <c r="E50" s="69" t="s">
        <v>834</v>
      </c>
      <c r="F50" s="39">
        <v>2</v>
      </c>
      <c r="G50" s="141" t="s">
        <v>835</v>
      </c>
      <c r="H50" s="141" t="s">
        <v>811</v>
      </c>
      <c r="I50" s="141"/>
      <c r="J50" s="141" t="s">
        <v>6</v>
      </c>
      <c r="K50" s="141"/>
      <c r="L50" s="69"/>
      <c r="M50" s="141"/>
      <c r="N50" s="59"/>
      <c r="O50" s="59"/>
      <c r="P50" s="105"/>
      <c r="Q50" s="105"/>
      <c r="R50" s="105"/>
      <c r="S50" s="105"/>
      <c r="T50" s="105"/>
      <c r="U50" s="90"/>
      <c r="V50" s="90"/>
      <c r="W50" s="90"/>
      <c r="X50" s="93"/>
      <c r="Y50" s="96"/>
      <c r="Z50" s="96"/>
      <c r="AA50" s="29">
        <v>0</v>
      </c>
      <c r="AB50" s="145">
        <v>0</v>
      </c>
      <c r="AC50" s="145">
        <v>0</v>
      </c>
      <c r="AD50" s="145">
        <v>0</v>
      </c>
      <c r="AE50" s="145">
        <v>0</v>
      </c>
      <c r="AF50" s="145">
        <v>0</v>
      </c>
      <c r="AG50" s="145">
        <v>0</v>
      </c>
      <c r="AH50" s="142">
        <f t="shared" ref="AH50:AH81" si="8">AVERAGE(AA50:AG50)</f>
        <v>0</v>
      </c>
      <c r="AI50" s="141"/>
      <c r="AJ50" s="67"/>
      <c r="AK50" s="67"/>
      <c r="AL50" s="24"/>
      <c r="AM50" s="24"/>
      <c r="AN50" s="24"/>
      <c r="AO50" s="71"/>
      <c r="AP50" s="69" t="s">
        <v>836</v>
      </c>
      <c r="AQ50" s="141"/>
      <c r="AR50" s="141"/>
      <c r="AS50" s="141"/>
      <c r="AT50" s="141">
        <v>100</v>
      </c>
      <c r="AU50" s="86">
        <v>45931</v>
      </c>
      <c r="AV50" s="141"/>
      <c r="AW50" s="141" t="s">
        <v>757</v>
      </c>
      <c r="AX50" s="141"/>
      <c r="AY50" s="141"/>
      <c r="AZ50" s="141" t="s">
        <v>757</v>
      </c>
    </row>
    <row r="51" spans="1:52" ht="45" customHeight="1">
      <c r="A51" s="153">
        <f t="shared" si="7"/>
        <v>48</v>
      </c>
      <c r="B51" s="153" t="s">
        <v>57</v>
      </c>
      <c r="C51" s="153" t="s">
        <v>65</v>
      </c>
      <c r="D51" s="28" t="s">
        <v>143</v>
      </c>
      <c r="E51" s="69" t="s">
        <v>820</v>
      </c>
      <c r="F51" s="39">
        <v>1</v>
      </c>
      <c r="G51" s="141" t="s">
        <v>794</v>
      </c>
      <c r="H51" s="141" t="s">
        <v>765</v>
      </c>
      <c r="I51" s="141"/>
      <c r="J51" s="141" t="s">
        <v>6</v>
      </c>
      <c r="K51" s="21"/>
      <c r="L51" s="69"/>
      <c r="M51" s="141"/>
      <c r="N51" s="59">
        <v>3</v>
      </c>
      <c r="O51" s="59">
        <v>3</v>
      </c>
      <c r="P51" s="105" t="s">
        <v>33</v>
      </c>
      <c r="Q51" s="105" t="s">
        <v>33</v>
      </c>
      <c r="R51" s="105"/>
      <c r="S51" s="105"/>
      <c r="T51" s="105"/>
      <c r="U51" s="90"/>
      <c r="V51" s="90">
        <v>45985</v>
      </c>
      <c r="W51" s="90">
        <v>45986</v>
      </c>
      <c r="X51" s="93" t="s">
        <v>1070</v>
      </c>
      <c r="Y51" s="96" t="s">
        <v>1071</v>
      </c>
      <c r="Z51" s="96"/>
      <c r="AA51" s="29">
        <v>0</v>
      </c>
      <c r="AB51" s="145">
        <v>0</v>
      </c>
      <c r="AC51" s="145">
        <v>0</v>
      </c>
      <c r="AD51" s="145">
        <v>0</v>
      </c>
      <c r="AE51" s="145">
        <v>0</v>
      </c>
      <c r="AF51" s="145">
        <v>0</v>
      </c>
      <c r="AG51" s="145">
        <v>0</v>
      </c>
      <c r="AH51" s="142">
        <f t="shared" si="8"/>
        <v>0</v>
      </c>
      <c r="AI51" s="141"/>
      <c r="AJ51" s="67"/>
      <c r="AK51" s="67"/>
      <c r="AL51" s="24"/>
      <c r="AM51" s="24"/>
      <c r="AN51" s="24"/>
      <c r="AO51" s="71"/>
      <c r="AP51" s="69" t="s">
        <v>821</v>
      </c>
      <c r="AQ51" s="141">
        <v>2</v>
      </c>
      <c r="AR51" s="141" t="s">
        <v>761</v>
      </c>
      <c r="AS51" s="141"/>
      <c r="AT51" s="141">
        <v>100</v>
      </c>
      <c r="AU51" s="86">
        <v>45931</v>
      </c>
      <c r="AV51" s="141" t="s">
        <v>757</v>
      </c>
      <c r="AW51" s="141" t="s">
        <v>757</v>
      </c>
      <c r="AX51" s="141"/>
      <c r="AY51" s="141"/>
      <c r="AZ51" s="141" t="s">
        <v>757</v>
      </c>
    </row>
    <row r="52" spans="1:52" ht="82.5" customHeight="1">
      <c r="A52" s="153">
        <f t="shared" si="7"/>
        <v>49</v>
      </c>
      <c r="B52" s="153" t="s">
        <v>57</v>
      </c>
      <c r="C52" s="153" t="s">
        <v>61</v>
      </c>
      <c r="D52" s="28" t="s">
        <v>630</v>
      </c>
      <c r="E52" s="69" t="s">
        <v>793</v>
      </c>
      <c r="F52" s="39">
        <v>1</v>
      </c>
      <c r="G52" s="141" t="s">
        <v>794</v>
      </c>
      <c r="H52" s="141" t="s">
        <v>765</v>
      </c>
      <c r="I52" s="141"/>
      <c r="J52" s="141" t="s">
        <v>6</v>
      </c>
      <c r="K52" s="21"/>
      <c r="L52" s="69"/>
      <c r="M52" s="141"/>
      <c r="N52" s="59">
        <v>2</v>
      </c>
      <c r="O52" s="59">
        <v>4</v>
      </c>
      <c r="P52" s="105" t="s">
        <v>32</v>
      </c>
      <c r="Q52" s="105" t="s">
        <v>32</v>
      </c>
      <c r="R52" s="105"/>
      <c r="S52" s="105"/>
      <c r="T52" s="105"/>
      <c r="U52" s="90">
        <v>45952</v>
      </c>
      <c r="V52" s="90">
        <v>45952</v>
      </c>
      <c r="W52" s="90"/>
      <c r="X52" s="93" t="s">
        <v>631</v>
      </c>
      <c r="Y52" s="96" t="s">
        <v>632</v>
      </c>
      <c r="Z52" s="96"/>
      <c r="AA52" s="29">
        <v>0</v>
      </c>
      <c r="AB52" s="145">
        <v>0</v>
      </c>
      <c r="AC52" s="145">
        <v>0</v>
      </c>
      <c r="AD52" s="145">
        <v>0</v>
      </c>
      <c r="AE52" s="145">
        <v>0</v>
      </c>
      <c r="AF52" s="145">
        <v>0</v>
      </c>
      <c r="AG52" s="145">
        <v>0</v>
      </c>
      <c r="AH52" s="142">
        <f t="shared" si="8"/>
        <v>0</v>
      </c>
      <c r="AI52" s="141"/>
      <c r="AJ52" s="67"/>
      <c r="AK52" s="67"/>
      <c r="AL52" s="24"/>
      <c r="AM52" s="24"/>
      <c r="AN52" s="24"/>
      <c r="AO52" s="71"/>
      <c r="AP52" s="69" t="s">
        <v>795</v>
      </c>
      <c r="AQ52" s="141"/>
      <c r="AR52" s="141"/>
      <c r="AS52" s="141"/>
      <c r="AT52" s="141">
        <v>40</v>
      </c>
      <c r="AU52" s="86">
        <v>45931</v>
      </c>
      <c r="AV52" s="141" t="s">
        <v>757</v>
      </c>
      <c r="AW52" s="141"/>
      <c r="AX52" s="141"/>
      <c r="AY52" s="141"/>
      <c r="AZ52" s="141" t="s">
        <v>757</v>
      </c>
    </row>
    <row r="53" spans="1:52" ht="45" customHeight="1">
      <c r="A53" s="153">
        <f t="shared" si="7"/>
        <v>50</v>
      </c>
      <c r="B53" s="153" t="s">
        <v>57</v>
      </c>
      <c r="C53" s="153" t="s">
        <v>63</v>
      </c>
      <c r="D53" s="28" t="s">
        <v>705</v>
      </c>
      <c r="E53" s="69"/>
      <c r="F53" s="39">
        <v>2</v>
      </c>
      <c r="G53" s="141" t="s">
        <v>409</v>
      </c>
      <c r="H53" s="141" t="s">
        <v>861</v>
      </c>
      <c r="I53" s="141"/>
      <c r="J53" s="141" t="s">
        <v>26</v>
      </c>
      <c r="K53" s="141"/>
      <c r="L53" s="69"/>
      <c r="M53" s="141"/>
      <c r="N53" s="59"/>
      <c r="O53" s="59"/>
      <c r="P53" s="105" t="s">
        <v>33</v>
      </c>
      <c r="Q53" s="105" t="s">
        <v>33</v>
      </c>
      <c r="R53" s="105"/>
      <c r="S53" s="105"/>
      <c r="T53" s="105"/>
      <c r="U53" s="90"/>
      <c r="V53" s="90"/>
      <c r="W53" s="90"/>
      <c r="X53" s="93" t="s">
        <v>1115</v>
      </c>
      <c r="Y53" s="96" t="s">
        <v>706</v>
      </c>
      <c r="Z53" s="96"/>
      <c r="AA53" s="29">
        <v>0</v>
      </c>
      <c r="AB53" s="145">
        <v>0</v>
      </c>
      <c r="AC53" s="145">
        <v>0</v>
      </c>
      <c r="AD53" s="145">
        <v>0</v>
      </c>
      <c r="AE53" s="145">
        <v>0</v>
      </c>
      <c r="AF53" s="145">
        <v>0</v>
      </c>
      <c r="AG53" s="145">
        <v>0</v>
      </c>
      <c r="AH53" s="142">
        <f t="shared" si="8"/>
        <v>0</v>
      </c>
      <c r="AI53" s="141"/>
      <c r="AJ53" s="67"/>
      <c r="AK53" s="67"/>
      <c r="AL53" s="24"/>
      <c r="AM53" s="24"/>
      <c r="AN53" s="24"/>
      <c r="AO53" s="71"/>
      <c r="AP53" s="69" t="s">
        <v>862</v>
      </c>
      <c r="AQ53" s="141">
        <v>10</v>
      </c>
      <c r="AR53" s="141" t="s">
        <v>761</v>
      </c>
      <c r="AS53" s="141"/>
      <c r="AT53" s="141"/>
      <c r="AU53" s="141"/>
      <c r="AV53" s="141" t="s">
        <v>757</v>
      </c>
      <c r="AW53" s="141" t="s">
        <v>757</v>
      </c>
      <c r="AX53" s="141" t="s">
        <v>757</v>
      </c>
      <c r="AY53" s="141"/>
      <c r="AZ53" s="141"/>
    </row>
    <row r="54" spans="1:52" ht="45" customHeight="1">
      <c r="A54" s="153">
        <f t="shared" si="7"/>
        <v>51</v>
      </c>
      <c r="B54" s="153" t="s">
        <v>57</v>
      </c>
      <c r="C54" s="153" t="s">
        <v>63</v>
      </c>
      <c r="D54" s="28" t="s">
        <v>1109</v>
      </c>
      <c r="E54" s="69"/>
      <c r="F54" s="39">
        <v>1</v>
      </c>
      <c r="G54" s="141" t="s">
        <v>150</v>
      </c>
      <c r="H54" s="141" t="s">
        <v>764</v>
      </c>
      <c r="I54" s="141"/>
      <c r="J54" s="141" t="s">
        <v>6</v>
      </c>
      <c r="K54" s="141"/>
      <c r="L54" s="69"/>
      <c r="M54" s="141"/>
      <c r="N54" s="59">
        <v>4</v>
      </c>
      <c r="O54" s="59">
        <v>4</v>
      </c>
      <c r="P54" s="105" t="s">
        <v>34</v>
      </c>
      <c r="Q54" s="105" t="s">
        <v>32</v>
      </c>
      <c r="R54" s="105"/>
      <c r="S54" s="105"/>
      <c r="T54" s="105"/>
      <c r="U54" s="90"/>
      <c r="V54" s="90">
        <v>45925</v>
      </c>
      <c r="W54" s="90"/>
      <c r="X54" s="93" t="s">
        <v>714</v>
      </c>
      <c r="Y54" s="96" t="s">
        <v>715</v>
      </c>
      <c r="Z54" s="96"/>
      <c r="AA54" s="29">
        <v>0</v>
      </c>
      <c r="AB54" s="145">
        <v>0</v>
      </c>
      <c r="AC54" s="145">
        <v>0</v>
      </c>
      <c r="AD54" s="145">
        <v>0</v>
      </c>
      <c r="AE54" s="145">
        <v>0</v>
      </c>
      <c r="AF54" s="145">
        <v>0</v>
      </c>
      <c r="AG54" s="145">
        <v>0</v>
      </c>
      <c r="AH54" s="142">
        <f t="shared" si="8"/>
        <v>0</v>
      </c>
      <c r="AI54" s="141"/>
      <c r="AJ54" s="67"/>
      <c r="AK54" s="67"/>
      <c r="AL54" s="24"/>
      <c r="AM54" s="24"/>
      <c r="AN54" s="24"/>
      <c r="AO54" s="71"/>
      <c r="AP54" s="69" t="s">
        <v>864</v>
      </c>
      <c r="AQ54" s="141"/>
      <c r="AR54" s="141"/>
      <c r="AS54" s="141"/>
      <c r="AT54" s="141">
        <v>50</v>
      </c>
      <c r="AU54" s="86">
        <v>45901</v>
      </c>
      <c r="AV54" s="141" t="s">
        <v>757</v>
      </c>
      <c r="AW54" s="141" t="s">
        <v>757</v>
      </c>
      <c r="AX54" s="141"/>
      <c r="AY54" s="141"/>
      <c r="AZ54" s="141" t="s">
        <v>757</v>
      </c>
    </row>
    <row r="55" spans="1:52" ht="45" customHeight="1">
      <c r="A55" s="153">
        <f t="shared" si="7"/>
        <v>52</v>
      </c>
      <c r="B55" s="153" t="s">
        <v>57</v>
      </c>
      <c r="C55" s="153"/>
      <c r="D55" s="28"/>
      <c r="E55" s="69"/>
      <c r="F55" s="39">
        <v>0</v>
      </c>
      <c r="G55" s="141"/>
      <c r="H55" s="141"/>
      <c r="I55" s="141"/>
      <c r="J55" s="141"/>
      <c r="K55" s="141"/>
      <c r="L55" s="69"/>
      <c r="M55" s="141"/>
      <c r="N55" s="59"/>
      <c r="O55" s="59"/>
      <c r="P55" s="105"/>
      <c r="Q55" s="105"/>
      <c r="R55" s="105"/>
      <c r="S55" s="105"/>
      <c r="T55" s="105"/>
      <c r="U55" s="90"/>
      <c r="V55" s="90"/>
      <c r="W55" s="90"/>
      <c r="X55" s="93"/>
      <c r="Y55" s="96"/>
      <c r="Z55" s="96"/>
      <c r="AA55" s="29">
        <v>0</v>
      </c>
      <c r="AB55" s="145">
        <v>0</v>
      </c>
      <c r="AC55" s="145">
        <v>0</v>
      </c>
      <c r="AD55" s="145">
        <v>0</v>
      </c>
      <c r="AE55" s="145">
        <v>0</v>
      </c>
      <c r="AF55" s="145">
        <v>0</v>
      </c>
      <c r="AG55" s="145">
        <v>0</v>
      </c>
      <c r="AH55" s="142">
        <f t="shared" si="8"/>
        <v>0</v>
      </c>
      <c r="AI55" s="141"/>
      <c r="AJ55" s="67"/>
      <c r="AK55" s="67"/>
      <c r="AL55" s="24"/>
      <c r="AM55" s="24"/>
      <c r="AN55" s="24"/>
      <c r="AO55" s="71"/>
      <c r="AP55" s="69"/>
      <c r="AQ55" s="141"/>
      <c r="AR55" s="141"/>
      <c r="AS55" s="141"/>
      <c r="AT55" s="141"/>
      <c r="AU55" s="141"/>
      <c r="AV55" s="141"/>
      <c r="AW55" s="141"/>
      <c r="AX55" s="141"/>
      <c r="AY55" s="141"/>
      <c r="AZ55" s="141"/>
    </row>
    <row r="56" spans="1:52" ht="45" customHeight="1">
      <c r="A56" s="153">
        <f t="shared" si="7"/>
        <v>53</v>
      </c>
      <c r="B56" s="153" t="s">
        <v>57</v>
      </c>
      <c r="C56" s="153"/>
      <c r="D56" s="28"/>
      <c r="E56" s="69"/>
      <c r="F56" s="39">
        <v>0</v>
      </c>
      <c r="G56" s="141"/>
      <c r="H56" s="141"/>
      <c r="I56" s="141"/>
      <c r="J56" s="141"/>
      <c r="K56" s="141"/>
      <c r="L56" s="69"/>
      <c r="M56" s="141"/>
      <c r="N56" s="59"/>
      <c r="O56" s="59"/>
      <c r="P56" s="105"/>
      <c r="Q56" s="105"/>
      <c r="R56" s="105"/>
      <c r="S56" s="105"/>
      <c r="T56" s="105"/>
      <c r="U56" s="90"/>
      <c r="V56" s="90"/>
      <c r="W56" s="90"/>
      <c r="X56" s="93"/>
      <c r="Y56" s="96"/>
      <c r="Z56" s="96"/>
      <c r="AA56" s="29">
        <v>0</v>
      </c>
      <c r="AB56" s="145">
        <v>0</v>
      </c>
      <c r="AC56" s="145">
        <v>0</v>
      </c>
      <c r="AD56" s="145">
        <v>0</v>
      </c>
      <c r="AE56" s="145">
        <v>0</v>
      </c>
      <c r="AF56" s="145">
        <v>0</v>
      </c>
      <c r="AG56" s="145">
        <v>0</v>
      </c>
      <c r="AH56" s="142">
        <f t="shared" si="8"/>
        <v>0</v>
      </c>
      <c r="AI56" s="141"/>
      <c r="AJ56" s="67"/>
      <c r="AK56" s="67"/>
      <c r="AL56" s="24"/>
      <c r="AM56" s="24"/>
      <c r="AN56" s="24"/>
      <c r="AO56" s="71"/>
      <c r="AP56" s="69"/>
      <c r="AQ56" s="141"/>
      <c r="AR56" s="141"/>
      <c r="AS56" s="141"/>
      <c r="AT56" s="141"/>
      <c r="AU56" s="141"/>
      <c r="AV56" s="141"/>
      <c r="AW56" s="141"/>
      <c r="AX56" s="141"/>
      <c r="AY56" s="141"/>
      <c r="AZ56" s="141"/>
    </row>
    <row r="57" spans="1:52" ht="45" customHeight="1">
      <c r="A57" s="153">
        <f t="shared" si="7"/>
        <v>54</v>
      </c>
      <c r="B57" s="153" t="s">
        <v>57</v>
      </c>
      <c r="C57" s="153"/>
      <c r="D57" s="28"/>
      <c r="E57" s="69"/>
      <c r="F57" s="39">
        <v>0</v>
      </c>
      <c r="G57" s="141"/>
      <c r="H57" s="141"/>
      <c r="I57" s="141"/>
      <c r="J57" s="141"/>
      <c r="K57" s="141"/>
      <c r="L57" s="69"/>
      <c r="M57" s="141"/>
      <c r="N57" s="59"/>
      <c r="O57" s="59"/>
      <c r="P57" s="105"/>
      <c r="Q57" s="105"/>
      <c r="R57" s="105"/>
      <c r="S57" s="105"/>
      <c r="T57" s="105"/>
      <c r="U57" s="90"/>
      <c r="V57" s="90"/>
      <c r="W57" s="90"/>
      <c r="X57" s="93"/>
      <c r="Y57" s="96"/>
      <c r="Z57" s="96"/>
      <c r="AA57" s="29">
        <v>0</v>
      </c>
      <c r="AB57" s="145">
        <v>0</v>
      </c>
      <c r="AC57" s="145">
        <v>0</v>
      </c>
      <c r="AD57" s="145">
        <v>0</v>
      </c>
      <c r="AE57" s="145">
        <v>0</v>
      </c>
      <c r="AF57" s="145">
        <v>0</v>
      </c>
      <c r="AG57" s="145">
        <v>0</v>
      </c>
      <c r="AH57" s="142">
        <f t="shared" si="8"/>
        <v>0</v>
      </c>
      <c r="AI57" s="141"/>
      <c r="AJ57" s="67"/>
      <c r="AK57" s="67"/>
      <c r="AL57" s="24"/>
      <c r="AM57" s="24"/>
      <c r="AN57" s="24"/>
      <c r="AO57" s="71"/>
      <c r="AP57" s="69"/>
      <c r="AQ57" s="141"/>
      <c r="AR57" s="141"/>
      <c r="AS57" s="141"/>
      <c r="AT57" s="141"/>
      <c r="AU57" s="141"/>
      <c r="AV57" s="141"/>
      <c r="AW57" s="141"/>
      <c r="AX57" s="141"/>
      <c r="AY57" s="141"/>
      <c r="AZ57" s="141"/>
    </row>
    <row r="58" spans="1:52" ht="45" customHeight="1">
      <c r="A58" s="153">
        <f t="shared" si="7"/>
        <v>55</v>
      </c>
      <c r="B58" s="153" t="s">
        <v>57</v>
      </c>
      <c r="C58" s="153"/>
      <c r="D58" s="28"/>
      <c r="E58" s="69"/>
      <c r="F58" s="39">
        <v>0</v>
      </c>
      <c r="G58" s="141"/>
      <c r="H58" s="141"/>
      <c r="I58" s="141"/>
      <c r="J58" s="141"/>
      <c r="K58" s="141"/>
      <c r="L58" s="69"/>
      <c r="M58" s="141"/>
      <c r="N58" s="59"/>
      <c r="O58" s="59"/>
      <c r="P58" s="105"/>
      <c r="Q58" s="105"/>
      <c r="R58" s="105"/>
      <c r="S58" s="105"/>
      <c r="T58" s="105"/>
      <c r="U58" s="90"/>
      <c r="V58" s="90"/>
      <c r="W58" s="90"/>
      <c r="X58" s="93"/>
      <c r="Y58" s="96"/>
      <c r="Z58" s="96"/>
      <c r="AA58" s="29">
        <v>0</v>
      </c>
      <c r="AB58" s="145">
        <v>0</v>
      </c>
      <c r="AC58" s="145">
        <v>0</v>
      </c>
      <c r="AD58" s="145">
        <v>0</v>
      </c>
      <c r="AE58" s="145">
        <v>0</v>
      </c>
      <c r="AF58" s="145">
        <v>0</v>
      </c>
      <c r="AG58" s="145">
        <v>0</v>
      </c>
      <c r="AH58" s="142">
        <f t="shared" si="8"/>
        <v>0</v>
      </c>
      <c r="AI58" s="141"/>
      <c r="AJ58" s="67"/>
      <c r="AK58" s="67"/>
      <c r="AL58" s="24"/>
      <c r="AM58" s="24"/>
      <c r="AN58" s="24"/>
      <c r="AO58" s="71"/>
      <c r="AP58" s="69"/>
      <c r="AQ58" s="141"/>
      <c r="AR58" s="141"/>
      <c r="AS58" s="141"/>
      <c r="AT58" s="141"/>
      <c r="AU58" s="141"/>
      <c r="AV58" s="141"/>
      <c r="AW58" s="141"/>
      <c r="AX58" s="141"/>
      <c r="AY58" s="141"/>
      <c r="AZ58" s="141"/>
    </row>
    <row r="59" spans="1:52" ht="45" customHeight="1">
      <c r="A59" s="153">
        <f t="shared" si="7"/>
        <v>56</v>
      </c>
      <c r="B59" s="153" t="s">
        <v>57</v>
      </c>
      <c r="C59" s="153"/>
      <c r="D59" s="28"/>
      <c r="E59" s="69"/>
      <c r="F59" s="39">
        <v>0</v>
      </c>
      <c r="G59" s="141"/>
      <c r="H59" s="141"/>
      <c r="I59" s="141"/>
      <c r="J59" s="141"/>
      <c r="K59" s="141"/>
      <c r="L59" s="69"/>
      <c r="M59" s="141"/>
      <c r="N59" s="59"/>
      <c r="O59" s="59"/>
      <c r="P59" s="105"/>
      <c r="Q59" s="105"/>
      <c r="R59" s="105"/>
      <c r="S59" s="105"/>
      <c r="T59" s="105"/>
      <c r="U59" s="90"/>
      <c r="V59" s="90"/>
      <c r="W59" s="90"/>
      <c r="X59" s="93"/>
      <c r="Y59" s="96"/>
      <c r="Z59" s="96"/>
      <c r="AA59" s="29">
        <v>0</v>
      </c>
      <c r="AB59" s="145">
        <v>0</v>
      </c>
      <c r="AC59" s="145">
        <v>0</v>
      </c>
      <c r="AD59" s="145">
        <v>0</v>
      </c>
      <c r="AE59" s="145">
        <v>0</v>
      </c>
      <c r="AF59" s="145">
        <v>0</v>
      </c>
      <c r="AG59" s="145">
        <v>0</v>
      </c>
      <c r="AH59" s="142">
        <f t="shared" si="8"/>
        <v>0</v>
      </c>
      <c r="AI59" s="141"/>
      <c r="AJ59" s="67"/>
      <c r="AK59" s="67"/>
      <c r="AL59" s="24"/>
      <c r="AM59" s="24"/>
      <c r="AN59" s="24"/>
      <c r="AO59" s="71"/>
      <c r="AP59" s="69"/>
      <c r="AQ59" s="141"/>
      <c r="AR59" s="141"/>
      <c r="AS59" s="141"/>
      <c r="AT59" s="141"/>
      <c r="AU59" s="141"/>
      <c r="AV59" s="141"/>
      <c r="AW59" s="141"/>
      <c r="AX59" s="141"/>
      <c r="AY59" s="141"/>
      <c r="AZ59" s="141"/>
    </row>
    <row r="60" spans="1:52" ht="45" customHeight="1">
      <c r="A60" s="153">
        <f t="shared" si="7"/>
        <v>57</v>
      </c>
      <c r="B60" s="153" t="s">
        <v>57</v>
      </c>
      <c r="C60" s="153"/>
      <c r="D60" s="28"/>
      <c r="E60" s="69"/>
      <c r="F60" s="39">
        <v>0</v>
      </c>
      <c r="G60" s="141"/>
      <c r="H60" s="141"/>
      <c r="I60" s="141"/>
      <c r="J60" s="141"/>
      <c r="K60" s="141"/>
      <c r="L60" s="69"/>
      <c r="M60" s="141"/>
      <c r="N60" s="59"/>
      <c r="O60" s="59"/>
      <c r="P60" s="105"/>
      <c r="Q60" s="105"/>
      <c r="R60" s="105"/>
      <c r="S60" s="105"/>
      <c r="T60" s="105"/>
      <c r="U60" s="90"/>
      <c r="V60" s="90"/>
      <c r="W60" s="90"/>
      <c r="X60" s="93"/>
      <c r="Y60" s="94"/>
      <c r="Z60" s="94"/>
      <c r="AA60" s="29">
        <v>0</v>
      </c>
      <c r="AB60" s="145">
        <v>0</v>
      </c>
      <c r="AC60" s="145">
        <v>0</v>
      </c>
      <c r="AD60" s="145">
        <v>0</v>
      </c>
      <c r="AE60" s="145">
        <v>0</v>
      </c>
      <c r="AF60" s="145">
        <v>0</v>
      </c>
      <c r="AG60" s="145">
        <v>0</v>
      </c>
      <c r="AH60" s="142">
        <f t="shared" si="8"/>
        <v>0</v>
      </c>
      <c r="AI60" s="141"/>
      <c r="AJ60" s="67"/>
      <c r="AK60" s="67"/>
      <c r="AL60" s="24"/>
      <c r="AM60" s="24"/>
      <c r="AN60" s="24"/>
      <c r="AO60" s="71"/>
      <c r="AP60" s="69"/>
      <c r="AQ60" s="141"/>
      <c r="AR60" s="141"/>
      <c r="AS60" s="141"/>
      <c r="AT60" s="141"/>
      <c r="AU60" s="141"/>
      <c r="AV60" s="141"/>
      <c r="AW60" s="141"/>
      <c r="AX60" s="141"/>
      <c r="AY60" s="141"/>
      <c r="AZ60" s="141"/>
    </row>
    <row r="61" spans="1:52" ht="45" customHeight="1">
      <c r="A61" s="153">
        <f t="shared" si="7"/>
        <v>58</v>
      </c>
      <c r="B61" s="153" t="s">
        <v>57</v>
      </c>
      <c r="C61" s="153"/>
      <c r="D61" s="28"/>
      <c r="E61" s="69"/>
      <c r="F61" s="39">
        <v>0</v>
      </c>
      <c r="G61" s="141"/>
      <c r="H61" s="141"/>
      <c r="I61" s="141"/>
      <c r="J61" s="141"/>
      <c r="K61" s="141"/>
      <c r="L61" s="69"/>
      <c r="M61" s="141"/>
      <c r="N61" s="59"/>
      <c r="O61" s="59"/>
      <c r="P61" s="105"/>
      <c r="Q61" s="105"/>
      <c r="R61" s="105"/>
      <c r="S61" s="105"/>
      <c r="T61" s="105"/>
      <c r="U61" s="90"/>
      <c r="V61" s="90"/>
      <c r="W61" s="90"/>
      <c r="X61" s="93"/>
      <c r="Y61" s="96"/>
      <c r="Z61" s="96"/>
      <c r="AA61" s="29">
        <v>0</v>
      </c>
      <c r="AB61" s="145">
        <v>0</v>
      </c>
      <c r="AC61" s="145">
        <v>0</v>
      </c>
      <c r="AD61" s="145">
        <v>0</v>
      </c>
      <c r="AE61" s="145">
        <v>0</v>
      </c>
      <c r="AF61" s="145">
        <v>0</v>
      </c>
      <c r="AG61" s="145">
        <v>0</v>
      </c>
      <c r="AH61" s="142">
        <f t="shared" si="8"/>
        <v>0</v>
      </c>
      <c r="AI61" s="141"/>
      <c r="AJ61" s="67"/>
      <c r="AK61" s="67"/>
      <c r="AL61" s="24"/>
      <c r="AM61" s="24"/>
      <c r="AN61" s="24"/>
      <c r="AO61" s="71"/>
      <c r="AP61" s="69"/>
      <c r="AQ61" s="141"/>
      <c r="AR61" s="141"/>
      <c r="AS61" s="141"/>
      <c r="AT61" s="141"/>
      <c r="AU61" s="141"/>
      <c r="AV61" s="141"/>
      <c r="AW61" s="141"/>
      <c r="AX61" s="141"/>
      <c r="AY61" s="141"/>
      <c r="AZ61" s="141"/>
    </row>
    <row r="62" spans="1:52" ht="45" customHeight="1">
      <c r="A62" s="153">
        <f t="shared" si="7"/>
        <v>59</v>
      </c>
      <c r="B62" s="153" t="s">
        <v>57</v>
      </c>
      <c r="C62" s="28"/>
      <c r="D62" s="28"/>
      <c r="E62" s="69"/>
      <c r="F62" s="39">
        <v>0</v>
      </c>
      <c r="G62" s="141"/>
      <c r="H62" s="141"/>
      <c r="I62" s="141"/>
      <c r="J62" s="141"/>
      <c r="K62" s="141"/>
      <c r="L62" s="69"/>
      <c r="M62" s="141"/>
      <c r="N62" s="59"/>
      <c r="O62" s="59"/>
      <c r="P62" s="105"/>
      <c r="Q62" s="105"/>
      <c r="R62" s="105"/>
      <c r="S62" s="105"/>
      <c r="T62" s="105"/>
      <c r="U62" s="90"/>
      <c r="V62" s="90"/>
      <c r="W62" s="90"/>
      <c r="X62" s="93"/>
      <c r="Y62" s="96"/>
      <c r="Z62" s="96"/>
      <c r="AA62" s="29">
        <v>0</v>
      </c>
      <c r="AB62" s="145">
        <v>0</v>
      </c>
      <c r="AC62" s="145">
        <v>0</v>
      </c>
      <c r="AD62" s="145">
        <v>0</v>
      </c>
      <c r="AE62" s="145">
        <v>0</v>
      </c>
      <c r="AF62" s="145">
        <v>0</v>
      </c>
      <c r="AG62" s="145">
        <v>0</v>
      </c>
      <c r="AH62" s="142">
        <f t="shared" si="8"/>
        <v>0</v>
      </c>
      <c r="AI62" s="141"/>
      <c r="AJ62" s="67"/>
      <c r="AK62" s="67"/>
      <c r="AL62" s="24"/>
      <c r="AM62" s="24"/>
      <c r="AN62" s="24"/>
      <c r="AO62" s="71"/>
      <c r="AP62" s="69"/>
      <c r="AQ62" s="141"/>
      <c r="AR62" s="141"/>
      <c r="AS62" s="141"/>
      <c r="AT62" s="141"/>
      <c r="AU62" s="141"/>
      <c r="AV62" s="141"/>
      <c r="AW62" s="141"/>
      <c r="AX62" s="141"/>
      <c r="AY62" s="141"/>
      <c r="AZ62" s="141"/>
    </row>
    <row r="63" spans="1:52" ht="45" customHeight="1">
      <c r="A63" s="153">
        <f t="shared" si="7"/>
        <v>60</v>
      </c>
      <c r="B63" s="153" t="s">
        <v>57</v>
      </c>
      <c r="C63" s="140"/>
      <c r="D63" s="28"/>
      <c r="E63" s="69"/>
      <c r="F63" s="39">
        <v>0</v>
      </c>
      <c r="G63" s="141"/>
      <c r="H63" s="141"/>
      <c r="I63" s="141"/>
      <c r="J63" s="141"/>
      <c r="K63" s="141"/>
      <c r="L63" s="69"/>
      <c r="M63" s="141"/>
      <c r="N63" s="59"/>
      <c r="O63" s="59"/>
      <c r="P63" s="105"/>
      <c r="Q63" s="105"/>
      <c r="R63" s="105"/>
      <c r="S63" s="105"/>
      <c r="T63" s="105"/>
      <c r="U63" s="90"/>
      <c r="V63" s="90"/>
      <c r="W63" s="90"/>
      <c r="X63" s="93"/>
      <c r="Y63" s="96"/>
      <c r="Z63" s="96"/>
      <c r="AA63" s="29">
        <v>0</v>
      </c>
      <c r="AB63" s="145">
        <v>0</v>
      </c>
      <c r="AC63" s="145">
        <v>0</v>
      </c>
      <c r="AD63" s="145">
        <v>0</v>
      </c>
      <c r="AE63" s="145">
        <v>0</v>
      </c>
      <c r="AF63" s="145">
        <v>0</v>
      </c>
      <c r="AG63" s="145">
        <v>0</v>
      </c>
      <c r="AH63" s="142">
        <f t="shared" si="8"/>
        <v>0</v>
      </c>
      <c r="AI63" s="141"/>
      <c r="AJ63" s="67"/>
      <c r="AK63" s="67"/>
      <c r="AL63" s="24"/>
      <c r="AM63" s="24"/>
      <c r="AN63" s="24"/>
      <c r="AO63" s="71"/>
      <c r="AP63" s="69"/>
      <c r="AQ63" s="141"/>
      <c r="AR63" s="141"/>
      <c r="AS63" s="141"/>
      <c r="AT63" s="141"/>
      <c r="AU63" s="141"/>
      <c r="AV63" s="141"/>
      <c r="AW63" s="141"/>
      <c r="AX63" s="141"/>
      <c r="AY63" s="141"/>
      <c r="AZ63" s="141"/>
    </row>
    <row r="64" spans="1:52" ht="45" customHeight="1">
      <c r="A64" s="153">
        <f t="shared" si="7"/>
        <v>61</v>
      </c>
      <c r="B64" s="153" t="s">
        <v>57</v>
      </c>
      <c r="C64" s="140"/>
      <c r="D64" s="28"/>
      <c r="E64" s="69"/>
      <c r="F64" s="39">
        <v>0</v>
      </c>
      <c r="G64" s="141"/>
      <c r="H64" s="141"/>
      <c r="I64" s="141"/>
      <c r="J64" s="141"/>
      <c r="K64" s="21"/>
      <c r="L64" s="69"/>
      <c r="M64" s="141"/>
      <c r="N64" s="59"/>
      <c r="O64" s="59"/>
      <c r="P64" s="105"/>
      <c r="Q64" s="105"/>
      <c r="R64" s="105"/>
      <c r="S64" s="105"/>
      <c r="T64" s="105"/>
      <c r="U64" s="90"/>
      <c r="V64" s="90"/>
      <c r="W64" s="90"/>
      <c r="X64" s="93"/>
      <c r="Y64" s="96"/>
      <c r="Z64" s="96"/>
      <c r="AA64" s="29">
        <v>0</v>
      </c>
      <c r="AB64" s="145">
        <v>0</v>
      </c>
      <c r="AC64" s="145">
        <v>0</v>
      </c>
      <c r="AD64" s="145">
        <v>0</v>
      </c>
      <c r="AE64" s="145">
        <v>0</v>
      </c>
      <c r="AF64" s="145">
        <v>0</v>
      </c>
      <c r="AG64" s="145">
        <v>0</v>
      </c>
      <c r="AH64" s="142">
        <f t="shared" si="8"/>
        <v>0</v>
      </c>
      <c r="AI64" s="141"/>
      <c r="AJ64" s="67"/>
      <c r="AK64" s="67"/>
      <c r="AL64" s="24"/>
      <c r="AM64" s="24"/>
      <c r="AN64" s="24"/>
      <c r="AO64" s="71"/>
      <c r="AP64" s="69"/>
      <c r="AQ64" s="141"/>
      <c r="AR64" s="141"/>
      <c r="AS64" s="141"/>
      <c r="AT64" s="141"/>
      <c r="AU64" s="141"/>
      <c r="AV64" s="141"/>
      <c r="AW64" s="141"/>
      <c r="AX64" s="141"/>
      <c r="AY64" s="141"/>
      <c r="AZ64" s="141"/>
    </row>
    <row r="65" spans="1:52" ht="45" customHeight="1">
      <c r="A65" s="153">
        <f t="shared" si="7"/>
        <v>62</v>
      </c>
      <c r="B65" s="153" t="s">
        <v>57</v>
      </c>
      <c r="C65" s="140"/>
      <c r="D65" s="28"/>
      <c r="E65" s="69"/>
      <c r="F65" s="39">
        <v>0</v>
      </c>
      <c r="G65" s="141"/>
      <c r="H65" s="141"/>
      <c r="I65" s="141"/>
      <c r="J65" s="141"/>
      <c r="K65" s="141"/>
      <c r="L65" s="69"/>
      <c r="M65" s="141"/>
      <c r="N65" s="59"/>
      <c r="O65" s="59"/>
      <c r="P65" s="105"/>
      <c r="Q65" s="105"/>
      <c r="R65" s="105"/>
      <c r="S65" s="105"/>
      <c r="T65" s="105"/>
      <c r="U65" s="90"/>
      <c r="V65" s="90"/>
      <c r="W65" s="90"/>
      <c r="X65" s="93"/>
      <c r="Y65" s="96"/>
      <c r="Z65" s="96"/>
      <c r="AA65" s="29">
        <v>0</v>
      </c>
      <c r="AB65" s="145">
        <v>0</v>
      </c>
      <c r="AC65" s="145">
        <v>0</v>
      </c>
      <c r="AD65" s="145">
        <v>0</v>
      </c>
      <c r="AE65" s="145">
        <v>0</v>
      </c>
      <c r="AF65" s="145">
        <v>0</v>
      </c>
      <c r="AG65" s="145">
        <v>0</v>
      </c>
      <c r="AH65" s="142">
        <f t="shared" si="8"/>
        <v>0</v>
      </c>
      <c r="AI65" s="141"/>
      <c r="AJ65" s="67"/>
      <c r="AK65" s="67"/>
      <c r="AL65" s="24"/>
      <c r="AM65" s="24"/>
      <c r="AN65" s="24"/>
      <c r="AO65" s="71"/>
      <c r="AP65" s="69"/>
      <c r="AQ65" s="141"/>
      <c r="AR65" s="141"/>
      <c r="AS65" s="141"/>
      <c r="AT65" s="141"/>
      <c r="AU65" s="141"/>
      <c r="AV65" s="141"/>
      <c r="AW65" s="141"/>
      <c r="AX65" s="141"/>
      <c r="AY65" s="141"/>
      <c r="AZ65" s="141"/>
    </row>
    <row r="66" spans="1:52" ht="45" customHeight="1">
      <c r="A66" s="153">
        <f t="shared" si="7"/>
        <v>63</v>
      </c>
      <c r="B66" s="153" t="s">
        <v>57</v>
      </c>
      <c r="C66" s="140"/>
      <c r="D66" s="28"/>
      <c r="E66" s="69"/>
      <c r="F66" s="39">
        <v>0</v>
      </c>
      <c r="G66" s="141"/>
      <c r="H66" s="141"/>
      <c r="I66" s="141"/>
      <c r="J66" s="141"/>
      <c r="K66" s="141"/>
      <c r="L66" s="69"/>
      <c r="M66" s="141"/>
      <c r="N66" s="59"/>
      <c r="O66" s="59"/>
      <c r="P66" s="105"/>
      <c r="Q66" s="105"/>
      <c r="R66" s="105"/>
      <c r="S66" s="105"/>
      <c r="T66" s="105"/>
      <c r="U66" s="90"/>
      <c r="V66" s="90"/>
      <c r="W66" s="90"/>
      <c r="X66" s="93"/>
      <c r="Y66" s="96"/>
      <c r="Z66" s="96"/>
      <c r="AA66" s="29">
        <v>0</v>
      </c>
      <c r="AB66" s="145">
        <v>0</v>
      </c>
      <c r="AC66" s="145">
        <v>0</v>
      </c>
      <c r="AD66" s="145">
        <v>0</v>
      </c>
      <c r="AE66" s="145">
        <v>0</v>
      </c>
      <c r="AF66" s="145">
        <v>0</v>
      </c>
      <c r="AG66" s="145">
        <v>0</v>
      </c>
      <c r="AH66" s="142">
        <f t="shared" si="8"/>
        <v>0</v>
      </c>
      <c r="AI66" s="141"/>
      <c r="AJ66" s="67"/>
      <c r="AK66" s="67"/>
      <c r="AL66" s="24"/>
      <c r="AM66" s="24"/>
      <c r="AN66" s="24"/>
      <c r="AO66" s="71"/>
      <c r="AP66" s="69"/>
      <c r="AQ66" s="141"/>
      <c r="AR66" s="141"/>
      <c r="AS66" s="141"/>
      <c r="AT66" s="141"/>
      <c r="AU66" s="141"/>
      <c r="AV66" s="141"/>
      <c r="AW66" s="141"/>
      <c r="AX66" s="141"/>
      <c r="AY66" s="141"/>
      <c r="AZ66" s="141"/>
    </row>
    <row r="67" spans="1:52" ht="45" customHeight="1">
      <c r="A67" s="153">
        <f t="shared" si="7"/>
        <v>64</v>
      </c>
      <c r="B67" s="153" t="s">
        <v>57</v>
      </c>
      <c r="C67" s="58"/>
      <c r="D67" s="28"/>
      <c r="E67" s="69"/>
      <c r="F67" s="39">
        <v>0</v>
      </c>
      <c r="G67" s="141"/>
      <c r="H67" s="141"/>
      <c r="I67" s="141"/>
      <c r="J67" s="141"/>
      <c r="K67" s="141"/>
      <c r="L67" s="69"/>
      <c r="M67" s="141"/>
      <c r="N67" s="59"/>
      <c r="O67" s="59"/>
      <c r="P67" s="105"/>
      <c r="Q67" s="105"/>
      <c r="R67" s="105"/>
      <c r="S67" s="105"/>
      <c r="T67" s="105"/>
      <c r="U67" s="90"/>
      <c r="V67" s="90"/>
      <c r="W67" s="90"/>
      <c r="X67" s="93"/>
      <c r="Y67" s="96"/>
      <c r="Z67" s="96"/>
      <c r="AA67" s="29">
        <v>0</v>
      </c>
      <c r="AB67" s="145">
        <v>0</v>
      </c>
      <c r="AC67" s="145">
        <v>0</v>
      </c>
      <c r="AD67" s="145">
        <v>0</v>
      </c>
      <c r="AE67" s="145">
        <v>0</v>
      </c>
      <c r="AF67" s="145">
        <v>0</v>
      </c>
      <c r="AG67" s="145">
        <v>0</v>
      </c>
      <c r="AH67" s="142">
        <f t="shared" si="8"/>
        <v>0</v>
      </c>
      <c r="AI67" s="141"/>
      <c r="AJ67" s="67"/>
      <c r="AK67" s="67"/>
      <c r="AL67" s="24"/>
      <c r="AM67" s="24"/>
      <c r="AN67" s="24"/>
      <c r="AO67" s="71"/>
      <c r="AP67" s="69"/>
      <c r="AQ67" s="141"/>
      <c r="AR67" s="141"/>
      <c r="AS67" s="141"/>
      <c r="AT67" s="141"/>
      <c r="AU67" s="141"/>
      <c r="AV67" s="141"/>
      <c r="AW67" s="141"/>
      <c r="AX67" s="141"/>
      <c r="AY67" s="141"/>
      <c r="AZ67" s="141"/>
    </row>
    <row r="68" spans="1:52" ht="45" customHeight="1">
      <c r="A68" s="153">
        <f t="shared" ref="A68:A99" si="9">A67+1</f>
        <v>65</v>
      </c>
      <c r="B68" s="153" t="s">
        <v>57</v>
      </c>
      <c r="C68" s="140"/>
      <c r="D68" s="28"/>
      <c r="E68" s="69"/>
      <c r="F68" s="39">
        <v>0</v>
      </c>
      <c r="G68" s="21"/>
      <c r="H68" s="21"/>
      <c r="I68" s="21"/>
      <c r="J68" s="141"/>
      <c r="K68" s="21"/>
      <c r="L68" s="69"/>
      <c r="M68" s="141"/>
      <c r="N68" s="59"/>
      <c r="O68" s="59"/>
      <c r="P68" s="105"/>
      <c r="Q68" s="105"/>
      <c r="R68" s="105"/>
      <c r="S68" s="105"/>
      <c r="T68" s="105"/>
      <c r="U68" s="90"/>
      <c r="V68" s="90"/>
      <c r="W68" s="90"/>
      <c r="X68" s="93"/>
      <c r="Y68" s="96"/>
      <c r="Z68" s="96"/>
      <c r="AA68" s="29">
        <v>0</v>
      </c>
      <c r="AB68" s="145">
        <v>0</v>
      </c>
      <c r="AC68" s="145">
        <v>0</v>
      </c>
      <c r="AD68" s="145">
        <v>0</v>
      </c>
      <c r="AE68" s="145">
        <v>0</v>
      </c>
      <c r="AF68" s="145">
        <v>0</v>
      </c>
      <c r="AG68" s="145">
        <v>0</v>
      </c>
      <c r="AH68" s="142">
        <f t="shared" si="8"/>
        <v>0</v>
      </c>
      <c r="AI68" s="141"/>
      <c r="AJ68" s="67"/>
      <c r="AK68" s="67"/>
      <c r="AL68" s="24"/>
      <c r="AM68" s="24"/>
      <c r="AN68" s="24"/>
      <c r="AO68" s="71"/>
      <c r="AP68" s="69"/>
      <c r="AQ68" s="141"/>
      <c r="AR68" s="141"/>
      <c r="AS68" s="141"/>
      <c r="AT68" s="141"/>
      <c r="AU68" s="141"/>
      <c r="AV68" s="141"/>
      <c r="AW68" s="141"/>
      <c r="AX68" s="141"/>
      <c r="AY68" s="141"/>
      <c r="AZ68" s="141"/>
    </row>
    <row r="69" spans="1:52" ht="45" customHeight="1">
      <c r="A69" s="153">
        <f t="shared" si="9"/>
        <v>66</v>
      </c>
      <c r="B69" s="153" t="s">
        <v>57</v>
      </c>
      <c r="C69" s="140"/>
      <c r="D69" s="28"/>
      <c r="E69" s="69"/>
      <c r="F69" s="39">
        <v>0</v>
      </c>
      <c r="G69" s="141"/>
      <c r="H69" s="141"/>
      <c r="I69" s="141"/>
      <c r="J69" s="141"/>
      <c r="K69" s="141"/>
      <c r="L69" s="69"/>
      <c r="M69" s="141"/>
      <c r="N69" s="59"/>
      <c r="O69" s="59"/>
      <c r="P69" s="105"/>
      <c r="Q69" s="105"/>
      <c r="R69" s="105"/>
      <c r="S69" s="105"/>
      <c r="T69" s="105"/>
      <c r="U69" s="90"/>
      <c r="V69" s="90"/>
      <c r="W69" s="90"/>
      <c r="X69" s="93"/>
      <c r="Y69" s="96"/>
      <c r="Z69" s="96"/>
      <c r="AA69" s="29">
        <v>0</v>
      </c>
      <c r="AB69" s="145">
        <v>0</v>
      </c>
      <c r="AC69" s="145">
        <v>0</v>
      </c>
      <c r="AD69" s="145">
        <v>0</v>
      </c>
      <c r="AE69" s="145">
        <v>0</v>
      </c>
      <c r="AF69" s="145">
        <v>0</v>
      </c>
      <c r="AG69" s="145">
        <v>0</v>
      </c>
      <c r="AH69" s="142">
        <f t="shared" si="8"/>
        <v>0</v>
      </c>
      <c r="AI69" s="141"/>
      <c r="AJ69" s="67"/>
      <c r="AK69" s="67"/>
      <c r="AL69" s="24"/>
      <c r="AM69" s="24"/>
      <c r="AN69" s="24"/>
      <c r="AO69" s="71"/>
      <c r="AP69" s="69"/>
      <c r="AQ69" s="141"/>
      <c r="AR69" s="141"/>
      <c r="AS69" s="141"/>
      <c r="AT69" s="141"/>
      <c r="AU69" s="141"/>
      <c r="AV69" s="141"/>
      <c r="AW69" s="141"/>
      <c r="AX69" s="141"/>
      <c r="AY69" s="141"/>
      <c r="AZ69" s="141"/>
    </row>
    <row r="70" spans="1:52" ht="45" customHeight="1">
      <c r="A70" s="153">
        <f t="shared" si="9"/>
        <v>67</v>
      </c>
      <c r="B70" s="153" t="s">
        <v>57</v>
      </c>
      <c r="C70" s="140"/>
      <c r="D70" s="28"/>
      <c r="E70" s="69"/>
      <c r="F70" s="39">
        <v>0</v>
      </c>
      <c r="G70" s="141"/>
      <c r="H70" s="141"/>
      <c r="I70" s="141"/>
      <c r="J70" s="141"/>
      <c r="K70" s="141"/>
      <c r="L70" s="69"/>
      <c r="M70" s="141"/>
      <c r="N70" s="59"/>
      <c r="O70" s="59"/>
      <c r="P70" s="105"/>
      <c r="Q70" s="105"/>
      <c r="R70" s="105"/>
      <c r="S70" s="105"/>
      <c r="T70" s="105"/>
      <c r="U70" s="90"/>
      <c r="V70" s="90"/>
      <c r="W70" s="90"/>
      <c r="X70" s="93"/>
      <c r="Y70" s="96"/>
      <c r="Z70" s="96"/>
      <c r="AA70" s="29">
        <v>0</v>
      </c>
      <c r="AB70" s="145">
        <v>0</v>
      </c>
      <c r="AC70" s="145">
        <v>0</v>
      </c>
      <c r="AD70" s="145">
        <v>0</v>
      </c>
      <c r="AE70" s="145">
        <v>0</v>
      </c>
      <c r="AF70" s="145">
        <v>0</v>
      </c>
      <c r="AG70" s="145">
        <v>0</v>
      </c>
      <c r="AH70" s="142">
        <f t="shared" si="8"/>
        <v>0</v>
      </c>
      <c r="AI70" s="141"/>
      <c r="AJ70" s="67"/>
      <c r="AK70" s="67"/>
      <c r="AL70" s="24"/>
      <c r="AM70" s="24"/>
      <c r="AN70" s="24"/>
      <c r="AO70" s="71"/>
      <c r="AP70" s="69"/>
      <c r="AQ70" s="141"/>
      <c r="AR70" s="141"/>
      <c r="AS70" s="141"/>
      <c r="AT70" s="141"/>
      <c r="AU70" s="141"/>
      <c r="AV70" s="141"/>
      <c r="AW70" s="141"/>
      <c r="AX70" s="141"/>
      <c r="AY70" s="141"/>
      <c r="AZ70" s="141"/>
    </row>
    <row r="71" spans="1:52" ht="45" customHeight="1">
      <c r="A71" s="153">
        <f t="shared" si="9"/>
        <v>68</v>
      </c>
      <c r="B71" s="153"/>
      <c r="C71" s="140"/>
      <c r="D71" s="28"/>
      <c r="E71" s="69"/>
      <c r="F71" s="39">
        <v>0</v>
      </c>
      <c r="G71" s="141"/>
      <c r="H71" s="141"/>
      <c r="I71" s="141"/>
      <c r="J71" s="141"/>
      <c r="K71" s="141"/>
      <c r="L71" s="69"/>
      <c r="M71" s="141"/>
      <c r="N71" s="59"/>
      <c r="O71" s="59"/>
      <c r="P71" s="105"/>
      <c r="Q71" s="105"/>
      <c r="R71" s="105"/>
      <c r="S71" s="105"/>
      <c r="T71" s="105"/>
      <c r="U71" s="90"/>
      <c r="V71" s="90"/>
      <c r="W71" s="90"/>
      <c r="X71" s="93"/>
      <c r="Y71" s="96"/>
      <c r="Z71" s="96"/>
      <c r="AA71" s="29">
        <v>0</v>
      </c>
      <c r="AB71" s="145">
        <v>0</v>
      </c>
      <c r="AC71" s="145">
        <v>0</v>
      </c>
      <c r="AD71" s="145">
        <v>0</v>
      </c>
      <c r="AE71" s="145">
        <v>0</v>
      </c>
      <c r="AF71" s="145">
        <v>0</v>
      </c>
      <c r="AG71" s="145">
        <v>0</v>
      </c>
      <c r="AH71" s="142">
        <f t="shared" si="8"/>
        <v>0</v>
      </c>
      <c r="AI71" s="141"/>
      <c r="AJ71" s="67"/>
      <c r="AK71" s="67"/>
      <c r="AL71" s="24"/>
      <c r="AM71" s="24"/>
      <c r="AN71" s="24"/>
      <c r="AO71" s="71"/>
      <c r="AP71" s="69"/>
      <c r="AQ71" s="141"/>
      <c r="AR71" s="141"/>
      <c r="AS71" s="141"/>
      <c r="AT71" s="141"/>
      <c r="AU71" s="141"/>
      <c r="AV71" s="141"/>
      <c r="AW71" s="141"/>
      <c r="AX71" s="141"/>
      <c r="AY71" s="141"/>
      <c r="AZ71" s="141"/>
    </row>
    <row r="72" spans="1:52" ht="45" customHeight="1">
      <c r="A72" s="153">
        <f t="shared" si="9"/>
        <v>69</v>
      </c>
      <c r="B72" s="153"/>
      <c r="C72" s="140"/>
      <c r="D72" s="28"/>
      <c r="E72" s="69"/>
      <c r="F72" s="39">
        <v>0</v>
      </c>
      <c r="G72" s="141"/>
      <c r="H72" s="141"/>
      <c r="I72" s="141"/>
      <c r="J72" s="141"/>
      <c r="K72" s="141"/>
      <c r="L72" s="69"/>
      <c r="M72" s="141"/>
      <c r="N72" s="59"/>
      <c r="O72" s="59"/>
      <c r="P72" s="105"/>
      <c r="Q72" s="105"/>
      <c r="R72" s="105"/>
      <c r="S72" s="105"/>
      <c r="T72" s="105"/>
      <c r="U72" s="90"/>
      <c r="V72" s="90"/>
      <c r="W72" s="90"/>
      <c r="X72" s="93"/>
      <c r="Y72" s="96"/>
      <c r="Z72" s="96"/>
      <c r="AA72" s="29">
        <v>0</v>
      </c>
      <c r="AB72" s="145">
        <v>0</v>
      </c>
      <c r="AC72" s="145">
        <v>0</v>
      </c>
      <c r="AD72" s="145">
        <v>0</v>
      </c>
      <c r="AE72" s="145">
        <v>0</v>
      </c>
      <c r="AF72" s="145">
        <v>0</v>
      </c>
      <c r="AG72" s="145">
        <v>0</v>
      </c>
      <c r="AH72" s="142">
        <f t="shared" si="8"/>
        <v>0</v>
      </c>
      <c r="AI72" s="141"/>
      <c r="AJ72" s="67"/>
      <c r="AK72" s="67"/>
      <c r="AL72" s="24"/>
      <c r="AM72" s="24"/>
      <c r="AN72" s="24"/>
      <c r="AO72" s="71"/>
      <c r="AP72" s="69"/>
      <c r="AQ72" s="141"/>
      <c r="AR72" s="141"/>
      <c r="AS72" s="141"/>
      <c r="AT72" s="141"/>
      <c r="AU72" s="141"/>
      <c r="AV72" s="141"/>
      <c r="AW72" s="141"/>
      <c r="AX72" s="141"/>
      <c r="AY72" s="141"/>
      <c r="AZ72" s="141"/>
    </row>
    <row r="73" spans="1:52" ht="45" customHeight="1">
      <c r="A73" s="153">
        <f t="shared" si="9"/>
        <v>70</v>
      </c>
      <c r="B73" s="153"/>
      <c r="C73" s="140"/>
      <c r="D73" s="28"/>
      <c r="E73" s="69"/>
      <c r="F73" s="39">
        <v>0</v>
      </c>
      <c r="G73" s="141"/>
      <c r="H73" s="141"/>
      <c r="I73" s="141"/>
      <c r="J73" s="141"/>
      <c r="K73" s="141"/>
      <c r="L73" s="69"/>
      <c r="M73" s="141"/>
      <c r="N73" s="59"/>
      <c r="O73" s="59"/>
      <c r="P73" s="105"/>
      <c r="Q73" s="105"/>
      <c r="R73" s="105"/>
      <c r="S73" s="105"/>
      <c r="T73" s="105"/>
      <c r="U73" s="90"/>
      <c r="V73" s="90"/>
      <c r="W73" s="90"/>
      <c r="X73" s="93"/>
      <c r="Y73" s="96"/>
      <c r="Z73" s="96"/>
      <c r="AA73" s="29">
        <v>0</v>
      </c>
      <c r="AB73" s="145">
        <v>0</v>
      </c>
      <c r="AC73" s="145">
        <v>0</v>
      </c>
      <c r="AD73" s="145">
        <v>0</v>
      </c>
      <c r="AE73" s="145">
        <v>0</v>
      </c>
      <c r="AF73" s="145">
        <v>0</v>
      </c>
      <c r="AG73" s="145">
        <v>0</v>
      </c>
      <c r="AH73" s="142">
        <f t="shared" si="8"/>
        <v>0</v>
      </c>
      <c r="AI73" s="141"/>
      <c r="AJ73" s="67"/>
      <c r="AK73" s="67"/>
      <c r="AL73" s="24"/>
      <c r="AM73" s="24"/>
      <c r="AN73" s="24"/>
      <c r="AO73" s="71"/>
      <c r="AP73" s="69"/>
      <c r="AQ73" s="141"/>
      <c r="AR73" s="141"/>
      <c r="AS73" s="141"/>
      <c r="AT73" s="141"/>
      <c r="AU73" s="141"/>
      <c r="AV73" s="141"/>
      <c r="AW73" s="141"/>
      <c r="AX73" s="141"/>
      <c r="AY73" s="141"/>
      <c r="AZ73" s="141"/>
    </row>
    <row r="74" spans="1:52" ht="45" customHeight="1">
      <c r="A74" s="153">
        <f t="shared" si="9"/>
        <v>71</v>
      </c>
      <c r="B74" s="153"/>
      <c r="C74" s="140"/>
      <c r="D74" s="28"/>
      <c r="E74" s="69"/>
      <c r="F74" s="39">
        <v>0</v>
      </c>
      <c r="G74" s="141"/>
      <c r="H74" s="141"/>
      <c r="I74" s="141"/>
      <c r="J74" s="141"/>
      <c r="K74" s="141"/>
      <c r="L74" s="69"/>
      <c r="M74" s="141"/>
      <c r="N74" s="59"/>
      <c r="O74" s="59"/>
      <c r="P74" s="105"/>
      <c r="Q74" s="105"/>
      <c r="R74" s="105"/>
      <c r="S74" s="105"/>
      <c r="T74" s="105"/>
      <c r="U74" s="90"/>
      <c r="V74" s="90"/>
      <c r="W74" s="90"/>
      <c r="X74" s="93"/>
      <c r="Y74" s="96"/>
      <c r="Z74" s="96"/>
      <c r="AA74" s="29">
        <v>0</v>
      </c>
      <c r="AB74" s="145">
        <v>0</v>
      </c>
      <c r="AC74" s="145">
        <v>0</v>
      </c>
      <c r="AD74" s="145">
        <v>0</v>
      </c>
      <c r="AE74" s="145">
        <v>0</v>
      </c>
      <c r="AF74" s="145">
        <v>0</v>
      </c>
      <c r="AG74" s="145">
        <v>0</v>
      </c>
      <c r="AH74" s="142">
        <f t="shared" si="8"/>
        <v>0</v>
      </c>
      <c r="AI74" s="141"/>
      <c r="AJ74" s="67"/>
      <c r="AK74" s="67"/>
      <c r="AL74" s="24"/>
      <c r="AM74" s="24"/>
      <c r="AN74" s="24"/>
      <c r="AO74" s="71"/>
      <c r="AP74" s="69"/>
      <c r="AQ74" s="141"/>
      <c r="AR74" s="141"/>
      <c r="AS74" s="141"/>
      <c r="AT74" s="141"/>
      <c r="AU74" s="141"/>
      <c r="AV74" s="141"/>
      <c r="AW74" s="141"/>
      <c r="AX74" s="141"/>
      <c r="AY74" s="141"/>
      <c r="AZ74" s="141"/>
    </row>
    <row r="75" spans="1:52" ht="45" customHeight="1">
      <c r="A75" s="153">
        <f t="shared" si="9"/>
        <v>72</v>
      </c>
      <c r="B75" s="153"/>
      <c r="C75" s="140"/>
      <c r="D75" s="28"/>
      <c r="E75" s="69"/>
      <c r="F75" s="39">
        <v>0</v>
      </c>
      <c r="G75" s="141"/>
      <c r="H75" s="35"/>
      <c r="I75" s="35"/>
      <c r="J75" s="35"/>
      <c r="K75" s="65"/>
      <c r="L75" s="69"/>
      <c r="M75" s="141"/>
      <c r="N75" s="59"/>
      <c r="O75" s="59"/>
      <c r="P75" s="105"/>
      <c r="Q75" s="105"/>
      <c r="R75" s="105"/>
      <c r="S75" s="105"/>
      <c r="T75" s="105"/>
      <c r="U75" s="90"/>
      <c r="V75" s="90"/>
      <c r="W75" s="90"/>
      <c r="X75" s="93"/>
      <c r="Y75" s="95"/>
      <c r="Z75" s="95"/>
      <c r="AA75" s="29">
        <v>0</v>
      </c>
      <c r="AB75" s="145">
        <v>0</v>
      </c>
      <c r="AC75" s="145">
        <v>0</v>
      </c>
      <c r="AD75" s="145">
        <v>0</v>
      </c>
      <c r="AE75" s="145">
        <v>0</v>
      </c>
      <c r="AF75" s="145">
        <v>0</v>
      </c>
      <c r="AG75" s="145">
        <v>0</v>
      </c>
      <c r="AH75" s="142">
        <f t="shared" si="8"/>
        <v>0</v>
      </c>
      <c r="AI75" s="141"/>
      <c r="AJ75" s="67"/>
      <c r="AK75" s="67"/>
      <c r="AL75" s="24"/>
      <c r="AM75" s="24"/>
      <c r="AN75" s="24"/>
      <c r="AO75" s="71"/>
      <c r="AP75" s="69"/>
      <c r="AQ75" s="141"/>
      <c r="AR75" s="141"/>
      <c r="AS75" s="141"/>
      <c r="AT75" s="141"/>
      <c r="AU75" s="141"/>
      <c r="AV75" s="141"/>
      <c r="AW75" s="141"/>
      <c r="AX75" s="141"/>
      <c r="AY75" s="141"/>
      <c r="AZ75" s="141"/>
    </row>
    <row r="76" spans="1:52" ht="45" customHeight="1">
      <c r="A76" s="153">
        <f t="shared" si="9"/>
        <v>73</v>
      </c>
      <c r="B76" s="153"/>
      <c r="C76" s="140"/>
      <c r="D76" s="28"/>
      <c r="E76" s="69"/>
      <c r="F76" s="39">
        <v>0</v>
      </c>
      <c r="G76" s="141"/>
      <c r="H76" s="141"/>
      <c r="I76" s="141"/>
      <c r="J76" s="141"/>
      <c r="K76" s="141"/>
      <c r="L76" s="69"/>
      <c r="M76" s="141"/>
      <c r="N76" s="59"/>
      <c r="O76" s="59"/>
      <c r="P76" s="105"/>
      <c r="Q76" s="105"/>
      <c r="R76" s="105"/>
      <c r="S76" s="105"/>
      <c r="T76" s="105"/>
      <c r="U76" s="90"/>
      <c r="V76" s="90"/>
      <c r="W76" s="90"/>
      <c r="X76" s="93"/>
      <c r="Y76" s="93"/>
      <c r="Z76" s="93"/>
      <c r="AA76" s="29">
        <v>0</v>
      </c>
      <c r="AB76" s="145">
        <v>0</v>
      </c>
      <c r="AC76" s="145">
        <v>0</v>
      </c>
      <c r="AD76" s="145">
        <v>0</v>
      </c>
      <c r="AE76" s="145">
        <v>0</v>
      </c>
      <c r="AF76" s="145">
        <v>0</v>
      </c>
      <c r="AG76" s="145">
        <v>0</v>
      </c>
      <c r="AH76" s="142">
        <f t="shared" si="8"/>
        <v>0</v>
      </c>
      <c r="AI76" s="141"/>
      <c r="AJ76" s="67"/>
      <c r="AK76" s="67"/>
      <c r="AL76" s="24"/>
      <c r="AM76" s="24"/>
      <c r="AN76" s="24"/>
      <c r="AO76" s="71"/>
      <c r="AP76" s="69"/>
      <c r="AQ76" s="141"/>
      <c r="AR76" s="141"/>
      <c r="AS76" s="141"/>
      <c r="AT76" s="141"/>
      <c r="AU76" s="141"/>
      <c r="AV76" s="141"/>
      <c r="AW76" s="141"/>
      <c r="AX76" s="141"/>
      <c r="AY76" s="141"/>
      <c r="AZ76" s="141"/>
    </row>
    <row r="77" spans="1:52" ht="45" customHeight="1">
      <c r="A77" s="153">
        <f t="shared" si="9"/>
        <v>74</v>
      </c>
      <c r="B77" s="153"/>
      <c r="C77" s="140"/>
      <c r="D77" s="28"/>
      <c r="E77" s="69"/>
      <c r="F77" s="39">
        <v>0</v>
      </c>
      <c r="G77" s="141"/>
      <c r="H77" s="141"/>
      <c r="I77" s="141"/>
      <c r="J77" s="141"/>
      <c r="K77" s="141"/>
      <c r="L77" s="69"/>
      <c r="M77" s="141"/>
      <c r="N77" s="59"/>
      <c r="O77" s="59"/>
      <c r="P77" s="105"/>
      <c r="Q77" s="105"/>
      <c r="R77" s="105"/>
      <c r="S77" s="105"/>
      <c r="T77" s="105"/>
      <c r="U77" s="90"/>
      <c r="V77" s="90"/>
      <c r="W77" s="90"/>
      <c r="X77" s="93"/>
      <c r="Y77" s="93"/>
      <c r="Z77" s="93"/>
      <c r="AA77" s="29">
        <v>0</v>
      </c>
      <c r="AB77" s="145">
        <v>0</v>
      </c>
      <c r="AC77" s="145">
        <v>0</v>
      </c>
      <c r="AD77" s="145">
        <v>0</v>
      </c>
      <c r="AE77" s="145">
        <v>0</v>
      </c>
      <c r="AF77" s="145">
        <v>0</v>
      </c>
      <c r="AG77" s="145">
        <v>0</v>
      </c>
      <c r="AH77" s="142">
        <f t="shared" si="8"/>
        <v>0</v>
      </c>
      <c r="AI77" s="141"/>
      <c r="AJ77" s="67"/>
      <c r="AK77" s="67"/>
      <c r="AL77" s="24"/>
      <c r="AM77" s="24"/>
      <c r="AN77" s="24"/>
      <c r="AO77" s="71"/>
      <c r="AP77" s="69"/>
      <c r="AQ77" s="141"/>
      <c r="AR77" s="141"/>
      <c r="AS77" s="141"/>
      <c r="AT77" s="141"/>
      <c r="AU77" s="141"/>
      <c r="AV77" s="141"/>
      <c r="AW77" s="141"/>
      <c r="AX77" s="141"/>
      <c r="AY77" s="141"/>
      <c r="AZ77" s="141"/>
    </row>
    <row r="78" spans="1:52" ht="45" customHeight="1">
      <c r="A78" s="153">
        <f t="shared" si="9"/>
        <v>75</v>
      </c>
      <c r="B78" s="153"/>
      <c r="C78" s="140"/>
      <c r="D78" s="28"/>
      <c r="E78" s="69"/>
      <c r="F78" s="39">
        <v>0</v>
      </c>
      <c r="G78" s="141"/>
      <c r="H78" s="141"/>
      <c r="I78" s="141"/>
      <c r="J78" s="141"/>
      <c r="K78" s="141"/>
      <c r="L78" s="69"/>
      <c r="M78" s="141"/>
      <c r="N78" s="59"/>
      <c r="O78" s="59"/>
      <c r="P78" s="105"/>
      <c r="Q78" s="105"/>
      <c r="R78" s="105"/>
      <c r="S78" s="105"/>
      <c r="T78" s="105"/>
      <c r="U78" s="90"/>
      <c r="V78" s="90"/>
      <c r="W78" s="90"/>
      <c r="X78" s="93"/>
      <c r="Y78" s="93"/>
      <c r="Z78" s="93"/>
      <c r="AA78" s="29">
        <v>0</v>
      </c>
      <c r="AB78" s="145">
        <v>0</v>
      </c>
      <c r="AC78" s="145">
        <v>0</v>
      </c>
      <c r="AD78" s="145">
        <v>0</v>
      </c>
      <c r="AE78" s="145">
        <v>0</v>
      </c>
      <c r="AF78" s="145">
        <v>0</v>
      </c>
      <c r="AG78" s="145">
        <v>0</v>
      </c>
      <c r="AH78" s="142">
        <f t="shared" si="8"/>
        <v>0</v>
      </c>
      <c r="AI78" s="141"/>
      <c r="AJ78" s="67"/>
      <c r="AK78" s="67"/>
      <c r="AL78" s="24"/>
      <c r="AM78" s="24"/>
      <c r="AN78" s="24"/>
      <c r="AO78" s="71"/>
      <c r="AP78" s="69"/>
      <c r="AQ78" s="141"/>
      <c r="AR78" s="141"/>
      <c r="AS78" s="141"/>
      <c r="AT78" s="141"/>
      <c r="AU78" s="141"/>
      <c r="AV78" s="141"/>
      <c r="AW78" s="141"/>
      <c r="AX78" s="141"/>
      <c r="AY78" s="141"/>
      <c r="AZ78" s="141"/>
    </row>
    <row r="79" spans="1:52" ht="45" customHeight="1">
      <c r="A79" s="153">
        <f t="shared" si="9"/>
        <v>76</v>
      </c>
      <c r="B79" s="153"/>
      <c r="C79" s="140"/>
      <c r="D79" s="28"/>
      <c r="E79" s="69"/>
      <c r="F79" s="39">
        <v>0</v>
      </c>
      <c r="G79" s="141"/>
      <c r="H79" s="141"/>
      <c r="I79" s="141"/>
      <c r="J79" s="141"/>
      <c r="K79" s="141"/>
      <c r="L79" s="69"/>
      <c r="M79" s="141"/>
      <c r="N79" s="59"/>
      <c r="O79" s="59"/>
      <c r="P79" s="105"/>
      <c r="Q79" s="105"/>
      <c r="R79" s="105"/>
      <c r="S79" s="105"/>
      <c r="T79" s="105"/>
      <c r="U79" s="90"/>
      <c r="V79" s="90"/>
      <c r="W79" s="90"/>
      <c r="X79" s="93"/>
      <c r="Y79" s="93"/>
      <c r="Z79" s="93"/>
      <c r="AA79" s="29">
        <v>0</v>
      </c>
      <c r="AB79" s="145">
        <v>0</v>
      </c>
      <c r="AC79" s="145">
        <v>0</v>
      </c>
      <c r="AD79" s="145">
        <v>0</v>
      </c>
      <c r="AE79" s="145">
        <v>0</v>
      </c>
      <c r="AF79" s="145">
        <v>0</v>
      </c>
      <c r="AG79" s="145">
        <v>0</v>
      </c>
      <c r="AH79" s="142">
        <f t="shared" si="8"/>
        <v>0</v>
      </c>
      <c r="AI79" s="141"/>
      <c r="AJ79" s="67"/>
      <c r="AK79" s="67"/>
      <c r="AL79" s="24"/>
      <c r="AM79" s="24"/>
      <c r="AN79" s="24"/>
      <c r="AO79" s="71"/>
      <c r="AP79" s="69"/>
      <c r="AQ79" s="141"/>
      <c r="AR79" s="141"/>
      <c r="AS79" s="141"/>
      <c r="AT79" s="141"/>
      <c r="AU79" s="141"/>
      <c r="AV79" s="141"/>
      <c r="AW79" s="141"/>
      <c r="AX79" s="141"/>
      <c r="AY79" s="141"/>
      <c r="AZ79" s="141"/>
    </row>
    <row r="80" spans="1:52" ht="45" customHeight="1">
      <c r="A80" s="153">
        <f t="shared" si="9"/>
        <v>77</v>
      </c>
      <c r="B80" s="153"/>
      <c r="C80" s="140"/>
      <c r="D80" s="28"/>
      <c r="E80" s="69"/>
      <c r="F80" s="39">
        <v>0</v>
      </c>
      <c r="G80" s="141"/>
      <c r="H80" s="141"/>
      <c r="I80" s="141"/>
      <c r="J80" s="141"/>
      <c r="K80" s="141"/>
      <c r="L80" s="69"/>
      <c r="M80" s="141"/>
      <c r="N80" s="59"/>
      <c r="O80" s="59"/>
      <c r="P80" s="105"/>
      <c r="Q80" s="105"/>
      <c r="R80" s="105"/>
      <c r="S80" s="105"/>
      <c r="T80" s="105"/>
      <c r="U80" s="90"/>
      <c r="V80" s="90"/>
      <c r="W80" s="90"/>
      <c r="X80" s="93"/>
      <c r="Y80" s="93"/>
      <c r="Z80" s="93"/>
      <c r="AA80" s="29">
        <v>0</v>
      </c>
      <c r="AB80" s="145">
        <v>0</v>
      </c>
      <c r="AC80" s="145">
        <v>0</v>
      </c>
      <c r="AD80" s="145">
        <v>0</v>
      </c>
      <c r="AE80" s="145">
        <v>0</v>
      </c>
      <c r="AF80" s="145">
        <v>0</v>
      </c>
      <c r="AG80" s="145">
        <v>0</v>
      </c>
      <c r="AH80" s="142">
        <f t="shared" si="8"/>
        <v>0</v>
      </c>
      <c r="AI80" s="141"/>
      <c r="AJ80" s="67"/>
      <c r="AK80" s="67"/>
      <c r="AL80" s="24"/>
      <c r="AM80" s="24"/>
      <c r="AN80" s="24"/>
      <c r="AO80" s="71"/>
      <c r="AP80" s="69"/>
      <c r="AQ80" s="141"/>
      <c r="AR80" s="141"/>
      <c r="AS80" s="141"/>
      <c r="AT80" s="141"/>
      <c r="AU80" s="141"/>
      <c r="AV80" s="141"/>
      <c r="AW80" s="141"/>
      <c r="AX80" s="141"/>
      <c r="AY80" s="141"/>
      <c r="AZ80" s="141"/>
    </row>
    <row r="81" spans="1:52" ht="45" customHeight="1">
      <c r="A81" s="153">
        <f t="shared" si="9"/>
        <v>78</v>
      </c>
      <c r="B81" s="153"/>
      <c r="C81" s="140"/>
      <c r="D81" s="28"/>
      <c r="E81" s="69"/>
      <c r="F81" s="39">
        <v>0</v>
      </c>
      <c r="G81" s="21"/>
      <c r="H81" s="21"/>
      <c r="I81" s="21"/>
      <c r="J81" s="141"/>
      <c r="K81" s="21"/>
      <c r="L81" s="69"/>
      <c r="M81" s="141"/>
      <c r="N81" s="59"/>
      <c r="O81" s="59"/>
      <c r="P81" s="105"/>
      <c r="Q81" s="105"/>
      <c r="R81" s="105"/>
      <c r="S81" s="105"/>
      <c r="T81" s="105"/>
      <c r="U81" s="90"/>
      <c r="V81" s="90"/>
      <c r="W81" s="90"/>
      <c r="X81" s="93"/>
      <c r="Y81" s="93"/>
      <c r="Z81" s="93"/>
      <c r="AA81" s="29">
        <v>0</v>
      </c>
      <c r="AB81" s="145">
        <v>0</v>
      </c>
      <c r="AC81" s="145">
        <v>0</v>
      </c>
      <c r="AD81" s="145">
        <v>0</v>
      </c>
      <c r="AE81" s="145">
        <v>0</v>
      </c>
      <c r="AF81" s="145">
        <v>0</v>
      </c>
      <c r="AG81" s="145">
        <v>0</v>
      </c>
      <c r="AH81" s="142">
        <f t="shared" si="8"/>
        <v>0</v>
      </c>
      <c r="AI81" s="141"/>
      <c r="AJ81" s="67"/>
      <c r="AK81" s="67"/>
      <c r="AL81" s="24"/>
      <c r="AM81" s="24"/>
      <c r="AN81" s="24"/>
      <c r="AO81" s="71"/>
      <c r="AP81" s="69"/>
      <c r="AQ81" s="141"/>
      <c r="AR81" s="141"/>
      <c r="AS81" s="141"/>
      <c r="AT81" s="141"/>
      <c r="AU81" s="141"/>
      <c r="AV81" s="141"/>
      <c r="AW81" s="141"/>
      <c r="AX81" s="141"/>
      <c r="AY81" s="141"/>
      <c r="AZ81" s="141"/>
    </row>
    <row r="82" spans="1:52" ht="45" customHeight="1">
      <c r="A82" s="153">
        <f t="shared" si="9"/>
        <v>79</v>
      </c>
      <c r="B82" s="153"/>
      <c r="C82" s="140"/>
      <c r="D82" s="28"/>
      <c r="E82" s="69"/>
      <c r="F82" s="39">
        <v>0</v>
      </c>
      <c r="G82" s="53"/>
      <c r="H82" s="53"/>
      <c r="I82" s="53"/>
      <c r="J82" s="141"/>
      <c r="K82" s="141"/>
      <c r="L82" s="69"/>
      <c r="M82" s="141"/>
      <c r="N82" s="59"/>
      <c r="O82" s="59"/>
      <c r="P82" s="105"/>
      <c r="Q82" s="105"/>
      <c r="R82" s="105"/>
      <c r="S82" s="105"/>
      <c r="T82" s="105"/>
      <c r="U82" s="90"/>
      <c r="V82" s="90"/>
      <c r="W82" s="90"/>
      <c r="X82" s="93"/>
      <c r="Y82" s="93"/>
      <c r="Z82" s="93"/>
      <c r="AA82" s="29">
        <v>0</v>
      </c>
      <c r="AB82" s="145">
        <v>0</v>
      </c>
      <c r="AC82" s="145">
        <v>0</v>
      </c>
      <c r="AD82" s="145">
        <v>0</v>
      </c>
      <c r="AE82" s="145">
        <v>0</v>
      </c>
      <c r="AF82" s="145">
        <v>0</v>
      </c>
      <c r="AG82" s="145">
        <v>0</v>
      </c>
      <c r="AH82" s="142">
        <f t="shared" ref="AH82:AH113" si="10">AVERAGE(AA82:AG82)</f>
        <v>0</v>
      </c>
      <c r="AI82" s="141"/>
      <c r="AJ82" s="67"/>
      <c r="AK82" s="67"/>
      <c r="AL82" s="24"/>
      <c r="AM82" s="24"/>
      <c r="AN82" s="24"/>
      <c r="AO82" s="71"/>
      <c r="AP82" s="69"/>
      <c r="AQ82" s="141"/>
      <c r="AR82" s="141"/>
      <c r="AS82" s="141"/>
      <c r="AT82" s="141"/>
      <c r="AU82" s="141"/>
      <c r="AV82" s="141"/>
      <c r="AW82" s="141"/>
      <c r="AX82" s="141"/>
      <c r="AY82" s="141"/>
      <c r="AZ82" s="141"/>
    </row>
    <row r="83" spans="1:52" ht="45" customHeight="1">
      <c r="A83" s="153">
        <f t="shared" si="9"/>
        <v>80</v>
      </c>
      <c r="B83" s="153"/>
      <c r="C83" s="140"/>
      <c r="D83" s="28"/>
      <c r="E83" s="69"/>
      <c r="F83" s="39">
        <v>0</v>
      </c>
      <c r="G83" s="141"/>
      <c r="H83" s="141"/>
      <c r="I83" s="141"/>
      <c r="J83" s="141"/>
      <c r="K83" s="141"/>
      <c r="L83" s="69"/>
      <c r="M83" s="141"/>
      <c r="N83" s="59"/>
      <c r="O83" s="59"/>
      <c r="P83" s="105"/>
      <c r="Q83" s="105"/>
      <c r="R83" s="105"/>
      <c r="S83" s="105"/>
      <c r="T83" s="105"/>
      <c r="U83" s="90"/>
      <c r="V83" s="90"/>
      <c r="W83" s="90"/>
      <c r="X83" s="93"/>
      <c r="Y83" s="93"/>
      <c r="Z83" s="93"/>
      <c r="AA83" s="29">
        <v>0</v>
      </c>
      <c r="AB83" s="145">
        <v>0</v>
      </c>
      <c r="AC83" s="145">
        <v>0</v>
      </c>
      <c r="AD83" s="145">
        <v>0</v>
      </c>
      <c r="AE83" s="145">
        <v>0</v>
      </c>
      <c r="AF83" s="145">
        <v>0</v>
      </c>
      <c r="AG83" s="145">
        <v>0</v>
      </c>
      <c r="AH83" s="142">
        <f t="shared" si="10"/>
        <v>0</v>
      </c>
      <c r="AI83" s="141"/>
      <c r="AJ83" s="67"/>
      <c r="AK83" s="67"/>
      <c r="AL83" s="24"/>
      <c r="AM83" s="24"/>
      <c r="AN83" s="24"/>
      <c r="AO83" s="71"/>
      <c r="AP83" s="69"/>
      <c r="AQ83" s="141"/>
      <c r="AR83" s="141"/>
      <c r="AS83" s="141"/>
      <c r="AT83" s="141"/>
      <c r="AU83" s="141"/>
      <c r="AV83" s="141"/>
      <c r="AW83" s="141"/>
      <c r="AX83" s="141"/>
      <c r="AY83" s="141"/>
      <c r="AZ83" s="141"/>
    </row>
    <row r="84" spans="1:52" ht="45" customHeight="1">
      <c r="A84" s="153">
        <f t="shared" si="9"/>
        <v>81</v>
      </c>
      <c r="B84" s="153"/>
      <c r="C84" s="140"/>
      <c r="D84" s="28"/>
      <c r="E84" s="69"/>
      <c r="F84" s="39">
        <v>0</v>
      </c>
      <c r="G84" s="141"/>
      <c r="H84" s="141"/>
      <c r="I84" s="141"/>
      <c r="J84" s="141"/>
      <c r="K84" s="141"/>
      <c r="L84" s="69"/>
      <c r="M84" s="141"/>
      <c r="N84" s="59"/>
      <c r="O84" s="59"/>
      <c r="P84" s="105"/>
      <c r="Q84" s="105"/>
      <c r="R84" s="105"/>
      <c r="S84" s="105"/>
      <c r="T84" s="105"/>
      <c r="U84" s="90"/>
      <c r="V84" s="90"/>
      <c r="W84" s="90"/>
      <c r="X84" s="93"/>
      <c r="Y84" s="93"/>
      <c r="Z84" s="93"/>
      <c r="AA84" s="29">
        <v>0</v>
      </c>
      <c r="AB84" s="145">
        <v>0</v>
      </c>
      <c r="AC84" s="145">
        <v>0</v>
      </c>
      <c r="AD84" s="145">
        <v>0</v>
      </c>
      <c r="AE84" s="145">
        <v>0</v>
      </c>
      <c r="AF84" s="145">
        <v>0</v>
      </c>
      <c r="AG84" s="145">
        <v>0</v>
      </c>
      <c r="AH84" s="142">
        <f t="shared" si="10"/>
        <v>0</v>
      </c>
      <c r="AI84" s="141"/>
      <c r="AJ84" s="67"/>
      <c r="AK84" s="67"/>
      <c r="AL84" s="24"/>
      <c r="AM84" s="24"/>
      <c r="AN84" s="24"/>
      <c r="AO84" s="71"/>
      <c r="AP84" s="69"/>
      <c r="AQ84" s="141"/>
      <c r="AR84" s="141"/>
      <c r="AS84" s="141"/>
      <c r="AT84" s="141"/>
      <c r="AU84" s="141"/>
      <c r="AV84" s="141"/>
      <c r="AW84" s="141"/>
      <c r="AX84" s="141"/>
      <c r="AY84" s="141"/>
      <c r="AZ84" s="141"/>
    </row>
    <row r="85" spans="1:52" ht="45" customHeight="1">
      <c r="A85" s="153">
        <f t="shared" si="9"/>
        <v>82</v>
      </c>
      <c r="B85" s="153"/>
      <c r="C85" s="140"/>
      <c r="D85" s="28"/>
      <c r="E85" s="69"/>
      <c r="F85" s="39">
        <v>0</v>
      </c>
      <c r="G85" s="141"/>
      <c r="H85" s="141"/>
      <c r="I85" s="141"/>
      <c r="J85" s="141"/>
      <c r="K85" s="141"/>
      <c r="L85" s="69"/>
      <c r="M85" s="141"/>
      <c r="N85" s="59"/>
      <c r="O85" s="59"/>
      <c r="P85" s="105"/>
      <c r="Q85" s="105"/>
      <c r="R85" s="105"/>
      <c r="S85" s="105"/>
      <c r="T85" s="105"/>
      <c r="U85" s="90"/>
      <c r="V85" s="90"/>
      <c r="W85" s="90"/>
      <c r="X85" s="93"/>
      <c r="Y85" s="96"/>
      <c r="Z85" s="96"/>
      <c r="AA85" s="29">
        <v>0</v>
      </c>
      <c r="AB85" s="145">
        <v>0</v>
      </c>
      <c r="AC85" s="145">
        <v>0</v>
      </c>
      <c r="AD85" s="145">
        <v>0</v>
      </c>
      <c r="AE85" s="145">
        <v>0</v>
      </c>
      <c r="AF85" s="145">
        <v>0</v>
      </c>
      <c r="AG85" s="145">
        <v>0</v>
      </c>
      <c r="AH85" s="142">
        <f t="shared" si="10"/>
        <v>0</v>
      </c>
      <c r="AI85" s="141"/>
      <c r="AJ85" s="67"/>
      <c r="AK85" s="67"/>
      <c r="AL85" s="24"/>
      <c r="AM85" s="24"/>
      <c r="AN85" s="24"/>
      <c r="AO85" s="71"/>
      <c r="AP85" s="69"/>
      <c r="AQ85" s="141"/>
      <c r="AR85" s="141"/>
      <c r="AS85" s="141"/>
      <c r="AT85" s="141"/>
      <c r="AU85" s="141"/>
      <c r="AV85" s="141"/>
      <c r="AW85" s="141"/>
      <c r="AX85" s="141"/>
      <c r="AY85" s="141"/>
      <c r="AZ85" s="141"/>
    </row>
    <row r="86" spans="1:52" ht="45" customHeight="1">
      <c r="A86" s="153">
        <f t="shared" si="9"/>
        <v>83</v>
      </c>
      <c r="B86" s="153"/>
      <c r="C86" s="140"/>
      <c r="D86" s="28"/>
      <c r="E86" s="69"/>
      <c r="F86" s="39">
        <v>0</v>
      </c>
      <c r="G86" s="141"/>
      <c r="H86" s="141"/>
      <c r="I86" s="141"/>
      <c r="J86" s="141"/>
      <c r="K86" s="21"/>
      <c r="L86" s="69"/>
      <c r="M86" s="141"/>
      <c r="N86" s="59"/>
      <c r="O86" s="59"/>
      <c r="P86" s="105"/>
      <c r="Q86" s="105"/>
      <c r="R86" s="105"/>
      <c r="S86" s="105"/>
      <c r="T86" s="105"/>
      <c r="U86" s="90"/>
      <c r="V86" s="90"/>
      <c r="W86" s="90"/>
      <c r="X86" s="93"/>
      <c r="Y86" s="93"/>
      <c r="Z86" s="93"/>
      <c r="AA86" s="29">
        <v>0</v>
      </c>
      <c r="AB86" s="145">
        <v>0</v>
      </c>
      <c r="AC86" s="145">
        <v>0</v>
      </c>
      <c r="AD86" s="145">
        <v>0</v>
      </c>
      <c r="AE86" s="145">
        <v>0</v>
      </c>
      <c r="AF86" s="145">
        <v>0</v>
      </c>
      <c r="AG86" s="145">
        <v>0</v>
      </c>
      <c r="AH86" s="142">
        <f t="shared" si="10"/>
        <v>0</v>
      </c>
      <c r="AI86" s="141"/>
      <c r="AJ86" s="67"/>
      <c r="AK86" s="67"/>
      <c r="AL86" s="24"/>
      <c r="AM86" s="24"/>
      <c r="AN86" s="24"/>
      <c r="AO86" s="71"/>
      <c r="AP86" s="69"/>
      <c r="AQ86" s="141"/>
      <c r="AR86" s="141"/>
      <c r="AS86" s="141"/>
      <c r="AT86" s="141"/>
      <c r="AU86" s="141"/>
      <c r="AV86" s="141"/>
      <c r="AW86" s="141"/>
      <c r="AX86" s="141"/>
      <c r="AY86" s="141"/>
      <c r="AZ86" s="141"/>
    </row>
    <row r="87" spans="1:52" ht="45" customHeight="1">
      <c r="A87" s="153">
        <f t="shared" si="9"/>
        <v>84</v>
      </c>
      <c r="B87" s="153"/>
      <c r="C87" s="140"/>
      <c r="D87" s="28"/>
      <c r="E87" s="69"/>
      <c r="F87" s="39">
        <v>0</v>
      </c>
      <c r="G87" s="21"/>
      <c r="H87" s="21"/>
      <c r="I87" s="21"/>
      <c r="J87" s="141"/>
      <c r="K87" s="21"/>
      <c r="L87" s="69"/>
      <c r="M87" s="141"/>
      <c r="N87" s="59"/>
      <c r="O87" s="59"/>
      <c r="P87" s="105"/>
      <c r="Q87" s="105"/>
      <c r="R87" s="105"/>
      <c r="S87" s="105"/>
      <c r="T87" s="105"/>
      <c r="U87" s="90"/>
      <c r="V87" s="90"/>
      <c r="W87" s="90"/>
      <c r="X87" s="93"/>
      <c r="Y87" s="93"/>
      <c r="Z87" s="93"/>
      <c r="AA87" s="29">
        <v>0</v>
      </c>
      <c r="AB87" s="145">
        <v>0</v>
      </c>
      <c r="AC87" s="145">
        <v>0</v>
      </c>
      <c r="AD87" s="145">
        <v>0</v>
      </c>
      <c r="AE87" s="145">
        <v>0</v>
      </c>
      <c r="AF87" s="145">
        <v>0</v>
      </c>
      <c r="AG87" s="145">
        <v>0</v>
      </c>
      <c r="AH87" s="142">
        <f t="shared" si="10"/>
        <v>0</v>
      </c>
      <c r="AI87" s="141"/>
      <c r="AJ87" s="67"/>
      <c r="AK87" s="67"/>
      <c r="AL87" s="24"/>
      <c r="AM87" s="24"/>
      <c r="AN87" s="24"/>
      <c r="AO87" s="71"/>
      <c r="AP87" s="69"/>
      <c r="AQ87" s="141"/>
      <c r="AR87" s="141"/>
      <c r="AS87" s="141"/>
      <c r="AT87" s="141"/>
      <c r="AU87" s="141"/>
      <c r="AV87" s="141"/>
      <c r="AW87" s="141"/>
      <c r="AX87" s="141"/>
      <c r="AY87" s="141"/>
      <c r="AZ87" s="141"/>
    </row>
    <row r="88" spans="1:52" ht="45" customHeight="1">
      <c r="A88" s="153">
        <f t="shared" si="9"/>
        <v>85</v>
      </c>
      <c r="B88" s="153"/>
      <c r="C88" s="140"/>
      <c r="D88" s="140"/>
      <c r="E88" s="69"/>
      <c r="F88" s="39">
        <v>0</v>
      </c>
      <c r="G88" s="21"/>
      <c r="H88" s="21"/>
      <c r="I88" s="21"/>
      <c r="J88" s="141"/>
      <c r="K88" s="21"/>
      <c r="L88" s="69"/>
      <c r="M88" s="141"/>
      <c r="N88" s="59"/>
      <c r="O88" s="59"/>
      <c r="P88" s="105"/>
      <c r="Q88" s="105"/>
      <c r="R88" s="105"/>
      <c r="S88" s="105"/>
      <c r="T88" s="105"/>
      <c r="U88" s="90"/>
      <c r="V88" s="90"/>
      <c r="W88" s="90"/>
      <c r="X88" s="93"/>
      <c r="Y88" s="93"/>
      <c r="Z88" s="93"/>
      <c r="AA88" s="29">
        <v>0</v>
      </c>
      <c r="AB88" s="145">
        <v>0</v>
      </c>
      <c r="AC88" s="145">
        <v>0</v>
      </c>
      <c r="AD88" s="145">
        <v>0</v>
      </c>
      <c r="AE88" s="145">
        <v>0</v>
      </c>
      <c r="AF88" s="145">
        <v>0</v>
      </c>
      <c r="AG88" s="145">
        <v>0</v>
      </c>
      <c r="AH88" s="142">
        <f t="shared" si="10"/>
        <v>0</v>
      </c>
      <c r="AI88" s="141"/>
      <c r="AJ88" s="67"/>
      <c r="AK88" s="67"/>
      <c r="AL88" s="24"/>
      <c r="AM88" s="24"/>
      <c r="AN88" s="24"/>
      <c r="AO88" s="71"/>
      <c r="AP88" s="69"/>
      <c r="AQ88" s="141"/>
      <c r="AR88" s="141"/>
      <c r="AS88" s="141"/>
      <c r="AT88" s="141"/>
      <c r="AU88" s="141"/>
      <c r="AV88" s="141"/>
      <c r="AW88" s="141"/>
      <c r="AX88" s="141"/>
      <c r="AY88" s="141"/>
      <c r="AZ88" s="141"/>
    </row>
    <row r="89" spans="1:52" ht="45" customHeight="1">
      <c r="A89" s="153">
        <f t="shared" si="9"/>
        <v>86</v>
      </c>
      <c r="B89" s="153"/>
      <c r="C89" s="140"/>
      <c r="D89" s="28"/>
      <c r="E89" s="69"/>
      <c r="F89" s="39">
        <v>0</v>
      </c>
      <c r="G89" s="21"/>
      <c r="H89" s="21"/>
      <c r="I89" s="21"/>
      <c r="J89" s="141"/>
      <c r="K89" s="21"/>
      <c r="L89" s="69"/>
      <c r="M89" s="141"/>
      <c r="N89" s="59"/>
      <c r="O89" s="59"/>
      <c r="P89" s="105"/>
      <c r="Q89" s="105"/>
      <c r="R89" s="105"/>
      <c r="S89" s="105"/>
      <c r="T89" s="105"/>
      <c r="U89" s="90"/>
      <c r="V89" s="90"/>
      <c r="W89" s="90"/>
      <c r="X89" s="93"/>
      <c r="Y89" s="93"/>
      <c r="Z89" s="93"/>
      <c r="AA89" s="29">
        <v>0</v>
      </c>
      <c r="AB89" s="145">
        <v>0</v>
      </c>
      <c r="AC89" s="145">
        <v>0</v>
      </c>
      <c r="AD89" s="145">
        <v>0</v>
      </c>
      <c r="AE89" s="145">
        <v>0</v>
      </c>
      <c r="AF89" s="145">
        <v>0</v>
      </c>
      <c r="AG89" s="145">
        <v>0</v>
      </c>
      <c r="AH89" s="142">
        <f t="shared" si="10"/>
        <v>0</v>
      </c>
      <c r="AI89" s="141"/>
      <c r="AJ89" s="67"/>
      <c r="AK89" s="67"/>
      <c r="AL89" s="24"/>
      <c r="AM89" s="24"/>
      <c r="AN89" s="24"/>
      <c r="AO89" s="71"/>
      <c r="AP89" s="69"/>
      <c r="AQ89" s="141"/>
      <c r="AR89" s="141"/>
      <c r="AS89" s="141"/>
      <c r="AT89" s="141"/>
      <c r="AU89" s="141"/>
      <c r="AV89" s="141"/>
      <c r="AW89" s="141"/>
      <c r="AX89" s="141"/>
      <c r="AY89" s="141"/>
      <c r="AZ89" s="141"/>
    </row>
    <row r="90" spans="1:52" ht="45" customHeight="1">
      <c r="A90" s="153">
        <f t="shared" si="9"/>
        <v>87</v>
      </c>
      <c r="B90" s="153"/>
      <c r="C90" s="140"/>
      <c r="D90" s="28"/>
      <c r="E90" s="69"/>
      <c r="F90" s="39">
        <v>0</v>
      </c>
      <c r="G90" s="21"/>
      <c r="H90" s="21"/>
      <c r="I90" s="21"/>
      <c r="J90" s="141"/>
      <c r="K90" s="21"/>
      <c r="L90" s="69"/>
      <c r="M90" s="141"/>
      <c r="N90" s="59"/>
      <c r="O90" s="59"/>
      <c r="P90" s="105"/>
      <c r="Q90" s="105"/>
      <c r="R90" s="105"/>
      <c r="S90" s="105"/>
      <c r="T90" s="105"/>
      <c r="U90" s="90"/>
      <c r="V90" s="90"/>
      <c r="W90" s="90"/>
      <c r="X90" s="93"/>
      <c r="Y90" s="93"/>
      <c r="Z90" s="93"/>
      <c r="AA90" s="29">
        <v>0</v>
      </c>
      <c r="AB90" s="145">
        <v>0</v>
      </c>
      <c r="AC90" s="145">
        <v>0</v>
      </c>
      <c r="AD90" s="145">
        <v>0</v>
      </c>
      <c r="AE90" s="145">
        <v>0</v>
      </c>
      <c r="AF90" s="145">
        <v>0</v>
      </c>
      <c r="AG90" s="145">
        <v>0</v>
      </c>
      <c r="AH90" s="142">
        <f t="shared" si="10"/>
        <v>0</v>
      </c>
      <c r="AI90" s="141"/>
      <c r="AJ90" s="67"/>
      <c r="AK90" s="67"/>
      <c r="AL90" s="24"/>
      <c r="AM90" s="24"/>
      <c r="AN90" s="24"/>
      <c r="AO90" s="71"/>
      <c r="AP90" s="69"/>
      <c r="AQ90" s="141"/>
      <c r="AR90" s="141"/>
      <c r="AS90" s="141"/>
      <c r="AT90" s="141"/>
      <c r="AU90" s="141"/>
      <c r="AV90" s="141"/>
      <c r="AW90" s="141"/>
      <c r="AX90" s="141"/>
      <c r="AY90" s="141"/>
      <c r="AZ90" s="141"/>
    </row>
    <row r="91" spans="1:52" ht="45" customHeight="1">
      <c r="A91" s="153">
        <f t="shared" si="9"/>
        <v>88</v>
      </c>
      <c r="B91" s="153"/>
      <c r="C91" s="140"/>
      <c r="D91" s="28"/>
      <c r="E91" s="69"/>
      <c r="F91" s="39">
        <v>0</v>
      </c>
      <c r="G91" s="21"/>
      <c r="H91" s="21"/>
      <c r="I91" s="21"/>
      <c r="J91" s="141"/>
      <c r="K91" s="21"/>
      <c r="L91" s="69"/>
      <c r="M91" s="141"/>
      <c r="N91" s="59"/>
      <c r="O91" s="59"/>
      <c r="P91" s="105"/>
      <c r="Q91" s="105"/>
      <c r="R91" s="105"/>
      <c r="S91" s="105"/>
      <c r="T91" s="105"/>
      <c r="U91" s="90"/>
      <c r="V91" s="90"/>
      <c r="W91" s="90"/>
      <c r="X91" s="93"/>
      <c r="Y91" s="93"/>
      <c r="Z91" s="93"/>
      <c r="AA91" s="29">
        <v>0</v>
      </c>
      <c r="AB91" s="145">
        <v>0</v>
      </c>
      <c r="AC91" s="145">
        <v>0</v>
      </c>
      <c r="AD91" s="145">
        <v>0</v>
      </c>
      <c r="AE91" s="145">
        <v>0</v>
      </c>
      <c r="AF91" s="145">
        <v>0</v>
      </c>
      <c r="AG91" s="145">
        <v>0</v>
      </c>
      <c r="AH91" s="142">
        <f t="shared" si="10"/>
        <v>0</v>
      </c>
      <c r="AI91" s="141"/>
      <c r="AJ91" s="67"/>
      <c r="AK91" s="67"/>
      <c r="AL91" s="24"/>
      <c r="AM91" s="24"/>
      <c r="AN91" s="24"/>
      <c r="AO91" s="71"/>
      <c r="AP91" s="69"/>
      <c r="AQ91" s="141"/>
      <c r="AR91" s="141"/>
      <c r="AS91" s="141"/>
      <c r="AT91" s="141"/>
      <c r="AU91" s="141"/>
      <c r="AV91" s="141"/>
      <c r="AW91" s="141"/>
      <c r="AX91" s="141"/>
      <c r="AY91" s="141"/>
      <c r="AZ91" s="141"/>
    </row>
    <row r="92" spans="1:52" ht="45" customHeight="1">
      <c r="A92" s="153">
        <f t="shared" si="9"/>
        <v>89</v>
      </c>
      <c r="B92" s="153"/>
      <c r="C92" s="140"/>
      <c r="D92" s="28"/>
      <c r="E92" s="69"/>
      <c r="F92" s="39">
        <v>0</v>
      </c>
      <c r="G92" s="21"/>
      <c r="H92" s="21"/>
      <c r="I92" s="21"/>
      <c r="J92" s="141"/>
      <c r="K92" s="21"/>
      <c r="L92" s="69"/>
      <c r="M92" s="141"/>
      <c r="N92" s="59"/>
      <c r="O92" s="59"/>
      <c r="P92" s="105"/>
      <c r="Q92" s="105"/>
      <c r="R92" s="105"/>
      <c r="S92" s="105"/>
      <c r="T92" s="105"/>
      <c r="U92" s="90"/>
      <c r="V92" s="90"/>
      <c r="W92" s="90"/>
      <c r="X92" s="93"/>
      <c r="Y92" s="93"/>
      <c r="Z92" s="93"/>
      <c r="AA92" s="29">
        <v>0</v>
      </c>
      <c r="AB92" s="145">
        <v>0</v>
      </c>
      <c r="AC92" s="145">
        <v>0</v>
      </c>
      <c r="AD92" s="145">
        <v>0</v>
      </c>
      <c r="AE92" s="145">
        <v>0</v>
      </c>
      <c r="AF92" s="145">
        <v>0</v>
      </c>
      <c r="AG92" s="145">
        <v>0</v>
      </c>
      <c r="AH92" s="142">
        <f t="shared" si="10"/>
        <v>0</v>
      </c>
      <c r="AI92" s="141"/>
      <c r="AJ92" s="67"/>
      <c r="AK92" s="67"/>
      <c r="AL92" s="24"/>
      <c r="AM92" s="24"/>
      <c r="AN92" s="24"/>
      <c r="AO92" s="71"/>
      <c r="AP92" s="69"/>
      <c r="AQ92" s="141"/>
      <c r="AR92" s="141"/>
      <c r="AS92" s="141"/>
      <c r="AT92" s="141"/>
      <c r="AU92" s="141"/>
      <c r="AV92" s="141"/>
      <c r="AW92" s="141"/>
      <c r="AX92" s="141"/>
      <c r="AY92" s="141"/>
      <c r="AZ92" s="141"/>
    </row>
    <row r="93" spans="1:52" ht="45" customHeight="1">
      <c r="A93" s="153">
        <f t="shared" si="9"/>
        <v>90</v>
      </c>
      <c r="B93" s="153"/>
      <c r="C93" s="140"/>
      <c r="D93" s="28"/>
      <c r="E93" s="69"/>
      <c r="F93" s="39">
        <v>0</v>
      </c>
      <c r="G93" s="21"/>
      <c r="H93" s="21"/>
      <c r="I93" s="21"/>
      <c r="J93" s="141"/>
      <c r="K93" s="21"/>
      <c r="L93" s="69"/>
      <c r="M93" s="141"/>
      <c r="N93" s="59"/>
      <c r="O93" s="59"/>
      <c r="P93" s="105"/>
      <c r="Q93" s="105"/>
      <c r="R93" s="105"/>
      <c r="S93" s="105"/>
      <c r="T93" s="105"/>
      <c r="U93" s="90"/>
      <c r="V93" s="90"/>
      <c r="W93" s="90"/>
      <c r="X93" s="93"/>
      <c r="Y93" s="93"/>
      <c r="Z93" s="93"/>
      <c r="AA93" s="29">
        <v>0</v>
      </c>
      <c r="AB93" s="145">
        <v>0</v>
      </c>
      <c r="AC93" s="145">
        <v>0</v>
      </c>
      <c r="AD93" s="145">
        <v>0</v>
      </c>
      <c r="AE93" s="145">
        <v>0</v>
      </c>
      <c r="AF93" s="145">
        <v>0</v>
      </c>
      <c r="AG93" s="145">
        <v>0</v>
      </c>
      <c r="AH93" s="142">
        <f t="shared" si="10"/>
        <v>0</v>
      </c>
      <c r="AI93" s="141"/>
      <c r="AJ93" s="67"/>
      <c r="AK93" s="67"/>
      <c r="AL93" s="24"/>
      <c r="AM93" s="24"/>
      <c r="AN93" s="24"/>
      <c r="AO93" s="71"/>
      <c r="AP93" s="69"/>
      <c r="AQ93" s="141"/>
      <c r="AR93" s="141"/>
      <c r="AS93" s="141"/>
      <c r="AT93" s="141"/>
      <c r="AU93" s="141"/>
      <c r="AV93" s="141"/>
      <c r="AW93" s="141"/>
      <c r="AX93" s="141"/>
      <c r="AY93" s="141"/>
      <c r="AZ93" s="141"/>
    </row>
    <row r="94" spans="1:52" ht="45" customHeight="1">
      <c r="A94" s="153">
        <f t="shared" si="9"/>
        <v>91</v>
      </c>
      <c r="B94" s="153"/>
      <c r="C94" s="140"/>
      <c r="D94" s="28"/>
      <c r="E94" s="69"/>
      <c r="F94" s="39">
        <v>0</v>
      </c>
      <c r="G94" s="21"/>
      <c r="H94" s="21"/>
      <c r="I94" s="21"/>
      <c r="J94" s="141"/>
      <c r="K94" s="21"/>
      <c r="L94" s="69"/>
      <c r="M94" s="141"/>
      <c r="N94" s="59"/>
      <c r="O94" s="59"/>
      <c r="P94" s="105"/>
      <c r="Q94" s="105"/>
      <c r="R94" s="105"/>
      <c r="S94" s="105"/>
      <c r="T94" s="105"/>
      <c r="U94" s="90"/>
      <c r="V94" s="90"/>
      <c r="W94" s="90"/>
      <c r="X94" s="93"/>
      <c r="Y94" s="93"/>
      <c r="Z94" s="93"/>
      <c r="AA94" s="29">
        <v>0</v>
      </c>
      <c r="AB94" s="145">
        <v>0</v>
      </c>
      <c r="AC94" s="145">
        <v>0</v>
      </c>
      <c r="AD94" s="145">
        <v>0</v>
      </c>
      <c r="AE94" s="145">
        <v>0</v>
      </c>
      <c r="AF94" s="145">
        <v>0</v>
      </c>
      <c r="AG94" s="145">
        <v>0</v>
      </c>
      <c r="AH94" s="142">
        <f t="shared" si="10"/>
        <v>0</v>
      </c>
      <c r="AI94" s="141"/>
      <c r="AJ94" s="67"/>
      <c r="AK94" s="67"/>
      <c r="AL94" s="24"/>
      <c r="AM94" s="24"/>
      <c r="AN94" s="24"/>
      <c r="AO94" s="71"/>
      <c r="AP94" s="69"/>
      <c r="AQ94" s="141"/>
      <c r="AR94" s="141"/>
      <c r="AS94" s="141"/>
      <c r="AT94" s="141"/>
      <c r="AU94" s="141"/>
      <c r="AV94" s="141"/>
      <c r="AW94" s="141"/>
      <c r="AX94" s="141"/>
      <c r="AY94" s="141"/>
      <c r="AZ94" s="141"/>
    </row>
    <row r="95" spans="1:52" ht="45" customHeight="1">
      <c r="A95" s="153">
        <f t="shared" si="9"/>
        <v>92</v>
      </c>
      <c r="B95" s="153"/>
      <c r="C95" s="140"/>
      <c r="D95" s="28"/>
      <c r="E95" s="69"/>
      <c r="F95" s="39">
        <v>0</v>
      </c>
      <c r="G95" s="21"/>
      <c r="H95" s="21"/>
      <c r="I95" s="21"/>
      <c r="J95" s="141"/>
      <c r="K95" s="21"/>
      <c r="L95" s="69"/>
      <c r="M95" s="141"/>
      <c r="N95" s="59"/>
      <c r="O95" s="59"/>
      <c r="P95" s="105"/>
      <c r="Q95" s="105"/>
      <c r="R95" s="105"/>
      <c r="S95" s="105"/>
      <c r="T95" s="105"/>
      <c r="U95" s="90"/>
      <c r="V95" s="90"/>
      <c r="W95" s="90"/>
      <c r="X95" s="93"/>
      <c r="Y95" s="93"/>
      <c r="Z95" s="93"/>
      <c r="AA95" s="29">
        <v>0</v>
      </c>
      <c r="AB95" s="145">
        <v>0</v>
      </c>
      <c r="AC95" s="145">
        <v>0</v>
      </c>
      <c r="AD95" s="145">
        <v>0</v>
      </c>
      <c r="AE95" s="145">
        <v>0</v>
      </c>
      <c r="AF95" s="145">
        <v>0</v>
      </c>
      <c r="AG95" s="145">
        <v>0</v>
      </c>
      <c r="AH95" s="142">
        <f t="shared" si="10"/>
        <v>0</v>
      </c>
      <c r="AI95" s="141"/>
      <c r="AJ95" s="67"/>
      <c r="AK95" s="67"/>
      <c r="AL95" s="24"/>
      <c r="AM95" s="24"/>
      <c r="AN95" s="24"/>
      <c r="AO95" s="71"/>
      <c r="AP95" s="69"/>
      <c r="AQ95" s="141"/>
      <c r="AR95" s="141"/>
      <c r="AS95" s="141"/>
      <c r="AT95" s="141"/>
      <c r="AU95" s="141"/>
      <c r="AV95" s="141"/>
      <c r="AW95" s="141"/>
      <c r="AX95" s="141"/>
      <c r="AY95" s="141"/>
      <c r="AZ95" s="141"/>
    </row>
    <row r="96" spans="1:52" ht="45" customHeight="1">
      <c r="A96" s="153">
        <f t="shared" si="9"/>
        <v>93</v>
      </c>
      <c r="B96" s="153"/>
      <c r="C96" s="140"/>
      <c r="D96" s="28"/>
      <c r="E96" s="69"/>
      <c r="F96" s="39">
        <v>0</v>
      </c>
      <c r="G96" s="21"/>
      <c r="H96" s="21"/>
      <c r="I96" s="21"/>
      <c r="J96" s="141"/>
      <c r="K96" s="21"/>
      <c r="L96" s="69"/>
      <c r="M96" s="141"/>
      <c r="N96" s="59"/>
      <c r="O96" s="59"/>
      <c r="P96" s="105"/>
      <c r="Q96" s="105"/>
      <c r="R96" s="105"/>
      <c r="S96" s="105"/>
      <c r="T96" s="105"/>
      <c r="U96" s="90"/>
      <c r="V96" s="90"/>
      <c r="W96" s="90"/>
      <c r="X96" s="93"/>
      <c r="Y96" s="93"/>
      <c r="Z96" s="93"/>
      <c r="AA96" s="29">
        <v>0</v>
      </c>
      <c r="AB96" s="145">
        <v>0</v>
      </c>
      <c r="AC96" s="145">
        <v>0</v>
      </c>
      <c r="AD96" s="145">
        <v>0</v>
      </c>
      <c r="AE96" s="145">
        <v>0</v>
      </c>
      <c r="AF96" s="145">
        <v>0</v>
      </c>
      <c r="AG96" s="145">
        <v>0</v>
      </c>
      <c r="AH96" s="142">
        <f t="shared" si="10"/>
        <v>0</v>
      </c>
      <c r="AI96" s="141"/>
      <c r="AJ96" s="67"/>
      <c r="AK96" s="67"/>
      <c r="AL96" s="24"/>
      <c r="AM96" s="24"/>
      <c r="AN96" s="24"/>
      <c r="AO96" s="71"/>
      <c r="AP96" s="69"/>
      <c r="AQ96" s="141"/>
      <c r="AR96" s="141"/>
      <c r="AS96" s="141"/>
      <c r="AT96" s="141"/>
      <c r="AU96" s="141"/>
      <c r="AV96" s="141"/>
      <c r="AW96" s="141"/>
      <c r="AX96" s="141"/>
      <c r="AY96" s="141"/>
      <c r="AZ96" s="141"/>
    </row>
    <row r="97" spans="1:52" ht="45" customHeight="1">
      <c r="A97" s="153">
        <f t="shared" si="9"/>
        <v>94</v>
      </c>
      <c r="B97" s="153"/>
      <c r="C97" s="140"/>
      <c r="D97" s="28"/>
      <c r="E97" s="69"/>
      <c r="F97" s="39">
        <v>0</v>
      </c>
      <c r="G97" s="21"/>
      <c r="H97" s="21"/>
      <c r="I97" s="21"/>
      <c r="J97" s="141"/>
      <c r="K97" s="21"/>
      <c r="L97" s="69"/>
      <c r="M97" s="141"/>
      <c r="N97" s="59"/>
      <c r="O97" s="59"/>
      <c r="P97" s="105"/>
      <c r="Q97" s="105"/>
      <c r="R97" s="105"/>
      <c r="S97" s="105"/>
      <c r="T97" s="105"/>
      <c r="U97" s="90"/>
      <c r="V97" s="90"/>
      <c r="W97" s="90"/>
      <c r="X97" s="93"/>
      <c r="Y97" s="93"/>
      <c r="Z97" s="93"/>
      <c r="AA97" s="29">
        <v>0</v>
      </c>
      <c r="AB97" s="145">
        <v>0</v>
      </c>
      <c r="AC97" s="145">
        <v>0</v>
      </c>
      <c r="AD97" s="145">
        <v>0</v>
      </c>
      <c r="AE97" s="145">
        <v>0</v>
      </c>
      <c r="AF97" s="145">
        <v>0</v>
      </c>
      <c r="AG97" s="145">
        <v>0</v>
      </c>
      <c r="AH97" s="142">
        <f t="shared" si="10"/>
        <v>0</v>
      </c>
      <c r="AI97" s="141"/>
      <c r="AJ97" s="67"/>
      <c r="AK97" s="67"/>
      <c r="AL97" s="24"/>
      <c r="AM97" s="24"/>
      <c r="AN97" s="24"/>
      <c r="AO97" s="71"/>
      <c r="AP97" s="69"/>
      <c r="AQ97" s="141"/>
      <c r="AR97" s="141"/>
      <c r="AS97" s="141"/>
      <c r="AT97" s="141"/>
      <c r="AU97" s="141"/>
      <c r="AV97" s="141"/>
      <c r="AW97" s="141"/>
      <c r="AX97" s="141"/>
      <c r="AY97" s="141"/>
      <c r="AZ97" s="141"/>
    </row>
    <row r="98" spans="1:52" ht="45" customHeight="1">
      <c r="A98" s="153">
        <f t="shared" si="9"/>
        <v>95</v>
      </c>
      <c r="B98" s="153"/>
      <c r="C98" s="140"/>
      <c r="D98" s="28"/>
      <c r="E98" s="69"/>
      <c r="F98" s="39">
        <v>0</v>
      </c>
      <c r="G98" s="21"/>
      <c r="H98" s="21"/>
      <c r="I98" s="21"/>
      <c r="J98" s="141"/>
      <c r="K98" s="21"/>
      <c r="L98" s="69"/>
      <c r="M98" s="141"/>
      <c r="N98" s="59"/>
      <c r="O98" s="59"/>
      <c r="P98" s="105"/>
      <c r="Q98" s="105"/>
      <c r="R98" s="105"/>
      <c r="S98" s="105"/>
      <c r="T98" s="105"/>
      <c r="U98" s="90"/>
      <c r="V98" s="90"/>
      <c r="W98" s="90"/>
      <c r="X98" s="93"/>
      <c r="Y98" s="93"/>
      <c r="Z98" s="93"/>
      <c r="AA98" s="29">
        <v>0</v>
      </c>
      <c r="AB98" s="145">
        <v>0</v>
      </c>
      <c r="AC98" s="145">
        <v>0</v>
      </c>
      <c r="AD98" s="145">
        <v>0</v>
      </c>
      <c r="AE98" s="145">
        <v>0</v>
      </c>
      <c r="AF98" s="145">
        <v>0</v>
      </c>
      <c r="AG98" s="145">
        <v>0</v>
      </c>
      <c r="AH98" s="142">
        <f t="shared" si="10"/>
        <v>0</v>
      </c>
      <c r="AI98" s="141"/>
      <c r="AJ98" s="67"/>
      <c r="AK98" s="67"/>
      <c r="AL98" s="24"/>
      <c r="AM98" s="24"/>
      <c r="AN98" s="24"/>
      <c r="AO98" s="71"/>
      <c r="AP98" s="69"/>
      <c r="AQ98" s="141"/>
      <c r="AR98" s="141"/>
      <c r="AS98" s="141"/>
      <c r="AT98" s="141"/>
      <c r="AU98" s="141"/>
      <c r="AV98" s="141"/>
      <c r="AW98" s="141"/>
      <c r="AX98" s="141"/>
      <c r="AY98" s="141"/>
      <c r="AZ98" s="141"/>
    </row>
    <row r="99" spans="1:52" ht="45" customHeight="1">
      <c r="A99" s="153">
        <f t="shared" si="9"/>
        <v>96</v>
      </c>
      <c r="B99" s="153"/>
      <c r="C99" s="140"/>
      <c r="D99" s="28"/>
      <c r="E99" s="69"/>
      <c r="F99" s="39">
        <v>0</v>
      </c>
      <c r="G99" s="21"/>
      <c r="H99" s="21"/>
      <c r="I99" s="21"/>
      <c r="J99" s="141"/>
      <c r="K99" s="21"/>
      <c r="L99" s="69"/>
      <c r="M99" s="141"/>
      <c r="N99" s="59"/>
      <c r="O99" s="59"/>
      <c r="P99" s="105"/>
      <c r="Q99" s="105"/>
      <c r="R99" s="105"/>
      <c r="S99" s="105"/>
      <c r="T99" s="105"/>
      <c r="U99" s="90"/>
      <c r="V99" s="90"/>
      <c r="W99" s="90"/>
      <c r="X99" s="93"/>
      <c r="Y99" s="93"/>
      <c r="Z99" s="93"/>
      <c r="AA99" s="29">
        <v>0</v>
      </c>
      <c r="AB99" s="145">
        <v>0</v>
      </c>
      <c r="AC99" s="145">
        <v>0</v>
      </c>
      <c r="AD99" s="145">
        <v>0</v>
      </c>
      <c r="AE99" s="145">
        <v>0</v>
      </c>
      <c r="AF99" s="145">
        <v>0</v>
      </c>
      <c r="AG99" s="145">
        <v>0</v>
      </c>
      <c r="AH99" s="142">
        <f t="shared" si="10"/>
        <v>0</v>
      </c>
      <c r="AI99" s="141"/>
      <c r="AJ99" s="67"/>
      <c r="AK99" s="67"/>
      <c r="AL99" s="24"/>
      <c r="AM99" s="24"/>
      <c r="AN99" s="24"/>
      <c r="AO99" s="71"/>
      <c r="AP99" s="69"/>
      <c r="AQ99" s="141"/>
      <c r="AR99" s="141"/>
      <c r="AS99" s="141"/>
      <c r="AT99" s="141"/>
      <c r="AU99" s="141"/>
      <c r="AV99" s="141"/>
      <c r="AW99" s="141"/>
      <c r="AX99" s="141"/>
      <c r="AY99" s="141"/>
      <c r="AZ99" s="141"/>
    </row>
    <row r="100" spans="1:52" ht="45" customHeight="1">
      <c r="A100" s="153">
        <f t="shared" ref="A100:A131" si="11">A99+1</f>
        <v>97</v>
      </c>
      <c r="B100" s="153"/>
      <c r="C100" s="140"/>
      <c r="D100" s="28"/>
      <c r="E100" s="69"/>
      <c r="F100" s="39">
        <v>0</v>
      </c>
      <c r="G100" s="21"/>
      <c r="H100" s="21"/>
      <c r="I100" s="21"/>
      <c r="J100" s="141"/>
      <c r="K100" s="21"/>
      <c r="L100" s="69"/>
      <c r="M100" s="141"/>
      <c r="N100" s="59"/>
      <c r="O100" s="59"/>
      <c r="P100" s="105"/>
      <c r="Q100" s="105"/>
      <c r="R100" s="105"/>
      <c r="S100" s="105"/>
      <c r="T100" s="105"/>
      <c r="U100" s="90"/>
      <c r="V100" s="90"/>
      <c r="W100" s="90"/>
      <c r="X100" s="93"/>
      <c r="Y100" s="93"/>
      <c r="Z100" s="93"/>
      <c r="AA100" s="29">
        <v>0</v>
      </c>
      <c r="AB100" s="145">
        <v>0</v>
      </c>
      <c r="AC100" s="145">
        <v>0</v>
      </c>
      <c r="AD100" s="145">
        <v>0</v>
      </c>
      <c r="AE100" s="145">
        <v>0</v>
      </c>
      <c r="AF100" s="145">
        <v>0</v>
      </c>
      <c r="AG100" s="145">
        <v>0</v>
      </c>
      <c r="AH100" s="142">
        <f t="shared" si="10"/>
        <v>0</v>
      </c>
      <c r="AI100" s="141"/>
      <c r="AJ100" s="67"/>
      <c r="AK100" s="67"/>
      <c r="AL100" s="24"/>
      <c r="AM100" s="24"/>
      <c r="AN100" s="24"/>
      <c r="AO100" s="71"/>
      <c r="AP100" s="69"/>
      <c r="AQ100" s="141"/>
      <c r="AR100" s="141"/>
      <c r="AS100" s="141"/>
      <c r="AT100" s="141"/>
      <c r="AU100" s="141"/>
      <c r="AV100" s="141"/>
      <c r="AW100" s="141"/>
      <c r="AX100" s="141"/>
      <c r="AY100" s="141"/>
      <c r="AZ100" s="141"/>
    </row>
    <row r="101" spans="1:52" ht="45" customHeight="1">
      <c r="A101" s="153">
        <f t="shared" si="11"/>
        <v>98</v>
      </c>
      <c r="B101" s="153"/>
      <c r="C101" s="140"/>
      <c r="D101" s="28"/>
      <c r="E101" s="69"/>
      <c r="F101" s="39">
        <v>0</v>
      </c>
      <c r="G101" s="21"/>
      <c r="H101" s="21"/>
      <c r="I101" s="21"/>
      <c r="J101" s="141"/>
      <c r="K101" s="21"/>
      <c r="L101" s="69"/>
      <c r="M101" s="141"/>
      <c r="N101" s="59"/>
      <c r="O101" s="59"/>
      <c r="P101" s="105"/>
      <c r="Q101" s="105"/>
      <c r="R101" s="105"/>
      <c r="S101" s="105"/>
      <c r="T101" s="105"/>
      <c r="U101" s="90"/>
      <c r="V101" s="90"/>
      <c r="W101" s="90"/>
      <c r="X101" s="93"/>
      <c r="Y101" s="93"/>
      <c r="Z101" s="93"/>
      <c r="AA101" s="29">
        <v>0</v>
      </c>
      <c r="AB101" s="145">
        <v>0</v>
      </c>
      <c r="AC101" s="145">
        <v>0</v>
      </c>
      <c r="AD101" s="145">
        <v>0</v>
      </c>
      <c r="AE101" s="145">
        <v>0</v>
      </c>
      <c r="AF101" s="145">
        <v>0</v>
      </c>
      <c r="AG101" s="145">
        <v>0</v>
      </c>
      <c r="AH101" s="142">
        <f t="shared" si="10"/>
        <v>0</v>
      </c>
      <c r="AI101" s="141"/>
      <c r="AJ101" s="67"/>
      <c r="AK101" s="67"/>
      <c r="AL101" s="24"/>
      <c r="AM101" s="24"/>
      <c r="AN101" s="24"/>
      <c r="AO101" s="71"/>
      <c r="AP101" s="69"/>
      <c r="AQ101" s="141"/>
      <c r="AR101" s="141"/>
      <c r="AS101" s="141"/>
      <c r="AT101" s="141"/>
      <c r="AU101" s="141"/>
      <c r="AV101" s="141"/>
      <c r="AW101" s="141"/>
      <c r="AX101" s="141"/>
      <c r="AY101" s="141"/>
      <c r="AZ101" s="141"/>
    </row>
    <row r="102" spans="1:52" ht="45" customHeight="1">
      <c r="A102" s="153">
        <f t="shared" si="11"/>
        <v>99</v>
      </c>
      <c r="B102" s="153"/>
      <c r="C102" s="140"/>
      <c r="D102" s="28"/>
      <c r="E102" s="69"/>
      <c r="F102" s="39">
        <v>0</v>
      </c>
      <c r="G102" s="21"/>
      <c r="H102" s="21"/>
      <c r="I102" s="21"/>
      <c r="J102" s="141"/>
      <c r="K102" s="21"/>
      <c r="L102" s="69"/>
      <c r="M102" s="141"/>
      <c r="N102" s="59"/>
      <c r="O102" s="59"/>
      <c r="P102" s="105"/>
      <c r="Q102" s="105"/>
      <c r="R102" s="105"/>
      <c r="S102" s="105"/>
      <c r="T102" s="105"/>
      <c r="U102" s="90"/>
      <c r="V102" s="90"/>
      <c r="W102" s="90"/>
      <c r="X102" s="93"/>
      <c r="Y102" s="93"/>
      <c r="Z102" s="93"/>
      <c r="AA102" s="29">
        <v>0</v>
      </c>
      <c r="AB102" s="145">
        <v>0</v>
      </c>
      <c r="AC102" s="145">
        <v>0</v>
      </c>
      <c r="AD102" s="145">
        <v>0</v>
      </c>
      <c r="AE102" s="145">
        <v>0</v>
      </c>
      <c r="AF102" s="145">
        <v>0</v>
      </c>
      <c r="AG102" s="145">
        <v>0</v>
      </c>
      <c r="AH102" s="142">
        <f t="shared" si="10"/>
        <v>0</v>
      </c>
      <c r="AI102" s="141"/>
      <c r="AJ102" s="67"/>
      <c r="AK102" s="67"/>
      <c r="AL102" s="24"/>
      <c r="AM102" s="24"/>
      <c r="AN102" s="24"/>
      <c r="AO102" s="71"/>
      <c r="AP102" s="69"/>
      <c r="AQ102" s="141"/>
      <c r="AR102" s="141"/>
      <c r="AS102" s="141"/>
      <c r="AT102" s="141"/>
      <c r="AU102" s="141"/>
      <c r="AV102" s="141"/>
      <c r="AW102" s="141"/>
      <c r="AX102" s="141"/>
      <c r="AY102" s="141"/>
      <c r="AZ102" s="141"/>
    </row>
    <row r="103" spans="1:52" ht="45" customHeight="1">
      <c r="A103" s="153">
        <f t="shared" si="11"/>
        <v>100</v>
      </c>
      <c r="B103" s="153"/>
      <c r="C103" s="140"/>
      <c r="D103" s="28"/>
      <c r="E103" s="69"/>
      <c r="F103" s="39">
        <v>0</v>
      </c>
      <c r="G103" s="21"/>
      <c r="H103" s="21"/>
      <c r="I103" s="21"/>
      <c r="J103" s="141"/>
      <c r="K103" s="21"/>
      <c r="L103" s="69"/>
      <c r="M103" s="141"/>
      <c r="N103" s="59"/>
      <c r="O103" s="59"/>
      <c r="P103" s="105"/>
      <c r="Q103" s="105"/>
      <c r="R103" s="105"/>
      <c r="S103" s="105"/>
      <c r="T103" s="105"/>
      <c r="U103" s="90"/>
      <c r="V103" s="90"/>
      <c r="W103" s="90"/>
      <c r="X103" s="93"/>
      <c r="Y103" s="93"/>
      <c r="Z103" s="93"/>
      <c r="AA103" s="29">
        <v>0</v>
      </c>
      <c r="AB103" s="145">
        <v>0</v>
      </c>
      <c r="AC103" s="145">
        <v>0</v>
      </c>
      <c r="AD103" s="145">
        <v>0</v>
      </c>
      <c r="AE103" s="145">
        <v>0</v>
      </c>
      <c r="AF103" s="145">
        <v>0</v>
      </c>
      <c r="AG103" s="145">
        <v>0</v>
      </c>
      <c r="AH103" s="142">
        <f t="shared" si="10"/>
        <v>0</v>
      </c>
      <c r="AI103" s="141"/>
      <c r="AJ103" s="67"/>
      <c r="AK103" s="67"/>
      <c r="AL103" s="24"/>
      <c r="AM103" s="24"/>
      <c r="AN103" s="24"/>
      <c r="AO103" s="71"/>
      <c r="AP103" s="69"/>
      <c r="AQ103" s="141"/>
      <c r="AR103" s="141"/>
      <c r="AS103" s="141"/>
      <c r="AT103" s="141"/>
      <c r="AU103" s="141"/>
      <c r="AV103" s="141"/>
      <c r="AW103" s="141"/>
      <c r="AX103" s="141"/>
      <c r="AY103" s="141"/>
      <c r="AZ103" s="141"/>
    </row>
    <row r="104" spans="1:52" ht="45" customHeight="1">
      <c r="A104" s="153">
        <f t="shared" si="11"/>
        <v>101</v>
      </c>
      <c r="B104" s="153"/>
      <c r="C104" s="140"/>
      <c r="D104" s="28"/>
      <c r="E104" s="69"/>
      <c r="F104" s="39">
        <v>0</v>
      </c>
      <c r="G104" s="21"/>
      <c r="H104" s="21"/>
      <c r="I104" s="21"/>
      <c r="J104" s="141"/>
      <c r="K104" s="21"/>
      <c r="L104" s="69"/>
      <c r="M104" s="141"/>
      <c r="N104" s="59"/>
      <c r="O104" s="59"/>
      <c r="P104" s="105"/>
      <c r="Q104" s="105"/>
      <c r="R104" s="105"/>
      <c r="S104" s="105"/>
      <c r="T104" s="105"/>
      <c r="U104" s="90"/>
      <c r="V104" s="90"/>
      <c r="W104" s="90"/>
      <c r="X104" s="93"/>
      <c r="Y104" s="93"/>
      <c r="Z104" s="93"/>
      <c r="AA104" s="29">
        <v>0</v>
      </c>
      <c r="AB104" s="145">
        <v>0</v>
      </c>
      <c r="AC104" s="145">
        <v>0</v>
      </c>
      <c r="AD104" s="145">
        <v>0</v>
      </c>
      <c r="AE104" s="145">
        <v>0</v>
      </c>
      <c r="AF104" s="145">
        <v>0</v>
      </c>
      <c r="AG104" s="145">
        <v>0</v>
      </c>
      <c r="AH104" s="142">
        <f t="shared" si="10"/>
        <v>0</v>
      </c>
      <c r="AI104" s="141"/>
      <c r="AJ104" s="67"/>
      <c r="AK104" s="67"/>
      <c r="AL104" s="24"/>
      <c r="AM104" s="24"/>
      <c r="AN104" s="24"/>
      <c r="AO104" s="71"/>
      <c r="AP104" s="69"/>
      <c r="AQ104" s="141"/>
      <c r="AR104" s="141"/>
      <c r="AS104" s="141"/>
      <c r="AT104" s="141"/>
      <c r="AU104" s="141"/>
      <c r="AV104" s="141"/>
      <c r="AW104" s="141"/>
      <c r="AX104" s="141"/>
      <c r="AY104" s="141"/>
      <c r="AZ104" s="141"/>
    </row>
    <row r="105" spans="1:52" ht="45" customHeight="1">
      <c r="A105" s="153">
        <f t="shared" si="11"/>
        <v>102</v>
      </c>
      <c r="B105" s="153"/>
      <c r="C105" s="140"/>
      <c r="D105" s="28"/>
      <c r="E105" s="69"/>
      <c r="F105" s="39">
        <v>0</v>
      </c>
      <c r="G105" s="21"/>
      <c r="H105" s="21"/>
      <c r="I105" s="21"/>
      <c r="J105" s="141"/>
      <c r="K105" s="21"/>
      <c r="L105" s="69"/>
      <c r="M105" s="141"/>
      <c r="N105" s="59"/>
      <c r="O105" s="59"/>
      <c r="P105" s="105"/>
      <c r="Q105" s="105"/>
      <c r="R105" s="105"/>
      <c r="S105" s="105"/>
      <c r="T105" s="105"/>
      <c r="U105" s="90"/>
      <c r="V105" s="90"/>
      <c r="W105" s="90"/>
      <c r="X105" s="93"/>
      <c r="Y105" s="93"/>
      <c r="Z105" s="93"/>
      <c r="AA105" s="29">
        <v>0</v>
      </c>
      <c r="AB105" s="145">
        <v>0</v>
      </c>
      <c r="AC105" s="145">
        <v>0</v>
      </c>
      <c r="AD105" s="145">
        <v>0</v>
      </c>
      <c r="AE105" s="145">
        <v>0</v>
      </c>
      <c r="AF105" s="145">
        <v>0</v>
      </c>
      <c r="AG105" s="145">
        <v>0</v>
      </c>
      <c r="AH105" s="142">
        <f t="shared" si="10"/>
        <v>0</v>
      </c>
      <c r="AI105" s="141"/>
      <c r="AJ105" s="67"/>
      <c r="AK105" s="67"/>
      <c r="AL105" s="24"/>
      <c r="AM105" s="24"/>
      <c r="AN105" s="24"/>
      <c r="AO105" s="71"/>
      <c r="AP105" s="69"/>
      <c r="AQ105" s="141"/>
      <c r="AR105" s="141"/>
      <c r="AS105" s="141"/>
      <c r="AT105" s="141"/>
      <c r="AU105" s="141"/>
      <c r="AV105" s="141"/>
      <c r="AW105" s="141"/>
      <c r="AX105" s="141"/>
      <c r="AY105" s="141"/>
      <c r="AZ105" s="141"/>
    </row>
    <row r="106" spans="1:52" ht="45" customHeight="1">
      <c r="A106" s="153">
        <f t="shared" si="11"/>
        <v>103</v>
      </c>
      <c r="B106" s="153"/>
      <c r="C106" s="140"/>
      <c r="D106" s="28"/>
      <c r="E106" s="69"/>
      <c r="F106" s="39">
        <v>0</v>
      </c>
      <c r="G106" s="21"/>
      <c r="H106" s="21"/>
      <c r="I106" s="21"/>
      <c r="J106" s="141"/>
      <c r="K106" s="21"/>
      <c r="L106" s="69"/>
      <c r="M106" s="141"/>
      <c r="N106" s="59"/>
      <c r="O106" s="59"/>
      <c r="P106" s="105"/>
      <c r="Q106" s="105"/>
      <c r="R106" s="105"/>
      <c r="S106" s="105"/>
      <c r="T106" s="105"/>
      <c r="U106" s="90"/>
      <c r="V106" s="90"/>
      <c r="W106" s="90"/>
      <c r="X106" s="93"/>
      <c r="Y106" s="93"/>
      <c r="Z106" s="93"/>
      <c r="AA106" s="29">
        <v>0</v>
      </c>
      <c r="AB106" s="145">
        <v>0</v>
      </c>
      <c r="AC106" s="145">
        <v>0</v>
      </c>
      <c r="AD106" s="145">
        <v>0</v>
      </c>
      <c r="AE106" s="145">
        <v>0</v>
      </c>
      <c r="AF106" s="145">
        <v>0</v>
      </c>
      <c r="AG106" s="145">
        <v>0</v>
      </c>
      <c r="AH106" s="142">
        <f t="shared" si="10"/>
        <v>0</v>
      </c>
      <c r="AI106" s="141"/>
      <c r="AJ106" s="67"/>
      <c r="AK106" s="67"/>
      <c r="AL106" s="24"/>
      <c r="AM106" s="24"/>
      <c r="AN106" s="24"/>
      <c r="AO106" s="71"/>
      <c r="AP106" s="69"/>
      <c r="AQ106" s="141"/>
      <c r="AR106" s="141"/>
      <c r="AS106" s="141"/>
      <c r="AT106" s="141"/>
      <c r="AU106" s="141"/>
      <c r="AV106" s="141"/>
      <c r="AW106" s="141"/>
      <c r="AX106" s="141"/>
      <c r="AY106" s="141"/>
      <c r="AZ106" s="141"/>
    </row>
    <row r="107" spans="1:52" ht="45" customHeight="1">
      <c r="A107" s="153">
        <f t="shared" si="11"/>
        <v>104</v>
      </c>
      <c r="B107" s="153"/>
      <c r="C107" s="140"/>
      <c r="D107" s="28"/>
      <c r="E107" s="69"/>
      <c r="F107" s="39">
        <v>0</v>
      </c>
      <c r="G107" s="21"/>
      <c r="H107" s="21"/>
      <c r="I107" s="21"/>
      <c r="J107" s="141"/>
      <c r="K107" s="21"/>
      <c r="L107" s="69"/>
      <c r="M107" s="141"/>
      <c r="N107" s="59"/>
      <c r="O107" s="59"/>
      <c r="P107" s="105"/>
      <c r="Q107" s="105"/>
      <c r="R107" s="105"/>
      <c r="S107" s="105"/>
      <c r="T107" s="105"/>
      <c r="U107" s="90"/>
      <c r="V107" s="90"/>
      <c r="W107" s="90"/>
      <c r="X107" s="93"/>
      <c r="Y107" s="93"/>
      <c r="Z107" s="93"/>
      <c r="AA107" s="29">
        <v>0</v>
      </c>
      <c r="AB107" s="145">
        <v>0</v>
      </c>
      <c r="AC107" s="145">
        <v>0</v>
      </c>
      <c r="AD107" s="145">
        <v>0</v>
      </c>
      <c r="AE107" s="145">
        <v>0</v>
      </c>
      <c r="AF107" s="145">
        <v>0</v>
      </c>
      <c r="AG107" s="145">
        <v>0</v>
      </c>
      <c r="AH107" s="142">
        <f t="shared" si="10"/>
        <v>0</v>
      </c>
      <c r="AI107" s="141"/>
      <c r="AJ107" s="67"/>
      <c r="AK107" s="67"/>
      <c r="AL107" s="24"/>
      <c r="AM107" s="24"/>
      <c r="AN107" s="24"/>
      <c r="AO107" s="71"/>
      <c r="AP107" s="69"/>
      <c r="AQ107" s="141"/>
      <c r="AR107" s="141"/>
      <c r="AS107" s="141"/>
      <c r="AT107" s="141"/>
      <c r="AU107" s="141"/>
      <c r="AV107" s="141"/>
      <c r="AW107" s="141"/>
      <c r="AX107" s="141"/>
      <c r="AY107" s="141"/>
      <c r="AZ107" s="141"/>
    </row>
    <row r="108" spans="1:52" ht="45" customHeight="1">
      <c r="A108" s="153">
        <f t="shared" si="11"/>
        <v>105</v>
      </c>
      <c r="B108" s="153"/>
      <c r="C108" s="140"/>
      <c r="D108" s="28"/>
      <c r="E108" s="69"/>
      <c r="F108" s="39">
        <v>0</v>
      </c>
      <c r="G108" s="21"/>
      <c r="H108" s="21"/>
      <c r="I108" s="21"/>
      <c r="J108" s="141"/>
      <c r="K108" s="21"/>
      <c r="L108" s="69"/>
      <c r="M108" s="141"/>
      <c r="N108" s="59"/>
      <c r="O108" s="59"/>
      <c r="P108" s="105"/>
      <c r="Q108" s="105"/>
      <c r="R108" s="105"/>
      <c r="S108" s="105"/>
      <c r="T108" s="105"/>
      <c r="U108" s="90"/>
      <c r="V108" s="90"/>
      <c r="W108" s="90"/>
      <c r="X108" s="93"/>
      <c r="Y108" s="93"/>
      <c r="Z108" s="93"/>
      <c r="AA108" s="29">
        <v>0</v>
      </c>
      <c r="AB108" s="145">
        <v>0</v>
      </c>
      <c r="AC108" s="145">
        <v>0</v>
      </c>
      <c r="AD108" s="145">
        <v>0</v>
      </c>
      <c r="AE108" s="145">
        <v>0</v>
      </c>
      <c r="AF108" s="145">
        <v>0</v>
      </c>
      <c r="AG108" s="145">
        <v>0</v>
      </c>
      <c r="AH108" s="142">
        <f t="shared" si="10"/>
        <v>0</v>
      </c>
      <c r="AI108" s="141"/>
      <c r="AJ108" s="67"/>
      <c r="AK108" s="67"/>
      <c r="AL108" s="24"/>
      <c r="AM108" s="24"/>
      <c r="AN108" s="24"/>
      <c r="AO108" s="71"/>
      <c r="AP108" s="69"/>
      <c r="AQ108" s="141"/>
      <c r="AR108" s="141"/>
      <c r="AS108" s="141"/>
      <c r="AT108" s="141"/>
      <c r="AU108" s="141"/>
      <c r="AV108" s="141"/>
      <c r="AW108" s="141"/>
      <c r="AX108" s="141"/>
      <c r="AY108" s="141"/>
      <c r="AZ108" s="141"/>
    </row>
    <row r="109" spans="1:52" ht="45" customHeight="1">
      <c r="A109" s="153">
        <f t="shared" si="11"/>
        <v>106</v>
      </c>
      <c r="B109" s="153"/>
      <c r="C109" s="140"/>
      <c r="D109" s="28"/>
      <c r="E109" s="69"/>
      <c r="F109" s="39">
        <v>0</v>
      </c>
      <c r="G109" s="21"/>
      <c r="H109" s="21"/>
      <c r="I109" s="21"/>
      <c r="J109" s="141"/>
      <c r="K109" s="21"/>
      <c r="L109" s="69"/>
      <c r="M109" s="141"/>
      <c r="N109" s="59"/>
      <c r="O109" s="59"/>
      <c r="P109" s="105"/>
      <c r="Q109" s="105"/>
      <c r="R109" s="105"/>
      <c r="S109" s="105"/>
      <c r="T109" s="105"/>
      <c r="U109" s="90"/>
      <c r="V109" s="90"/>
      <c r="W109" s="90"/>
      <c r="X109" s="93"/>
      <c r="Y109" s="93"/>
      <c r="Z109" s="93"/>
      <c r="AA109" s="29">
        <v>0</v>
      </c>
      <c r="AB109" s="145">
        <v>0</v>
      </c>
      <c r="AC109" s="145">
        <v>0</v>
      </c>
      <c r="AD109" s="145">
        <v>0</v>
      </c>
      <c r="AE109" s="145">
        <v>0</v>
      </c>
      <c r="AF109" s="145">
        <v>0</v>
      </c>
      <c r="AG109" s="145">
        <v>0</v>
      </c>
      <c r="AH109" s="142">
        <f t="shared" si="10"/>
        <v>0</v>
      </c>
      <c r="AI109" s="141"/>
      <c r="AJ109" s="67"/>
      <c r="AK109" s="67"/>
      <c r="AL109" s="24"/>
      <c r="AM109" s="24"/>
      <c r="AN109" s="24"/>
      <c r="AO109" s="71"/>
      <c r="AP109" s="69"/>
      <c r="AQ109" s="141"/>
      <c r="AR109" s="141"/>
      <c r="AS109" s="141"/>
      <c r="AT109" s="141"/>
      <c r="AU109" s="141"/>
      <c r="AV109" s="141"/>
      <c r="AW109" s="141"/>
      <c r="AX109" s="141"/>
      <c r="AY109" s="141"/>
      <c r="AZ109" s="141"/>
    </row>
    <row r="110" spans="1:52" ht="45" customHeight="1">
      <c r="A110" s="153">
        <f t="shared" si="11"/>
        <v>107</v>
      </c>
      <c r="B110" s="153"/>
      <c r="C110" s="140"/>
      <c r="D110" s="28"/>
      <c r="E110" s="69"/>
      <c r="F110" s="39">
        <v>0</v>
      </c>
      <c r="G110" s="21"/>
      <c r="H110" s="21"/>
      <c r="I110" s="21"/>
      <c r="J110" s="141"/>
      <c r="K110" s="21"/>
      <c r="L110" s="69"/>
      <c r="M110" s="141"/>
      <c r="N110" s="59"/>
      <c r="O110" s="59"/>
      <c r="P110" s="105"/>
      <c r="Q110" s="105"/>
      <c r="R110" s="105"/>
      <c r="S110" s="105"/>
      <c r="T110" s="105"/>
      <c r="U110" s="90"/>
      <c r="V110" s="90"/>
      <c r="W110" s="90"/>
      <c r="X110" s="93"/>
      <c r="Y110" s="93"/>
      <c r="Z110" s="93"/>
      <c r="AA110" s="29">
        <v>0</v>
      </c>
      <c r="AB110" s="145">
        <v>0</v>
      </c>
      <c r="AC110" s="145">
        <v>0</v>
      </c>
      <c r="AD110" s="145">
        <v>0</v>
      </c>
      <c r="AE110" s="145">
        <v>0</v>
      </c>
      <c r="AF110" s="145">
        <v>0</v>
      </c>
      <c r="AG110" s="145">
        <v>0</v>
      </c>
      <c r="AH110" s="142">
        <f t="shared" si="10"/>
        <v>0</v>
      </c>
      <c r="AI110" s="141"/>
      <c r="AJ110" s="67"/>
      <c r="AK110" s="67"/>
      <c r="AL110" s="24"/>
      <c r="AM110" s="24"/>
      <c r="AN110" s="24"/>
      <c r="AO110" s="71"/>
      <c r="AP110" s="69"/>
      <c r="AQ110" s="141"/>
      <c r="AR110" s="141"/>
      <c r="AS110" s="141"/>
      <c r="AT110" s="141"/>
      <c r="AU110" s="141"/>
      <c r="AV110" s="141"/>
      <c r="AW110" s="141"/>
      <c r="AX110" s="141"/>
      <c r="AY110" s="141"/>
      <c r="AZ110" s="141"/>
    </row>
    <row r="111" spans="1:52" ht="45" customHeight="1">
      <c r="A111" s="153">
        <f t="shared" si="11"/>
        <v>108</v>
      </c>
      <c r="B111" s="153"/>
      <c r="C111" s="140"/>
      <c r="D111" s="28"/>
      <c r="E111" s="69"/>
      <c r="F111" s="39">
        <v>0</v>
      </c>
      <c r="G111" s="21"/>
      <c r="H111" s="21"/>
      <c r="I111" s="21"/>
      <c r="J111" s="141"/>
      <c r="K111" s="21"/>
      <c r="L111" s="69"/>
      <c r="M111" s="141"/>
      <c r="N111" s="59"/>
      <c r="O111" s="59"/>
      <c r="P111" s="105"/>
      <c r="Q111" s="105"/>
      <c r="R111" s="105"/>
      <c r="S111" s="105"/>
      <c r="T111" s="105"/>
      <c r="U111" s="90"/>
      <c r="V111" s="90"/>
      <c r="W111" s="90"/>
      <c r="X111" s="93"/>
      <c r="Y111" s="93"/>
      <c r="Z111" s="93"/>
      <c r="AA111" s="29">
        <v>0</v>
      </c>
      <c r="AB111" s="145">
        <v>0</v>
      </c>
      <c r="AC111" s="145">
        <v>0</v>
      </c>
      <c r="AD111" s="145">
        <v>0</v>
      </c>
      <c r="AE111" s="145">
        <v>0</v>
      </c>
      <c r="AF111" s="145">
        <v>0</v>
      </c>
      <c r="AG111" s="145">
        <v>0</v>
      </c>
      <c r="AH111" s="142">
        <f t="shared" si="10"/>
        <v>0</v>
      </c>
      <c r="AI111" s="141"/>
      <c r="AJ111" s="67"/>
      <c r="AK111" s="67"/>
      <c r="AL111" s="24"/>
      <c r="AM111" s="24"/>
      <c r="AN111" s="24"/>
      <c r="AO111" s="71"/>
      <c r="AP111" s="69"/>
      <c r="AQ111" s="141"/>
      <c r="AR111" s="141"/>
      <c r="AS111" s="141"/>
      <c r="AT111" s="141"/>
      <c r="AU111" s="141"/>
      <c r="AV111" s="141"/>
      <c r="AW111" s="141"/>
      <c r="AX111" s="141"/>
      <c r="AY111" s="141"/>
      <c r="AZ111" s="141"/>
    </row>
    <row r="112" spans="1:52" ht="45" customHeight="1">
      <c r="A112" s="153">
        <f t="shared" si="11"/>
        <v>109</v>
      </c>
      <c r="B112" s="153"/>
      <c r="C112" s="140"/>
      <c r="D112" s="28"/>
      <c r="E112" s="69"/>
      <c r="F112" s="39">
        <v>0</v>
      </c>
      <c r="G112" s="21"/>
      <c r="H112" s="21"/>
      <c r="I112" s="21"/>
      <c r="J112" s="141"/>
      <c r="K112" s="21"/>
      <c r="L112" s="69"/>
      <c r="M112" s="141"/>
      <c r="N112" s="59"/>
      <c r="O112" s="59"/>
      <c r="P112" s="105"/>
      <c r="Q112" s="105"/>
      <c r="R112" s="105"/>
      <c r="S112" s="105"/>
      <c r="T112" s="105"/>
      <c r="U112" s="90"/>
      <c r="V112" s="90"/>
      <c r="W112" s="90"/>
      <c r="X112" s="93"/>
      <c r="Y112" s="93"/>
      <c r="Z112" s="93"/>
      <c r="AA112" s="29">
        <v>0</v>
      </c>
      <c r="AB112" s="145">
        <v>0</v>
      </c>
      <c r="AC112" s="145">
        <v>0</v>
      </c>
      <c r="AD112" s="145">
        <v>0</v>
      </c>
      <c r="AE112" s="145">
        <v>0</v>
      </c>
      <c r="AF112" s="145">
        <v>0</v>
      </c>
      <c r="AG112" s="145">
        <v>0</v>
      </c>
      <c r="AH112" s="142">
        <f t="shared" si="10"/>
        <v>0</v>
      </c>
      <c r="AI112" s="141"/>
      <c r="AJ112" s="67"/>
      <c r="AK112" s="67"/>
      <c r="AL112" s="24"/>
      <c r="AM112" s="24"/>
      <c r="AN112" s="24"/>
      <c r="AO112" s="71"/>
      <c r="AP112" s="69"/>
      <c r="AQ112" s="141"/>
      <c r="AR112" s="141"/>
      <c r="AS112" s="141"/>
      <c r="AT112" s="141"/>
      <c r="AU112" s="141"/>
      <c r="AV112" s="141"/>
      <c r="AW112" s="141"/>
      <c r="AX112" s="141"/>
      <c r="AY112" s="141"/>
      <c r="AZ112" s="141"/>
    </row>
    <row r="113" spans="1:52" ht="45" customHeight="1">
      <c r="A113" s="153">
        <f t="shared" si="11"/>
        <v>110</v>
      </c>
      <c r="B113" s="153"/>
      <c r="C113" s="140"/>
      <c r="D113" s="28"/>
      <c r="E113" s="69"/>
      <c r="F113" s="39">
        <v>0</v>
      </c>
      <c r="G113" s="21"/>
      <c r="H113" s="21"/>
      <c r="I113" s="21"/>
      <c r="J113" s="141"/>
      <c r="K113" s="21"/>
      <c r="L113" s="69"/>
      <c r="M113" s="141"/>
      <c r="N113" s="59"/>
      <c r="O113" s="59"/>
      <c r="P113" s="105"/>
      <c r="Q113" s="105"/>
      <c r="R113" s="105"/>
      <c r="S113" s="105"/>
      <c r="T113" s="105"/>
      <c r="U113" s="90"/>
      <c r="V113" s="90"/>
      <c r="W113" s="90"/>
      <c r="X113" s="93"/>
      <c r="Y113" s="93"/>
      <c r="Z113" s="93"/>
      <c r="AA113" s="29">
        <v>0</v>
      </c>
      <c r="AB113" s="145">
        <v>0</v>
      </c>
      <c r="AC113" s="145">
        <v>0</v>
      </c>
      <c r="AD113" s="145">
        <v>0</v>
      </c>
      <c r="AE113" s="145">
        <v>0</v>
      </c>
      <c r="AF113" s="145">
        <v>0</v>
      </c>
      <c r="AG113" s="145">
        <v>0</v>
      </c>
      <c r="AH113" s="142">
        <f t="shared" si="10"/>
        <v>0</v>
      </c>
      <c r="AI113" s="141"/>
      <c r="AJ113" s="67"/>
      <c r="AK113" s="67"/>
      <c r="AL113" s="24"/>
      <c r="AM113" s="24"/>
      <c r="AN113" s="24"/>
      <c r="AO113" s="71"/>
      <c r="AP113" s="69"/>
      <c r="AQ113" s="141"/>
      <c r="AR113" s="141"/>
      <c r="AS113" s="141"/>
      <c r="AT113" s="141"/>
      <c r="AU113" s="141"/>
      <c r="AV113" s="141"/>
      <c r="AW113" s="141"/>
      <c r="AX113" s="141"/>
      <c r="AY113" s="141"/>
      <c r="AZ113" s="141"/>
    </row>
    <row r="114" spans="1:52" ht="45" customHeight="1">
      <c r="A114" s="153">
        <f t="shared" si="11"/>
        <v>111</v>
      </c>
      <c r="B114" s="153"/>
      <c r="C114" s="140"/>
      <c r="D114" s="28"/>
      <c r="E114" s="69"/>
      <c r="F114" s="39">
        <v>0</v>
      </c>
      <c r="G114" s="21"/>
      <c r="H114" s="21"/>
      <c r="I114" s="21"/>
      <c r="J114" s="141"/>
      <c r="K114" s="21"/>
      <c r="L114" s="69"/>
      <c r="M114" s="141"/>
      <c r="N114" s="59"/>
      <c r="O114" s="59"/>
      <c r="P114" s="105"/>
      <c r="Q114" s="105"/>
      <c r="R114" s="105"/>
      <c r="S114" s="105"/>
      <c r="T114" s="105"/>
      <c r="U114" s="90"/>
      <c r="V114" s="90"/>
      <c r="W114" s="90"/>
      <c r="X114" s="93"/>
      <c r="Y114" s="93"/>
      <c r="Z114" s="93"/>
      <c r="AA114" s="29">
        <v>0</v>
      </c>
      <c r="AB114" s="145">
        <v>0</v>
      </c>
      <c r="AC114" s="145">
        <v>0</v>
      </c>
      <c r="AD114" s="145">
        <v>0</v>
      </c>
      <c r="AE114" s="145">
        <v>0</v>
      </c>
      <c r="AF114" s="145">
        <v>0</v>
      </c>
      <c r="AG114" s="145">
        <v>0</v>
      </c>
      <c r="AH114" s="142">
        <f t="shared" ref="AH114:AH145" si="12">AVERAGE(AA114:AG114)</f>
        <v>0</v>
      </c>
      <c r="AI114" s="141"/>
      <c r="AJ114" s="67"/>
      <c r="AK114" s="67"/>
      <c r="AL114" s="24"/>
      <c r="AM114" s="24"/>
      <c r="AN114" s="24"/>
      <c r="AO114" s="71"/>
      <c r="AP114" s="69"/>
      <c r="AQ114" s="141"/>
      <c r="AR114" s="141"/>
      <c r="AS114" s="141"/>
      <c r="AT114" s="141"/>
      <c r="AU114" s="141"/>
      <c r="AV114" s="141"/>
      <c r="AW114" s="141"/>
      <c r="AX114" s="141"/>
      <c r="AY114" s="141"/>
      <c r="AZ114" s="141"/>
    </row>
    <row r="115" spans="1:52" ht="45" customHeight="1">
      <c r="A115" s="153">
        <f t="shared" si="11"/>
        <v>112</v>
      </c>
      <c r="B115" s="153"/>
      <c r="C115" s="140"/>
      <c r="D115" s="28"/>
      <c r="E115" s="69"/>
      <c r="F115" s="39">
        <v>3</v>
      </c>
      <c r="G115" s="21"/>
      <c r="H115" s="21"/>
      <c r="I115" s="21"/>
      <c r="J115" s="141"/>
      <c r="K115" s="21"/>
      <c r="L115" s="69"/>
      <c r="M115" s="141"/>
      <c r="N115" s="59"/>
      <c r="O115" s="59"/>
      <c r="P115" s="105"/>
      <c r="Q115" s="105"/>
      <c r="R115" s="105"/>
      <c r="S115" s="105"/>
      <c r="T115" s="105"/>
      <c r="U115" s="90"/>
      <c r="V115" s="90"/>
      <c r="W115" s="90"/>
      <c r="X115" s="93"/>
      <c r="Y115" s="93"/>
      <c r="Z115" s="93"/>
      <c r="AA115" s="29">
        <v>0</v>
      </c>
      <c r="AB115" s="145">
        <v>0</v>
      </c>
      <c r="AC115" s="145">
        <v>0</v>
      </c>
      <c r="AD115" s="145">
        <v>0</v>
      </c>
      <c r="AE115" s="145">
        <v>0</v>
      </c>
      <c r="AF115" s="145">
        <v>0</v>
      </c>
      <c r="AG115" s="145">
        <v>0</v>
      </c>
      <c r="AH115" s="142">
        <f t="shared" si="12"/>
        <v>0</v>
      </c>
      <c r="AI115" s="141"/>
      <c r="AJ115" s="67"/>
      <c r="AK115" s="67"/>
      <c r="AL115" s="24"/>
      <c r="AM115" s="24"/>
      <c r="AN115" s="24"/>
      <c r="AO115" s="71"/>
      <c r="AP115" s="69"/>
      <c r="AQ115" s="141"/>
      <c r="AR115" s="141"/>
      <c r="AS115" s="141"/>
      <c r="AT115" s="141"/>
      <c r="AU115" s="141"/>
      <c r="AV115" s="141"/>
      <c r="AW115" s="141"/>
      <c r="AX115" s="141"/>
      <c r="AY115" s="141"/>
      <c r="AZ115" s="141"/>
    </row>
    <row r="116" spans="1:52" ht="45" customHeight="1">
      <c r="A116" s="153">
        <f t="shared" si="11"/>
        <v>113</v>
      </c>
      <c r="B116" s="153"/>
      <c r="C116" s="140"/>
      <c r="D116" s="28"/>
      <c r="E116" s="69"/>
      <c r="F116" s="39">
        <v>0</v>
      </c>
      <c r="G116" s="21"/>
      <c r="H116" s="21"/>
      <c r="I116" s="21"/>
      <c r="J116" s="141"/>
      <c r="K116" s="21"/>
      <c r="L116" s="69"/>
      <c r="M116" s="141"/>
      <c r="N116" s="59"/>
      <c r="O116" s="59"/>
      <c r="P116" s="105"/>
      <c r="Q116" s="105"/>
      <c r="R116" s="105"/>
      <c r="S116" s="105"/>
      <c r="T116" s="105"/>
      <c r="U116" s="90"/>
      <c r="V116" s="90"/>
      <c r="W116" s="90"/>
      <c r="X116" s="93"/>
      <c r="Y116" s="93"/>
      <c r="Z116" s="93"/>
      <c r="AA116" s="29">
        <v>0</v>
      </c>
      <c r="AB116" s="145">
        <v>0</v>
      </c>
      <c r="AC116" s="145">
        <v>0</v>
      </c>
      <c r="AD116" s="145">
        <v>0</v>
      </c>
      <c r="AE116" s="145">
        <v>0</v>
      </c>
      <c r="AF116" s="145">
        <v>0</v>
      </c>
      <c r="AG116" s="145">
        <v>0</v>
      </c>
      <c r="AH116" s="142">
        <f t="shared" si="12"/>
        <v>0</v>
      </c>
      <c r="AI116" s="141"/>
      <c r="AJ116" s="67"/>
      <c r="AK116" s="67"/>
      <c r="AL116" s="24"/>
      <c r="AM116" s="24"/>
      <c r="AN116" s="24"/>
      <c r="AO116" s="71"/>
      <c r="AP116" s="69"/>
      <c r="AQ116" s="141"/>
      <c r="AR116" s="141"/>
      <c r="AS116" s="141"/>
      <c r="AT116" s="141"/>
      <c r="AU116" s="141"/>
      <c r="AV116" s="141"/>
      <c r="AW116" s="141"/>
      <c r="AX116" s="141"/>
      <c r="AY116" s="141"/>
      <c r="AZ116" s="141"/>
    </row>
    <row r="117" spans="1:52" ht="45" customHeight="1">
      <c r="A117" s="153">
        <f t="shared" si="11"/>
        <v>114</v>
      </c>
      <c r="B117" s="153"/>
      <c r="C117" s="140"/>
      <c r="D117" s="28"/>
      <c r="E117" s="69"/>
      <c r="F117" s="39">
        <v>0</v>
      </c>
      <c r="G117" s="21"/>
      <c r="H117" s="21"/>
      <c r="I117" s="21"/>
      <c r="J117" s="141"/>
      <c r="K117" s="21"/>
      <c r="L117" s="69"/>
      <c r="M117" s="141"/>
      <c r="N117" s="59"/>
      <c r="O117" s="59"/>
      <c r="P117" s="105"/>
      <c r="Q117" s="105"/>
      <c r="R117" s="105"/>
      <c r="S117" s="105"/>
      <c r="T117" s="105"/>
      <c r="U117" s="90"/>
      <c r="V117" s="90"/>
      <c r="W117" s="90"/>
      <c r="X117" s="93"/>
      <c r="Y117" s="93"/>
      <c r="Z117" s="93"/>
      <c r="AA117" s="29">
        <v>0</v>
      </c>
      <c r="AB117" s="145">
        <v>0</v>
      </c>
      <c r="AC117" s="145">
        <v>0</v>
      </c>
      <c r="AD117" s="145">
        <v>0</v>
      </c>
      <c r="AE117" s="145">
        <v>0</v>
      </c>
      <c r="AF117" s="145">
        <v>0</v>
      </c>
      <c r="AG117" s="145">
        <v>0</v>
      </c>
      <c r="AH117" s="142">
        <f t="shared" si="12"/>
        <v>0</v>
      </c>
      <c r="AI117" s="141"/>
      <c r="AJ117" s="67"/>
      <c r="AK117" s="67"/>
      <c r="AL117" s="24"/>
      <c r="AM117" s="24"/>
      <c r="AN117" s="24"/>
      <c r="AO117" s="71"/>
      <c r="AP117" s="69"/>
      <c r="AQ117" s="141"/>
      <c r="AR117" s="141"/>
      <c r="AS117" s="141"/>
      <c r="AT117" s="141"/>
      <c r="AU117" s="141"/>
      <c r="AV117" s="141"/>
      <c r="AW117" s="141"/>
      <c r="AX117" s="141"/>
      <c r="AY117" s="141"/>
      <c r="AZ117" s="141"/>
    </row>
    <row r="118" spans="1:52" ht="45" customHeight="1">
      <c r="A118" s="153">
        <f t="shared" si="11"/>
        <v>115</v>
      </c>
      <c r="B118" s="153"/>
      <c r="C118" s="140"/>
      <c r="D118" s="28"/>
      <c r="E118" s="69"/>
      <c r="F118" s="39">
        <v>0</v>
      </c>
      <c r="G118" s="21"/>
      <c r="H118" s="21"/>
      <c r="I118" s="21"/>
      <c r="J118" s="141"/>
      <c r="K118" s="21"/>
      <c r="L118" s="69"/>
      <c r="M118" s="141"/>
      <c r="N118" s="59"/>
      <c r="O118" s="59"/>
      <c r="P118" s="105"/>
      <c r="Q118" s="105"/>
      <c r="R118" s="105"/>
      <c r="S118" s="105"/>
      <c r="T118" s="105"/>
      <c r="U118" s="90"/>
      <c r="V118" s="90"/>
      <c r="W118" s="90"/>
      <c r="X118" s="93"/>
      <c r="Y118" s="93"/>
      <c r="Z118" s="93"/>
      <c r="AA118" s="29">
        <v>0</v>
      </c>
      <c r="AB118" s="145">
        <v>0</v>
      </c>
      <c r="AC118" s="145">
        <v>0</v>
      </c>
      <c r="AD118" s="145">
        <v>0</v>
      </c>
      <c r="AE118" s="145">
        <v>0</v>
      </c>
      <c r="AF118" s="145">
        <v>0</v>
      </c>
      <c r="AG118" s="145">
        <v>0</v>
      </c>
      <c r="AH118" s="142">
        <f t="shared" si="12"/>
        <v>0</v>
      </c>
      <c r="AI118" s="141"/>
      <c r="AJ118" s="67"/>
      <c r="AK118" s="67"/>
      <c r="AL118" s="24"/>
      <c r="AM118" s="24"/>
      <c r="AN118" s="24"/>
      <c r="AO118" s="71"/>
      <c r="AP118" s="69"/>
      <c r="AQ118" s="141"/>
      <c r="AR118" s="141"/>
      <c r="AS118" s="141"/>
      <c r="AT118" s="141"/>
      <c r="AU118" s="141"/>
      <c r="AV118" s="141"/>
      <c r="AW118" s="141"/>
      <c r="AX118" s="141"/>
      <c r="AY118" s="141"/>
      <c r="AZ118" s="141"/>
    </row>
    <row r="119" spans="1:52" ht="45" customHeight="1">
      <c r="A119" s="153">
        <f t="shared" si="11"/>
        <v>116</v>
      </c>
      <c r="B119" s="153"/>
      <c r="C119" s="140"/>
      <c r="D119" s="28"/>
      <c r="E119" s="69"/>
      <c r="F119" s="39">
        <v>0</v>
      </c>
      <c r="G119" s="21"/>
      <c r="H119" s="21"/>
      <c r="I119" s="21"/>
      <c r="J119" s="141"/>
      <c r="K119" s="21"/>
      <c r="L119" s="69"/>
      <c r="M119" s="141"/>
      <c r="N119" s="59"/>
      <c r="O119" s="59"/>
      <c r="P119" s="105"/>
      <c r="Q119" s="105"/>
      <c r="R119" s="105"/>
      <c r="S119" s="105"/>
      <c r="T119" s="105"/>
      <c r="U119" s="90"/>
      <c r="V119" s="90"/>
      <c r="W119" s="90"/>
      <c r="X119" s="93"/>
      <c r="Y119" s="93"/>
      <c r="Z119" s="93"/>
      <c r="AA119" s="29">
        <v>0</v>
      </c>
      <c r="AB119" s="145">
        <v>0</v>
      </c>
      <c r="AC119" s="145">
        <v>0</v>
      </c>
      <c r="AD119" s="145">
        <v>0</v>
      </c>
      <c r="AE119" s="145">
        <v>0</v>
      </c>
      <c r="AF119" s="145">
        <v>0</v>
      </c>
      <c r="AG119" s="145">
        <v>0</v>
      </c>
      <c r="AH119" s="142">
        <f t="shared" si="12"/>
        <v>0</v>
      </c>
      <c r="AI119" s="141"/>
      <c r="AJ119" s="67"/>
      <c r="AK119" s="67"/>
      <c r="AL119" s="24"/>
      <c r="AM119" s="24"/>
      <c r="AN119" s="24"/>
      <c r="AO119" s="71"/>
      <c r="AP119" s="69"/>
      <c r="AQ119" s="141"/>
      <c r="AR119" s="141"/>
      <c r="AS119" s="141"/>
      <c r="AT119" s="141"/>
      <c r="AU119" s="141"/>
      <c r="AV119" s="141"/>
      <c r="AW119" s="141"/>
      <c r="AX119" s="141"/>
      <c r="AY119" s="141"/>
      <c r="AZ119" s="141"/>
    </row>
    <row r="120" spans="1:52" ht="45" customHeight="1">
      <c r="A120" s="153">
        <f t="shared" si="11"/>
        <v>117</v>
      </c>
      <c r="B120" s="153"/>
      <c r="C120" s="140"/>
      <c r="D120" s="28"/>
      <c r="E120" s="69"/>
      <c r="F120" s="39">
        <v>0</v>
      </c>
      <c r="G120" s="21"/>
      <c r="H120" s="21"/>
      <c r="I120" s="21"/>
      <c r="J120" s="141"/>
      <c r="K120" s="21"/>
      <c r="L120" s="69"/>
      <c r="M120" s="141"/>
      <c r="N120" s="59"/>
      <c r="O120" s="59"/>
      <c r="P120" s="105"/>
      <c r="Q120" s="105"/>
      <c r="R120" s="105"/>
      <c r="S120" s="105"/>
      <c r="T120" s="105"/>
      <c r="U120" s="90"/>
      <c r="V120" s="90"/>
      <c r="W120" s="90"/>
      <c r="X120" s="93"/>
      <c r="Y120" s="93"/>
      <c r="Z120" s="93"/>
      <c r="AA120" s="29">
        <v>0</v>
      </c>
      <c r="AB120" s="145">
        <v>0</v>
      </c>
      <c r="AC120" s="145">
        <v>0</v>
      </c>
      <c r="AD120" s="145">
        <v>0</v>
      </c>
      <c r="AE120" s="145">
        <v>0</v>
      </c>
      <c r="AF120" s="145">
        <v>0</v>
      </c>
      <c r="AG120" s="145">
        <v>0</v>
      </c>
      <c r="AH120" s="142">
        <f t="shared" si="12"/>
        <v>0</v>
      </c>
      <c r="AI120" s="141"/>
      <c r="AJ120" s="67"/>
      <c r="AK120" s="67"/>
      <c r="AL120" s="24"/>
      <c r="AM120" s="24"/>
      <c r="AN120" s="24"/>
      <c r="AO120" s="71"/>
      <c r="AP120" s="69"/>
      <c r="AQ120" s="141"/>
      <c r="AR120" s="141"/>
      <c r="AS120" s="141"/>
      <c r="AT120" s="141"/>
      <c r="AU120" s="141"/>
      <c r="AV120" s="141"/>
      <c r="AW120" s="141"/>
      <c r="AX120" s="141"/>
      <c r="AY120" s="141"/>
      <c r="AZ120" s="141"/>
    </row>
    <row r="121" spans="1:52" ht="45" customHeight="1">
      <c r="A121" s="153">
        <f t="shared" si="11"/>
        <v>118</v>
      </c>
      <c r="B121" s="153"/>
      <c r="C121" s="140"/>
      <c r="D121" s="28"/>
      <c r="E121" s="69"/>
      <c r="F121" s="39">
        <v>0</v>
      </c>
      <c r="G121" s="21"/>
      <c r="H121" s="21"/>
      <c r="I121" s="21"/>
      <c r="J121" s="141"/>
      <c r="K121" s="21"/>
      <c r="L121" s="69"/>
      <c r="M121" s="141"/>
      <c r="N121" s="59"/>
      <c r="O121" s="59"/>
      <c r="P121" s="105"/>
      <c r="Q121" s="105"/>
      <c r="R121" s="105"/>
      <c r="S121" s="105"/>
      <c r="T121" s="105"/>
      <c r="U121" s="90"/>
      <c r="V121" s="90"/>
      <c r="W121" s="90"/>
      <c r="X121" s="93"/>
      <c r="Y121" s="93"/>
      <c r="Z121" s="93"/>
      <c r="AA121" s="29">
        <v>0</v>
      </c>
      <c r="AB121" s="145">
        <v>0</v>
      </c>
      <c r="AC121" s="145">
        <v>0</v>
      </c>
      <c r="AD121" s="145">
        <v>0</v>
      </c>
      <c r="AE121" s="145">
        <v>0</v>
      </c>
      <c r="AF121" s="145">
        <v>0</v>
      </c>
      <c r="AG121" s="145">
        <v>0</v>
      </c>
      <c r="AH121" s="142">
        <f t="shared" si="12"/>
        <v>0</v>
      </c>
      <c r="AI121" s="141"/>
      <c r="AJ121" s="67"/>
      <c r="AK121" s="67"/>
      <c r="AL121" s="24"/>
      <c r="AM121" s="24"/>
      <c r="AN121" s="24"/>
      <c r="AO121" s="71"/>
      <c r="AP121" s="69"/>
      <c r="AQ121" s="141"/>
      <c r="AR121" s="141"/>
      <c r="AS121" s="141"/>
      <c r="AT121" s="141"/>
      <c r="AU121" s="141"/>
      <c r="AV121" s="141"/>
      <c r="AW121" s="141"/>
      <c r="AX121" s="141"/>
      <c r="AY121" s="141"/>
      <c r="AZ121" s="141"/>
    </row>
    <row r="122" spans="1:52" ht="45" customHeight="1">
      <c r="A122" s="153">
        <f t="shared" si="11"/>
        <v>119</v>
      </c>
      <c r="B122" s="153"/>
      <c r="C122" s="140"/>
      <c r="D122" s="28"/>
      <c r="E122" s="69"/>
      <c r="F122" s="39">
        <v>0</v>
      </c>
      <c r="G122" s="21"/>
      <c r="H122" s="21"/>
      <c r="I122" s="21"/>
      <c r="J122" s="141"/>
      <c r="K122" s="21"/>
      <c r="L122" s="69"/>
      <c r="M122" s="141"/>
      <c r="N122" s="59"/>
      <c r="O122" s="59"/>
      <c r="P122" s="105"/>
      <c r="Q122" s="105"/>
      <c r="R122" s="105"/>
      <c r="S122" s="105"/>
      <c r="T122" s="105"/>
      <c r="U122" s="90"/>
      <c r="V122" s="90"/>
      <c r="W122" s="90"/>
      <c r="X122" s="93"/>
      <c r="Y122" s="93"/>
      <c r="Z122" s="93"/>
      <c r="AA122" s="29">
        <v>0</v>
      </c>
      <c r="AB122" s="145">
        <v>0</v>
      </c>
      <c r="AC122" s="145">
        <v>0</v>
      </c>
      <c r="AD122" s="145">
        <v>0</v>
      </c>
      <c r="AE122" s="145">
        <v>0</v>
      </c>
      <c r="AF122" s="145">
        <v>0</v>
      </c>
      <c r="AG122" s="145">
        <v>0</v>
      </c>
      <c r="AH122" s="142">
        <f t="shared" si="12"/>
        <v>0</v>
      </c>
      <c r="AI122" s="141"/>
      <c r="AJ122" s="67"/>
      <c r="AK122" s="67"/>
      <c r="AL122" s="24"/>
      <c r="AM122" s="24"/>
      <c r="AN122" s="24"/>
      <c r="AO122" s="71"/>
      <c r="AP122" s="69"/>
      <c r="AQ122" s="141"/>
      <c r="AR122" s="141"/>
      <c r="AS122" s="141"/>
      <c r="AT122" s="141"/>
      <c r="AU122" s="141"/>
      <c r="AV122" s="141"/>
      <c r="AW122" s="141"/>
      <c r="AX122" s="141"/>
      <c r="AY122" s="141"/>
      <c r="AZ122" s="141"/>
    </row>
    <row r="123" spans="1:52" ht="45" customHeight="1">
      <c r="A123" s="153">
        <f t="shared" si="11"/>
        <v>120</v>
      </c>
      <c r="B123" s="153"/>
      <c r="C123" s="140"/>
      <c r="D123" s="28"/>
      <c r="E123" s="69"/>
      <c r="F123" s="39">
        <v>0</v>
      </c>
      <c r="G123" s="21"/>
      <c r="H123" s="21"/>
      <c r="I123" s="21"/>
      <c r="J123" s="141"/>
      <c r="K123" s="21"/>
      <c r="L123" s="69"/>
      <c r="M123" s="141"/>
      <c r="N123" s="59"/>
      <c r="O123" s="59"/>
      <c r="P123" s="105"/>
      <c r="Q123" s="105"/>
      <c r="R123" s="105"/>
      <c r="S123" s="105"/>
      <c r="T123" s="105"/>
      <c r="U123" s="90"/>
      <c r="V123" s="90"/>
      <c r="W123" s="90"/>
      <c r="X123" s="93"/>
      <c r="Y123" s="93"/>
      <c r="Z123" s="93"/>
      <c r="AA123" s="29">
        <v>0</v>
      </c>
      <c r="AB123" s="145">
        <v>0</v>
      </c>
      <c r="AC123" s="145">
        <v>0</v>
      </c>
      <c r="AD123" s="145">
        <v>0</v>
      </c>
      <c r="AE123" s="145">
        <v>0</v>
      </c>
      <c r="AF123" s="145">
        <v>0</v>
      </c>
      <c r="AG123" s="145">
        <v>0</v>
      </c>
      <c r="AH123" s="142">
        <f t="shared" si="12"/>
        <v>0</v>
      </c>
      <c r="AI123" s="141"/>
      <c r="AJ123" s="67"/>
      <c r="AK123" s="67"/>
      <c r="AL123" s="24"/>
      <c r="AM123" s="24"/>
      <c r="AN123" s="24"/>
      <c r="AO123" s="71"/>
      <c r="AP123" s="69"/>
      <c r="AQ123" s="141"/>
      <c r="AR123" s="141"/>
      <c r="AS123" s="141"/>
      <c r="AT123" s="141"/>
      <c r="AU123" s="141"/>
      <c r="AV123" s="141"/>
      <c r="AW123" s="141"/>
      <c r="AX123" s="141"/>
      <c r="AY123" s="141"/>
      <c r="AZ123" s="141"/>
    </row>
    <row r="124" spans="1:52" ht="45" customHeight="1">
      <c r="A124" s="153">
        <f t="shared" si="11"/>
        <v>121</v>
      </c>
      <c r="B124" s="153"/>
      <c r="C124" s="140"/>
      <c r="D124" s="28"/>
      <c r="E124" s="69"/>
      <c r="F124" s="39">
        <v>0</v>
      </c>
      <c r="G124" s="21"/>
      <c r="H124" s="21"/>
      <c r="I124" s="21"/>
      <c r="J124" s="141"/>
      <c r="K124" s="21"/>
      <c r="L124" s="69"/>
      <c r="M124" s="141"/>
      <c r="N124" s="59"/>
      <c r="O124" s="59"/>
      <c r="P124" s="105"/>
      <c r="Q124" s="105"/>
      <c r="R124" s="105"/>
      <c r="S124" s="105"/>
      <c r="T124" s="105"/>
      <c r="U124" s="90"/>
      <c r="V124" s="90"/>
      <c r="W124" s="90"/>
      <c r="X124" s="93"/>
      <c r="Y124" s="93"/>
      <c r="Z124" s="93"/>
      <c r="AA124" s="29">
        <v>0</v>
      </c>
      <c r="AB124" s="145">
        <v>0</v>
      </c>
      <c r="AC124" s="145">
        <v>0</v>
      </c>
      <c r="AD124" s="145">
        <v>0</v>
      </c>
      <c r="AE124" s="145">
        <v>0</v>
      </c>
      <c r="AF124" s="145">
        <v>0</v>
      </c>
      <c r="AG124" s="145">
        <v>0</v>
      </c>
      <c r="AH124" s="142">
        <f t="shared" si="12"/>
        <v>0</v>
      </c>
      <c r="AI124" s="141"/>
      <c r="AJ124" s="67"/>
      <c r="AK124" s="67"/>
      <c r="AL124" s="24"/>
      <c r="AM124" s="24"/>
      <c r="AN124" s="24"/>
      <c r="AO124" s="71"/>
      <c r="AP124" s="69"/>
      <c r="AQ124" s="141"/>
      <c r="AR124" s="141"/>
      <c r="AS124" s="141"/>
      <c r="AT124" s="141"/>
      <c r="AU124" s="141"/>
      <c r="AV124" s="141"/>
      <c r="AW124" s="141"/>
      <c r="AX124" s="141"/>
      <c r="AY124" s="141"/>
      <c r="AZ124" s="141"/>
    </row>
    <row r="125" spans="1:52" ht="45" customHeight="1">
      <c r="A125" s="153">
        <f t="shared" si="11"/>
        <v>122</v>
      </c>
      <c r="B125" s="153"/>
      <c r="C125" s="140"/>
      <c r="D125" s="28"/>
      <c r="E125" s="69"/>
      <c r="F125" s="39">
        <v>0</v>
      </c>
      <c r="G125" s="21"/>
      <c r="H125" s="21"/>
      <c r="I125" s="21"/>
      <c r="J125" s="141"/>
      <c r="K125" s="21"/>
      <c r="L125" s="69"/>
      <c r="M125" s="141"/>
      <c r="N125" s="59"/>
      <c r="O125" s="59"/>
      <c r="P125" s="105"/>
      <c r="Q125" s="105"/>
      <c r="R125" s="105"/>
      <c r="S125" s="105"/>
      <c r="T125" s="105"/>
      <c r="U125" s="90"/>
      <c r="V125" s="90"/>
      <c r="W125" s="90"/>
      <c r="X125" s="93"/>
      <c r="Y125" s="93"/>
      <c r="Z125" s="93"/>
      <c r="AA125" s="29">
        <v>0</v>
      </c>
      <c r="AB125" s="145">
        <v>0</v>
      </c>
      <c r="AC125" s="145">
        <v>0</v>
      </c>
      <c r="AD125" s="145">
        <v>0</v>
      </c>
      <c r="AE125" s="145">
        <v>0</v>
      </c>
      <c r="AF125" s="145">
        <v>0</v>
      </c>
      <c r="AG125" s="145">
        <v>0</v>
      </c>
      <c r="AH125" s="142">
        <f t="shared" si="12"/>
        <v>0</v>
      </c>
      <c r="AI125" s="141"/>
      <c r="AJ125" s="67"/>
      <c r="AK125" s="67"/>
      <c r="AL125" s="24"/>
      <c r="AM125" s="24"/>
      <c r="AN125" s="24"/>
      <c r="AO125" s="71"/>
      <c r="AP125" s="69"/>
      <c r="AQ125" s="141"/>
      <c r="AR125" s="141"/>
      <c r="AS125" s="141"/>
      <c r="AT125" s="141"/>
      <c r="AU125" s="141"/>
      <c r="AV125" s="141"/>
      <c r="AW125" s="141"/>
      <c r="AX125" s="141"/>
      <c r="AY125" s="141"/>
      <c r="AZ125" s="141"/>
    </row>
    <row r="126" spans="1:52" ht="45" customHeight="1">
      <c r="A126" s="153">
        <f t="shared" si="11"/>
        <v>123</v>
      </c>
      <c r="B126" s="153"/>
      <c r="C126" s="140"/>
      <c r="D126" s="28"/>
      <c r="E126" s="69"/>
      <c r="F126" s="39">
        <v>0</v>
      </c>
      <c r="G126" s="21"/>
      <c r="H126" s="21"/>
      <c r="I126" s="21"/>
      <c r="J126" s="141"/>
      <c r="K126" s="21"/>
      <c r="L126" s="69"/>
      <c r="M126" s="141"/>
      <c r="N126" s="59"/>
      <c r="O126" s="59"/>
      <c r="P126" s="105"/>
      <c r="Q126" s="105"/>
      <c r="R126" s="105"/>
      <c r="S126" s="105"/>
      <c r="T126" s="105"/>
      <c r="U126" s="90"/>
      <c r="V126" s="90"/>
      <c r="W126" s="90"/>
      <c r="X126" s="93"/>
      <c r="Y126" s="93"/>
      <c r="Z126" s="93"/>
      <c r="AA126" s="29">
        <v>0</v>
      </c>
      <c r="AB126" s="145">
        <v>0</v>
      </c>
      <c r="AC126" s="145">
        <v>0</v>
      </c>
      <c r="AD126" s="145">
        <v>0</v>
      </c>
      <c r="AE126" s="145">
        <v>0</v>
      </c>
      <c r="AF126" s="145">
        <v>0</v>
      </c>
      <c r="AG126" s="145">
        <v>0</v>
      </c>
      <c r="AH126" s="142">
        <f t="shared" si="12"/>
        <v>0</v>
      </c>
      <c r="AI126" s="141"/>
      <c r="AJ126" s="67"/>
      <c r="AK126" s="67"/>
      <c r="AL126" s="24"/>
      <c r="AM126" s="24"/>
      <c r="AN126" s="24"/>
      <c r="AO126" s="71"/>
      <c r="AP126" s="69"/>
      <c r="AQ126" s="141"/>
      <c r="AR126" s="141"/>
      <c r="AS126" s="141"/>
      <c r="AT126" s="141"/>
      <c r="AU126" s="141"/>
      <c r="AV126" s="141"/>
      <c r="AW126" s="141"/>
      <c r="AX126" s="141"/>
      <c r="AY126" s="141"/>
      <c r="AZ126" s="141"/>
    </row>
    <row r="127" spans="1:52" ht="45" customHeight="1">
      <c r="A127" s="153">
        <f t="shared" si="11"/>
        <v>124</v>
      </c>
      <c r="B127" s="153"/>
      <c r="C127" s="140"/>
      <c r="D127" s="28"/>
      <c r="E127" s="69"/>
      <c r="F127" s="39">
        <v>0</v>
      </c>
      <c r="G127" s="21"/>
      <c r="H127" s="21"/>
      <c r="I127" s="21"/>
      <c r="J127" s="141"/>
      <c r="K127" s="21"/>
      <c r="L127" s="69"/>
      <c r="M127" s="141"/>
      <c r="N127" s="59"/>
      <c r="O127" s="59"/>
      <c r="P127" s="105"/>
      <c r="Q127" s="105"/>
      <c r="R127" s="105"/>
      <c r="S127" s="105"/>
      <c r="T127" s="105"/>
      <c r="U127" s="90"/>
      <c r="V127" s="90"/>
      <c r="W127" s="90"/>
      <c r="X127" s="93"/>
      <c r="Y127" s="93"/>
      <c r="Z127" s="93"/>
      <c r="AA127" s="29">
        <v>0</v>
      </c>
      <c r="AB127" s="145">
        <v>0</v>
      </c>
      <c r="AC127" s="145">
        <v>0</v>
      </c>
      <c r="AD127" s="145">
        <v>0</v>
      </c>
      <c r="AE127" s="145">
        <v>0</v>
      </c>
      <c r="AF127" s="145">
        <v>0</v>
      </c>
      <c r="AG127" s="145">
        <v>0</v>
      </c>
      <c r="AH127" s="142">
        <f t="shared" si="12"/>
        <v>0</v>
      </c>
      <c r="AI127" s="141"/>
      <c r="AJ127" s="67"/>
      <c r="AK127" s="67"/>
      <c r="AL127" s="24"/>
      <c r="AM127" s="24"/>
      <c r="AN127" s="24"/>
      <c r="AO127" s="71"/>
      <c r="AP127" s="69"/>
      <c r="AQ127" s="141"/>
      <c r="AR127" s="141"/>
      <c r="AS127" s="141"/>
      <c r="AT127" s="141"/>
      <c r="AU127" s="141"/>
      <c r="AV127" s="141"/>
      <c r="AW127" s="141"/>
      <c r="AX127" s="141"/>
      <c r="AY127" s="141"/>
      <c r="AZ127" s="141"/>
    </row>
    <row r="128" spans="1:52" ht="45" customHeight="1">
      <c r="A128" s="153">
        <f t="shared" si="11"/>
        <v>125</v>
      </c>
      <c r="B128" s="153"/>
      <c r="C128" s="140"/>
      <c r="D128" s="28"/>
      <c r="E128" s="69"/>
      <c r="F128" s="39">
        <v>0</v>
      </c>
      <c r="G128" s="21"/>
      <c r="H128" s="21"/>
      <c r="I128" s="21"/>
      <c r="J128" s="141"/>
      <c r="K128" s="21"/>
      <c r="L128" s="69"/>
      <c r="M128" s="141"/>
      <c r="N128" s="59"/>
      <c r="O128" s="59"/>
      <c r="P128" s="105"/>
      <c r="Q128" s="105"/>
      <c r="R128" s="105"/>
      <c r="S128" s="105"/>
      <c r="T128" s="105"/>
      <c r="U128" s="90"/>
      <c r="V128" s="90"/>
      <c r="W128" s="90"/>
      <c r="X128" s="93"/>
      <c r="Y128" s="93"/>
      <c r="Z128" s="93"/>
      <c r="AA128" s="29">
        <v>0</v>
      </c>
      <c r="AB128" s="145">
        <v>0</v>
      </c>
      <c r="AC128" s="145">
        <v>0</v>
      </c>
      <c r="AD128" s="145">
        <v>0</v>
      </c>
      <c r="AE128" s="145">
        <v>0</v>
      </c>
      <c r="AF128" s="145">
        <v>0</v>
      </c>
      <c r="AG128" s="145">
        <v>0</v>
      </c>
      <c r="AH128" s="142">
        <f t="shared" si="12"/>
        <v>0</v>
      </c>
      <c r="AI128" s="141"/>
      <c r="AJ128" s="67"/>
      <c r="AK128" s="67"/>
      <c r="AL128" s="24"/>
      <c r="AM128" s="24"/>
      <c r="AN128" s="24"/>
      <c r="AO128" s="71"/>
      <c r="AP128" s="69"/>
      <c r="AQ128" s="141"/>
      <c r="AR128" s="141"/>
      <c r="AS128" s="141"/>
      <c r="AT128" s="141"/>
      <c r="AU128" s="141"/>
      <c r="AV128" s="141"/>
      <c r="AW128" s="141"/>
      <c r="AX128" s="141"/>
      <c r="AY128" s="141"/>
      <c r="AZ128" s="141"/>
    </row>
    <row r="129" spans="1:52" ht="45" customHeight="1">
      <c r="A129" s="153">
        <f t="shared" si="11"/>
        <v>126</v>
      </c>
      <c r="B129" s="153"/>
      <c r="C129" s="140"/>
      <c r="D129" s="28"/>
      <c r="E129" s="69"/>
      <c r="F129" s="39">
        <v>0</v>
      </c>
      <c r="G129" s="21"/>
      <c r="H129" s="21"/>
      <c r="I129" s="21"/>
      <c r="J129" s="141"/>
      <c r="K129" s="21"/>
      <c r="L129" s="69"/>
      <c r="M129" s="141"/>
      <c r="N129" s="59"/>
      <c r="O129" s="59"/>
      <c r="P129" s="105"/>
      <c r="Q129" s="105"/>
      <c r="R129" s="105"/>
      <c r="S129" s="105"/>
      <c r="T129" s="105"/>
      <c r="U129" s="90"/>
      <c r="V129" s="90"/>
      <c r="W129" s="90"/>
      <c r="X129" s="93"/>
      <c r="Y129" s="93"/>
      <c r="Z129" s="93"/>
      <c r="AA129" s="29">
        <v>0</v>
      </c>
      <c r="AB129" s="145">
        <v>0</v>
      </c>
      <c r="AC129" s="145">
        <v>0</v>
      </c>
      <c r="AD129" s="145">
        <v>0</v>
      </c>
      <c r="AE129" s="145">
        <v>0</v>
      </c>
      <c r="AF129" s="145">
        <v>0</v>
      </c>
      <c r="AG129" s="145">
        <v>0</v>
      </c>
      <c r="AH129" s="142">
        <f t="shared" si="12"/>
        <v>0</v>
      </c>
      <c r="AI129" s="141"/>
      <c r="AJ129" s="67"/>
      <c r="AK129" s="67"/>
      <c r="AL129" s="24"/>
      <c r="AM129" s="24"/>
      <c r="AN129" s="24"/>
      <c r="AO129" s="71"/>
      <c r="AP129" s="69"/>
      <c r="AQ129" s="141"/>
      <c r="AR129" s="141"/>
      <c r="AS129" s="141"/>
      <c r="AT129" s="141"/>
      <c r="AU129" s="141"/>
      <c r="AV129" s="141"/>
      <c r="AW129" s="141"/>
      <c r="AX129" s="141"/>
      <c r="AY129" s="141"/>
      <c r="AZ129" s="141"/>
    </row>
    <row r="130" spans="1:52" ht="45" customHeight="1">
      <c r="A130" s="153">
        <f t="shared" si="11"/>
        <v>127</v>
      </c>
      <c r="B130" s="153"/>
      <c r="C130" s="140"/>
      <c r="D130" s="28"/>
      <c r="E130" s="69"/>
      <c r="F130" s="39">
        <v>0</v>
      </c>
      <c r="G130" s="21"/>
      <c r="H130" s="21"/>
      <c r="I130" s="21"/>
      <c r="J130" s="141"/>
      <c r="K130" s="21"/>
      <c r="L130" s="69"/>
      <c r="M130" s="141"/>
      <c r="N130" s="59"/>
      <c r="O130" s="59"/>
      <c r="P130" s="105"/>
      <c r="Q130" s="105"/>
      <c r="R130" s="105"/>
      <c r="S130" s="105"/>
      <c r="T130" s="105"/>
      <c r="U130" s="90"/>
      <c r="V130" s="90"/>
      <c r="W130" s="90"/>
      <c r="X130" s="93"/>
      <c r="Y130" s="93"/>
      <c r="Z130" s="93"/>
      <c r="AA130" s="29">
        <v>0</v>
      </c>
      <c r="AB130" s="145">
        <v>0</v>
      </c>
      <c r="AC130" s="145">
        <v>0</v>
      </c>
      <c r="AD130" s="145">
        <v>0</v>
      </c>
      <c r="AE130" s="145">
        <v>0</v>
      </c>
      <c r="AF130" s="145">
        <v>0</v>
      </c>
      <c r="AG130" s="145">
        <v>0</v>
      </c>
      <c r="AH130" s="142">
        <f t="shared" si="12"/>
        <v>0</v>
      </c>
      <c r="AI130" s="141"/>
      <c r="AJ130" s="67"/>
      <c r="AK130" s="67"/>
      <c r="AL130" s="24"/>
      <c r="AM130" s="24"/>
      <c r="AN130" s="24"/>
      <c r="AO130" s="71"/>
      <c r="AP130" s="69"/>
      <c r="AQ130" s="141"/>
      <c r="AR130" s="141"/>
      <c r="AS130" s="141"/>
      <c r="AT130" s="141"/>
      <c r="AU130" s="141"/>
      <c r="AV130" s="141"/>
      <c r="AW130" s="141"/>
      <c r="AX130" s="141"/>
      <c r="AY130" s="141"/>
      <c r="AZ130" s="141"/>
    </row>
    <row r="131" spans="1:52" ht="45" customHeight="1">
      <c r="A131" s="153">
        <f t="shared" si="11"/>
        <v>128</v>
      </c>
      <c r="B131" s="153"/>
      <c r="C131" s="140"/>
      <c r="D131" s="28"/>
      <c r="E131" s="69"/>
      <c r="F131" s="39">
        <v>0</v>
      </c>
      <c r="G131" s="21"/>
      <c r="H131" s="21"/>
      <c r="I131" s="21"/>
      <c r="J131" s="141"/>
      <c r="K131" s="21"/>
      <c r="L131" s="69"/>
      <c r="M131" s="141"/>
      <c r="N131" s="59"/>
      <c r="O131" s="59"/>
      <c r="P131" s="105"/>
      <c r="Q131" s="105"/>
      <c r="R131" s="105"/>
      <c r="S131" s="105"/>
      <c r="T131" s="105"/>
      <c r="U131" s="90"/>
      <c r="V131" s="90"/>
      <c r="W131" s="90"/>
      <c r="X131" s="93"/>
      <c r="Y131" s="93"/>
      <c r="Z131" s="93"/>
      <c r="AA131" s="29">
        <v>0</v>
      </c>
      <c r="AB131" s="145">
        <v>0</v>
      </c>
      <c r="AC131" s="145">
        <v>0</v>
      </c>
      <c r="AD131" s="145">
        <v>0</v>
      </c>
      <c r="AE131" s="145">
        <v>0</v>
      </c>
      <c r="AF131" s="145">
        <v>0</v>
      </c>
      <c r="AG131" s="145">
        <v>0</v>
      </c>
      <c r="AH131" s="142">
        <f t="shared" si="12"/>
        <v>0</v>
      </c>
      <c r="AI131" s="141"/>
      <c r="AJ131" s="67"/>
      <c r="AK131" s="67"/>
      <c r="AL131" s="24"/>
      <c r="AM131" s="24"/>
      <c r="AN131" s="24"/>
      <c r="AO131" s="71"/>
      <c r="AP131" s="69"/>
      <c r="AQ131" s="141"/>
      <c r="AR131" s="141"/>
      <c r="AS131" s="141"/>
      <c r="AT131" s="141"/>
      <c r="AU131" s="141"/>
      <c r="AV131" s="141"/>
      <c r="AW131" s="141"/>
      <c r="AX131" s="141"/>
      <c r="AY131" s="141"/>
      <c r="AZ131" s="141"/>
    </row>
    <row r="132" spans="1:52" ht="45" customHeight="1">
      <c r="A132" s="153">
        <f t="shared" ref="A132:A157" si="13">A131+1</f>
        <v>129</v>
      </c>
      <c r="B132" s="153"/>
      <c r="C132" s="140"/>
      <c r="D132" s="28"/>
      <c r="E132" s="69"/>
      <c r="F132" s="39">
        <v>0</v>
      </c>
      <c r="G132" s="21"/>
      <c r="H132" s="21"/>
      <c r="I132" s="21"/>
      <c r="J132" s="141"/>
      <c r="K132" s="21"/>
      <c r="L132" s="69"/>
      <c r="M132" s="141"/>
      <c r="N132" s="59"/>
      <c r="O132" s="59"/>
      <c r="P132" s="105"/>
      <c r="Q132" s="105"/>
      <c r="R132" s="105"/>
      <c r="S132" s="105"/>
      <c r="T132" s="105"/>
      <c r="U132" s="90"/>
      <c r="V132" s="90"/>
      <c r="W132" s="90"/>
      <c r="X132" s="93"/>
      <c r="Y132" s="93"/>
      <c r="Z132" s="93"/>
      <c r="AA132" s="29">
        <v>0</v>
      </c>
      <c r="AB132" s="145">
        <v>0</v>
      </c>
      <c r="AC132" s="145">
        <v>0</v>
      </c>
      <c r="AD132" s="145">
        <v>0</v>
      </c>
      <c r="AE132" s="145">
        <v>0</v>
      </c>
      <c r="AF132" s="145">
        <v>0</v>
      </c>
      <c r="AG132" s="145">
        <v>0</v>
      </c>
      <c r="AH132" s="142">
        <f t="shared" si="12"/>
        <v>0</v>
      </c>
      <c r="AI132" s="141"/>
      <c r="AJ132" s="67"/>
      <c r="AK132" s="67"/>
      <c r="AL132" s="24"/>
      <c r="AM132" s="24"/>
      <c r="AN132" s="24"/>
      <c r="AO132" s="71"/>
      <c r="AP132" s="69"/>
      <c r="AQ132" s="141"/>
      <c r="AR132" s="141"/>
      <c r="AS132" s="141"/>
      <c r="AT132" s="141"/>
      <c r="AU132" s="141"/>
      <c r="AV132" s="141"/>
      <c r="AW132" s="141"/>
      <c r="AX132" s="141"/>
      <c r="AY132" s="141"/>
      <c r="AZ132" s="141"/>
    </row>
    <row r="133" spans="1:52" ht="45" customHeight="1">
      <c r="A133" s="153">
        <f t="shared" si="13"/>
        <v>130</v>
      </c>
      <c r="B133" s="153"/>
      <c r="C133" s="140"/>
      <c r="D133" s="28"/>
      <c r="E133" s="69"/>
      <c r="F133" s="39">
        <v>0</v>
      </c>
      <c r="G133" s="21"/>
      <c r="H133" s="21"/>
      <c r="I133" s="21"/>
      <c r="J133" s="141"/>
      <c r="K133" s="21"/>
      <c r="L133" s="69"/>
      <c r="M133" s="141"/>
      <c r="N133" s="59"/>
      <c r="O133" s="59"/>
      <c r="P133" s="105"/>
      <c r="Q133" s="105"/>
      <c r="R133" s="105"/>
      <c r="S133" s="105"/>
      <c r="T133" s="105"/>
      <c r="U133" s="90"/>
      <c r="V133" s="90"/>
      <c r="W133" s="90"/>
      <c r="X133" s="93"/>
      <c r="Y133" s="93"/>
      <c r="Z133" s="93"/>
      <c r="AA133" s="29">
        <v>0</v>
      </c>
      <c r="AB133" s="145">
        <v>0</v>
      </c>
      <c r="AC133" s="145">
        <v>0</v>
      </c>
      <c r="AD133" s="145">
        <v>0</v>
      </c>
      <c r="AE133" s="145">
        <v>0</v>
      </c>
      <c r="AF133" s="145">
        <v>0</v>
      </c>
      <c r="AG133" s="145">
        <v>0</v>
      </c>
      <c r="AH133" s="142">
        <f t="shared" si="12"/>
        <v>0</v>
      </c>
      <c r="AI133" s="141"/>
      <c r="AJ133" s="67"/>
      <c r="AK133" s="67"/>
      <c r="AL133" s="24"/>
      <c r="AM133" s="24"/>
      <c r="AN133" s="24"/>
      <c r="AO133" s="71"/>
      <c r="AP133" s="69"/>
      <c r="AQ133" s="141"/>
      <c r="AR133" s="141"/>
      <c r="AS133" s="141"/>
      <c r="AT133" s="141"/>
      <c r="AU133" s="141"/>
      <c r="AV133" s="141"/>
      <c r="AW133" s="141"/>
      <c r="AX133" s="141"/>
      <c r="AY133" s="141"/>
      <c r="AZ133" s="141"/>
    </row>
    <row r="134" spans="1:52" ht="45" customHeight="1">
      <c r="A134" s="153">
        <f t="shared" si="13"/>
        <v>131</v>
      </c>
      <c r="B134" s="153"/>
      <c r="C134" s="140"/>
      <c r="D134" s="28"/>
      <c r="E134" s="69"/>
      <c r="F134" s="39">
        <v>0</v>
      </c>
      <c r="G134" s="21"/>
      <c r="H134" s="21"/>
      <c r="I134" s="21"/>
      <c r="J134" s="141"/>
      <c r="K134" s="21"/>
      <c r="L134" s="69"/>
      <c r="M134" s="141"/>
      <c r="N134" s="59"/>
      <c r="O134" s="59"/>
      <c r="P134" s="105"/>
      <c r="Q134" s="105"/>
      <c r="R134" s="105"/>
      <c r="S134" s="105"/>
      <c r="T134" s="105"/>
      <c r="U134" s="90"/>
      <c r="V134" s="90"/>
      <c r="W134" s="90"/>
      <c r="X134" s="93"/>
      <c r="Y134" s="93"/>
      <c r="Z134" s="93"/>
      <c r="AA134" s="29">
        <v>0</v>
      </c>
      <c r="AB134" s="145">
        <v>0</v>
      </c>
      <c r="AC134" s="145">
        <v>0</v>
      </c>
      <c r="AD134" s="145">
        <v>0</v>
      </c>
      <c r="AE134" s="145">
        <v>0</v>
      </c>
      <c r="AF134" s="145">
        <v>0</v>
      </c>
      <c r="AG134" s="145">
        <v>0</v>
      </c>
      <c r="AH134" s="142">
        <f t="shared" si="12"/>
        <v>0</v>
      </c>
      <c r="AI134" s="141"/>
      <c r="AJ134" s="67"/>
      <c r="AK134" s="67"/>
      <c r="AL134" s="24"/>
      <c r="AM134" s="24"/>
      <c r="AN134" s="24"/>
      <c r="AO134" s="71"/>
      <c r="AP134" s="69"/>
      <c r="AQ134" s="141"/>
      <c r="AR134" s="141"/>
      <c r="AS134" s="141"/>
      <c r="AT134" s="141"/>
      <c r="AU134" s="141"/>
      <c r="AV134" s="141"/>
      <c r="AW134" s="141"/>
      <c r="AX134" s="141"/>
      <c r="AY134" s="141"/>
      <c r="AZ134" s="141"/>
    </row>
    <row r="135" spans="1:52" ht="45" customHeight="1">
      <c r="A135" s="153">
        <f t="shared" si="13"/>
        <v>132</v>
      </c>
      <c r="B135" s="153"/>
      <c r="C135" s="140"/>
      <c r="D135" s="28"/>
      <c r="E135" s="69"/>
      <c r="F135" s="39">
        <v>0</v>
      </c>
      <c r="G135" s="21"/>
      <c r="H135" s="21"/>
      <c r="I135" s="21"/>
      <c r="J135" s="141"/>
      <c r="K135" s="21"/>
      <c r="L135" s="69"/>
      <c r="M135" s="141"/>
      <c r="N135" s="59"/>
      <c r="O135" s="59"/>
      <c r="P135" s="105"/>
      <c r="Q135" s="105"/>
      <c r="R135" s="105"/>
      <c r="S135" s="105"/>
      <c r="T135" s="105"/>
      <c r="U135" s="90"/>
      <c r="V135" s="90"/>
      <c r="W135" s="90"/>
      <c r="X135" s="93"/>
      <c r="Y135" s="93"/>
      <c r="Z135" s="93"/>
      <c r="AA135" s="29">
        <v>0</v>
      </c>
      <c r="AB135" s="145">
        <v>0</v>
      </c>
      <c r="AC135" s="145">
        <v>0</v>
      </c>
      <c r="AD135" s="145">
        <v>0</v>
      </c>
      <c r="AE135" s="145">
        <v>0</v>
      </c>
      <c r="AF135" s="145">
        <v>0</v>
      </c>
      <c r="AG135" s="145">
        <v>0</v>
      </c>
      <c r="AH135" s="142">
        <f t="shared" si="12"/>
        <v>0</v>
      </c>
      <c r="AI135" s="141"/>
      <c r="AJ135" s="67"/>
      <c r="AK135" s="67"/>
      <c r="AL135" s="24"/>
      <c r="AM135" s="24"/>
      <c r="AN135" s="24"/>
      <c r="AO135" s="71"/>
      <c r="AP135" s="69"/>
      <c r="AQ135" s="141"/>
      <c r="AR135" s="141"/>
      <c r="AS135" s="141"/>
      <c r="AT135" s="141"/>
      <c r="AU135" s="141"/>
      <c r="AV135" s="141"/>
      <c r="AW135" s="141"/>
      <c r="AX135" s="141"/>
      <c r="AY135" s="141"/>
      <c r="AZ135" s="141"/>
    </row>
    <row r="136" spans="1:52" ht="45" customHeight="1">
      <c r="A136" s="153">
        <f t="shared" si="13"/>
        <v>133</v>
      </c>
      <c r="B136" s="153"/>
      <c r="C136" s="140"/>
      <c r="D136" s="28"/>
      <c r="E136" s="69"/>
      <c r="F136" s="39">
        <v>0</v>
      </c>
      <c r="G136" s="21"/>
      <c r="H136" s="21"/>
      <c r="I136" s="21"/>
      <c r="J136" s="141"/>
      <c r="K136" s="21"/>
      <c r="L136" s="69"/>
      <c r="M136" s="141"/>
      <c r="N136" s="59"/>
      <c r="O136" s="59"/>
      <c r="P136" s="105"/>
      <c r="Q136" s="105"/>
      <c r="R136" s="105"/>
      <c r="S136" s="105"/>
      <c r="T136" s="105"/>
      <c r="U136" s="90"/>
      <c r="V136" s="90"/>
      <c r="W136" s="90"/>
      <c r="X136" s="93"/>
      <c r="Y136" s="93"/>
      <c r="Z136" s="93"/>
      <c r="AA136" s="29">
        <v>0</v>
      </c>
      <c r="AB136" s="145">
        <v>0</v>
      </c>
      <c r="AC136" s="145">
        <v>0</v>
      </c>
      <c r="AD136" s="145">
        <v>0</v>
      </c>
      <c r="AE136" s="145">
        <v>0</v>
      </c>
      <c r="AF136" s="145">
        <v>0</v>
      </c>
      <c r="AG136" s="145">
        <v>0</v>
      </c>
      <c r="AH136" s="142">
        <f t="shared" si="12"/>
        <v>0</v>
      </c>
      <c r="AI136" s="141"/>
      <c r="AJ136" s="67"/>
      <c r="AK136" s="67"/>
      <c r="AL136" s="24"/>
      <c r="AM136" s="24"/>
      <c r="AN136" s="24"/>
      <c r="AO136" s="71"/>
      <c r="AP136" s="69"/>
      <c r="AQ136" s="141"/>
      <c r="AR136" s="141"/>
      <c r="AS136" s="141"/>
      <c r="AT136" s="141"/>
      <c r="AU136" s="141"/>
      <c r="AV136" s="141"/>
      <c r="AW136" s="141"/>
      <c r="AX136" s="141"/>
      <c r="AY136" s="141"/>
      <c r="AZ136" s="141"/>
    </row>
    <row r="137" spans="1:52" ht="45" customHeight="1">
      <c r="A137" s="153">
        <f t="shared" si="13"/>
        <v>134</v>
      </c>
      <c r="B137" s="153"/>
      <c r="C137" s="140"/>
      <c r="D137" s="28"/>
      <c r="E137" s="69"/>
      <c r="F137" s="39">
        <v>0</v>
      </c>
      <c r="G137" s="21"/>
      <c r="H137" s="21"/>
      <c r="I137" s="21"/>
      <c r="J137" s="141"/>
      <c r="K137" s="21"/>
      <c r="L137" s="69"/>
      <c r="M137" s="141"/>
      <c r="N137" s="59"/>
      <c r="O137" s="59"/>
      <c r="P137" s="105"/>
      <c r="Q137" s="105"/>
      <c r="R137" s="105"/>
      <c r="S137" s="105"/>
      <c r="T137" s="105"/>
      <c r="U137" s="90"/>
      <c r="V137" s="90"/>
      <c r="W137" s="90"/>
      <c r="X137" s="93"/>
      <c r="Y137" s="93"/>
      <c r="Z137" s="93"/>
      <c r="AA137" s="29">
        <v>0</v>
      </c>
      <c r="AB137" s="145">
        <v>0</v>
      </c>
      <c r="AC137" s="145">
        <v>0</v>
      </c>
      <c r="AD137" s="145">
        <v>0</v>
      </c>
      <c r="AE137" s="145">
        <v>0</v>
      </c>
      <c r="AF137" s="145">
        <v>0</v>
      </c>
      <c r="AG137" s="145">
        <v>0</v>
      </c>
      <c r="AH137" s="142">
        <f t="shared" si="12"/>
        <v>0</v>
      </c>
      <c r="AI137" s="141"/>
      <c r="AJ137" s="67"/>
      <c r="AK137" s="67"/>
      <c r="AL137" s="24"/>
      <c r="AM137" s="24"/>
      <c r="AN137" s="24"/>
      <c r="AO137" s="71"/>
      <c r="AP137" s="69"/>
      <c r="AQ137" s="141"/>
      <c r="AR137" s="141"/>
      <c r="AS137" s="141"/>
      <c r="AT137" s="141"/>
      <c r="AU137" s="141"/>
      <c r="AV137" s="141"/>
      <c r="AW137" s="141"/>
      <c r="AX137" s="141"/>
      <c r="AY137" s="141"/>
      <c r="AZ137" s="141"/>
    </row>
    <row r="138" spans="1:52" ht="45" customHeight="1">
      <c r="A138" s="153">
        <f t="shared" si="13"/>
        <v>135</v>
      </c>
      <c r="B138" s="153"/>
      <c r="C138" s="140"/>
      <c r="D138" s="28"/>
      <c r="E138" s="69"/>
      <c r="F138" s="39">
        <v>0</v>
      </c>
      <c r="G138" s="21"/>
      <c r="H138" s="21"/>
      <c r="I138" s="21"/>
      <c r="J138" s="141"/>
      <c r="K138" s="21"/>
      <c r="L138" s="69"/>
      <c r="M138" s="141"/>
      <c r="N138" s="59"/>
      <c r="O138" s="59"/>
      <c r="P138" s="105"/>
      <c r="Q138" s="105"/>
      <c r="R138" s="105"/>
      <c r="S138" s="105"/>
      <c r="T138" s="105"/>
      <c r="U138" s="90"/>
      <c r="V138" s="90"/>
      <c r="W138" s="90"/>
      <c r="X138" s="93"/>
      <c r="Y138" s="93"/>
      <c r="Z138" s="93"/>
      <c r="AA138" s="29">
        <v>0</v>
      </c>
      <c r="AB138" s="145">
        <v>0</v>
      </c>
      <c r="AC138" s="145">
        <v>0</v>
      </c>
      <c r="AD138" s="145">
        <v>0</v>
      </c>
      <c r="AE138" s="145">
        <v>0</v>
      </c>
      <c r="AF138" s="145">
        <v>0</v>
      </c>
      <c r="AG138" s="145">
        <v>0</v>
      </c>
      <c r="AH138" s="142">
        <f t="shared" si="12"/>
        <v>0</v>
      </c>
      <c r="AI138" s="141"/>
      <c r="AJ138" s="67"/>
      <c r="AK138" s="67"/>
      <c r="AL138" s="24"/>
      <c r="AM138" s="24"/>
      <c r="AN138" s="24"/>
      <c r="AO138" s="71"/>
      <c r="AP138" s="69"/>
      <c r="AQ138" s="141"/>
      <c r="AR138" s="141"/>
      <c r="AS138" s="141"/>
      <c r="AT138" s="141"/>
      <c r="AU138" s="141"/>
      <c r="AV138" s="141"/>
      <c r="AW138" s="141"/>
      <c r="AX138" s="141"/>
      <c r="AY138" s="141"/>
      <c r="AZ138" s="141"/>
    </row>
    <row r="139" spans="1:52" ht="45" customHeight="1">
      <c r="A139" s="153">
        <f t="shared" si="13"/>
        <v>136</v>
      </c>
      <c r="B139" s="153"/>
      <c r="C139" s="152"/>
      <c r="D139" s="28"/>
      <c r="E139" s="69"/>
      <c r="F139" s="39">
        <v>0</v>
      </c>
      <c r="G139" s="21"/>
      <c r="H139" s="21"/>
      <c r="I139" s="21"/>
      <c r="J139" s="141"/>
      <c r="K139" s="21"/>
      <c r="L139" s="69"/>
      <c r="M139" s="141"/>
      <c r="N139" s="59"/>
      <c r="O139" s="59"/>
      <c r="P139" s="105"/>
      <c r="Q139" s="105"/>
      <c r="R139" s="105"/>
      <c r="S139" s="105"/>
      <c r="T139" s="105"/>
      <c r="U139" s="90"/>
      <c r="V139" s="90"/>
      <c r="W139" s="90"/>
      <c r="X139" s="93"/>
      <c r="Y139" s="93"/>
      <c r="Z139" s="93"/>
      <c r="AA139" s="29">
        <v>0</v>
      </c>
      <c r="AB139" s="145">
        <v>0</v>
      </c>
      <c r="AC139" s="145">
        <v>0</v>
      </c>
      <c r="AD139" s="145">
        <v>0</v>
      </c>
      <c r="AE139" s="145">
        <v>0</v>
      </c>
      <c r="AF139" s="145">
        <v>0</v>
      </c>
      <c r="AG139" s="145">
        <v>0</v>
      </c>
      <c r="AH139" s="142">
        <f t="shared" si="12"/>
        <v>0</v>
      </c>
      <c r="AI139" s="141"/>
      <c r="AJ139" s="67"/>
      <c r="AK139" s="67"/>
      <c r="AL139" s="24"/>
      <c r="AM139" s="24"/>
      <c r="AN139" s="24"/>
      <c r="AO139" s="71"/>
      <c r="AP139" s="69"/>
      <c r="AQ139" s="141"/>
      <c r="AR139" s="141"/>
      <c r="AS139" s="141"/>
      <c r="AT139" s="141"/>
      <c r="AU139" s="141"/>
      <c r="AV139" s="141"/>
      <c r="AW139" s="141"/>
      <c r="AX139" s="141"/>
      <c r="AY139" s="141"/>
      <c r="AZ139" s="141"/>
    </row>
    <row r="140" spans="1:52" ht="45" customHeight="1">
      <c r="A140" s="153">
        <f t="shared" si="13"/>
        <v>137</v>
      </c>
      <c r="B140" s="153"/>
      <c r="C140" s="153"/>
      <c r="D140" s="28"/>
      <c r="E140" s="69"/>
      <c r="F140" s="39">
        <v>0</v>
      </c>
      <c r="G140" s="21"/>
      <c r="H140" s="21"/>
      <c r="I140" s="21"/>
      <c r="J140" s="141"/>
      <c r="K140" s="21"/>
      <c r="L140" s="69"/>
      <c r="M140" s="141"/>
      <c r="N140" s="59"/>
      <c r="O140" s="59"/>
      <c r="P140" s="105"/>
      <c r="Q140" s="105"/>
      <c r="R140" s="105"/>
      <c r="S140" s="105"/>
      <c r="T140" s="105"/>
      <c r="U140" s="90"/>
      <c r="V140" s="90"/>
      <c r="W140" s="90"/>
      <c r="X140" s="93"/>
      <c r="Y140" s="93"/>
      <c r="Z140" s="93"/>
      <c r="AA140" s="29">
        <v>0</v>
      </c>
      <c r="AB140" s="145">
        <v>0</v>
      </c>
      <c r="AC140" s="145">
        <v>0</v>
      </c>
      <c r="AD140" s="145">
        <v>0</v>
      </c>
      <c r="AE140" s="145">
        <v>0</v>
      </c>
      <c r="AF140" s="145">
        <v>0</v>
      </c>
      <c r="AG140" s="145">
        <v>0</v>
      </c>
      <c r="AH140" s="142">
        <f t="shared" si="12"/>
        <v>0</v>
      </c>
      <c r="AI140" s="141"/>
      <c r="AJ140" s="67"/>
      <c r="AK140" s="67"/>
      <c r="AL140" s="24"/>
      <c r="AM140" s="24"/>
      <c r="AN140" s="24"/>
      <c r="AO140" s="71"/>
      <c r="AP140" s="69"/>
      <c r="AQ140" s="141"/>
      <c r="AR140" s="141"/>
      <c r="AS140" s="141"/>
      <c r="AT140" s="141"/>
      <c r="AU140" s="141"/>
      <c r="AV140" s="141"/>
      <c r="AW140" s="141"/>
      <c r="AX140" s="141"/>
      <c r="AY140" s="141"/>
      <c r="AZ140" s="141"/>
    </row>
    <row r="141" spans="1:52" ht="45" customHeight="1">
      <c r="A141" s="153">
        <f t="shared" si="13"/>
        <v>138</v>
      </c>
      <c r="B141" s="153"/>
      <c r="C141" s="153"/>
      <c r="D141" s="28"/>
      <c r="E141" s="69"/>
      <c r="F141" s="39">
        <v>0</v>
      </c>
      <c r="G141" s="21"/>
      <c r="H141" s="21"/>
      <c r="I141" s="21"/>
      <c r="J141" s="141"/>
      <c r="K141" s="21"/>
      <c r="L141" s="69"/>
      <c r="M141" s="141"/>
      <c r="N141" s="59"/>
      <c r="O141" s="59"/>
      <c r="P141" s="105"/>
      <c r="Q141" s="105"/>
      <c r="R141" s="105"/>
      <c r="S141" s="105"/>
      <c r="T141" s="105"/>
      <c r="U141" s="90"/>
      <c r="V141" s="90"/>
      <c r="W141" s="90"/>
      <c r="X141" s="93"/>
      <c r="Y141" s="93"/>
      <c r="Z141" s="93"/>
      <c r="AA141" s="29">
        <v>0</v>
      </c>
      <c r="AB141" s="145">
        <v>0</v>
      </c>
      <c r="AC141" s="145">
        <v>0</v>
      </c>
      <c r="AD141" s="145">
        <v>0</v>
      </c>
      <c r="AE141" s="145">
        <v>0</v>
      </c>
      <c r="AF141" s="145">
        <v>0</v>
      </c>
      <c r="AG141" s="145">
        <v>0</v>
      </c>
      <c r="AH141" s="142">
        <f t="shared" si="12"/>
        <v>0</v>
      </c>
      <c r="AI141" s="141"/>
      <c r="AJ141" s="67"/>
      <c r="AK141" s="67"/>
      <c r="AL141" s="24"/>
      <c r="AM141" s="24"/>
      <c r="AN141" s="24"/>
      <c r="AO141" s="71"/>
      <c r="AP141" s="69"/>
      <c r="AQ141" s="141"/>
      <c r="AR141" s="141"/>
      <c r="AS141" s="141"/>
      <c r="AT141" s="141"/>
      <c r="AU141" s="141"/>
      <c r="AV141" s="141"/>
      <c r="AW141" s="141"/>
      <c r="AX141" s="141"/>
      <c r="AY141" s="141"/>
      <c r="AZ141" s="141"/>
    </row>
    <row r="142" spans="1:52" ht="45" customHeight="1">
      <c r="A142" s="153">
        <f t="shared" si="13"/>
        <v>139</v>
      </c>
      <c r="B142" s="153"/>
      <c r="C142" s="153"/>
      <c r="D142" s="28"/>
      <c r="E142" s="69"/>
      <c r="F142" s="39">
        <v>0</v>
      </c>
      <c r="G142" s="21"/>
      <c r="H142" s="21"/>
      <c r="I142" s="21"/>
      <c r="J142" s="141"/>
      <c r="K142" s="21"/>
      <c r="L142" s="69"/>
      <c r="M142" s="141"/>
      <c r="N142" s="59"/>
      <c r="O142" s="59"/>
      <c r="P142" s="105"/>
      <c r="Q142" s="105"/>
      <c r="R142" s="105"/>
      <c r="S142" s="105"/>
      <c r="T142" s="105"/>
      <c r="U142" s="90"/>
      <c r="V142" s="90"/>
      <c r="W142" s="90"/>
      <c r="X142" s="93"/>
      <c r="Y142" s="93"/>
      <c r="Z142" s="93"/>
      <c r="AA142" s="29">
        <v>0</v>
      </c>
      <c r="AB142" s="145">
        <v>0</v>
      </c>
      <c r="AC142" s="145">
        <v>0</v>
      </c>
      <c r="AD142" s="145">
        <v>0</v>
      </c>
      <c r="AE142" s="145">
        <v>0</v>
      </c>
      <c r="AF142" s="145">
        <v>0</v>
      </c>
      <c r="AG142" s="145">
        <v>0</v>
      </c>
      <c r="AH142" s="142">
        <f t="shared" si="12"/>
        <v>0</v>
      </c>
      <c r="AI142" s="141"/>
      <c r="AJ142" s="67"/>
      <c r="AK142" s="67"/>
      <c r="AL142" s="24"/>
      <c r="AM142" s="24"/>
      <c r="AN142" s="24"/>
      <c r="AO142" s="71"/>
      <c r="AP142" s="69"/>
      <c r="AQ142" s="141"/>
      <c r="AR142" s="141"/>
      <c r="AS142" s="141"/>
      <c r="AT142" s="141"/>
      <c r="AU142" s="141"/>
      <c r="AV142" s="141"/>
      <c r="AW142" s="141"/>
      <c r="AX142" s="141"/>
      <c r="AY142" s="141"/>
      <c r="AZ142" s="141"/>
    </row>
    <row r="143" spans="1:52" ht="45" customHeight="1">
      <c r="A143" s="153">
        <f t="shared" si="13"/>
        <v>140</v>
      </c>
      <c r="B143" s="153"/>
      <c r="C143" s="153"/>
      <c r="D143" s="28"/>
      <c r="E143" s="69"/>
      <c r="F143" s="39">
        <v>0</v>
      </c>
      <c r="G143" s="21"/>
      <c r="H143" s="21"/>
      <c r="I143" s="21"/>
      <c r="J143" s="141"/>
      <c r="K143" s="21"/>
      <c r="L143" s="69"/>
      <c r="M143" s="141"/>
      <c r="N143" s="59"/>
      <c r="O143" s="59"/>
      <c r="P143" s="105"/>
      <c r="Q143" s="105"/>
      <c r="R143" s="105"/>
      <c r="S143" s="105"/>
      <c r="T143" s="105"/>
      <c r="U143" s="90"/>
      <c r="V143" s="90"/>
      <c r="W143" s="90"/>
      <c r="X143" s="93"/>
      <c r="Y143" s="93"/>
      <c r="Z143" s="93"/>
      <c r="AA143" s="29">
        <v>0</v>
      </c>
      <c r="AB143" s="145">
        <v>0</v>
      </c>
      <c r="AC143" s="145">
        <v>0</v>
      </c>
      <c r="AD143" s="145">
        <v>0</v>
      </c>
      <c r="AE143" s="145">
        <v>0</v>
      </c>
      <c r="AF143" s="145">
        <v>0</v>
      </c>
      <c r="AG143" s="145">
        <v>0</v>
      </c>
      <c r="AH143" s="142">
        <f t="shared" si="12"/>
        <v>0</v>
      </c>
      <c r="AI143" s="141"/>
      <c r="AJ143" s="67"/>
      <c r="AK143" s="67"/>
      <c r="AL143" s="24"/>
      <c r="AM143" s="24"/>
      <c r="AN143" s="24"/>
      <c r="AO143" s="71"/>
      <c r="AP143" s="69"/>
      <c r="AQ143" s="141"/>
      <c r="AR143" s="141"/>
      <c r="AS143" s="141"/>
      <c r="AT143" s="141"/>
      <c r="AU143" s="141"/>
      <c r="AV143" s="141"/>
      <c r="AW143" s="141"/>
      <c r="AX143" s="141"/>
      <c r="AY143" s="141"/>
      <c r="AZ143" s="141"/>
    </row>
    <row r="144" spans="1:52" ht="45" customHeight="1">
      <c r="A144" s="153">
        <f t="shared" si="13"/>
        <v>141</v>
      </c>
      <c r="B144" s="153"/>
      <c r="C144" s="153"/>
      <c r="D144" s="28"/>
      <c r="E144" s="69"/>
      <c r="F144" s="39">
        <v>0</v>
      </c>
      <c r="G144" s="21"/>
      <c r="H144" s="21"/>
      <c r="I144" s="21"/>
      <c r="J144" s="141"/>
      <c r="K144" s="21"/>
      <c r="L144" s="69"/>
      <c r="M144" s="141"/>
      <c r="N144" s="59"/>
      <c r="O144" s="59"/>
      <c r="P144" s="105"/>
      <c r="Q144" s="105"/>
      <c r="R144" s="105"/>
      <c r="S144" s="105"/>
      <c r="T144" s="105"/>
      <c r="U144" s="90"/>
      <c r="V144" s="90"/>
      <c r="W144" s="90"/>
      <c r="X144" s="93"/>
      <c r="Y144" s="93"/>
      <c r="Z144" s="93"/>
      <c r="AA144" s="29">
        <v>0</v>
      </c>
      <c r="AB144" s="145">
        <v>0</v>
      </c>
      <c r="AC144" s="145">
        <v>0</v>
      </c>
      <c r="AD144" s="145">
        <v>0</v>
      </c>
      <c r="AE144" s="145">
        <v>0</v>
      </c>
      <c r="AF144" s="145">
        <v>0</v>
      </c>
      <c r="AG144" s="145">
        <v>0</v>
      </c>
      <c r="AH144" s="142">
        <f t="shared" si="12"/>
        <v>0</v>
      </c>
      <c r="AI144" s="141"/>
      <c r="AJ144" s="67"/>
      <c r="AK144" s="67"/>
      <c r="AL144" s="24"/>
      <c r="AM144" s="24"/>
      <c r="AN144" s="24"/>
      <c r="AO144" s="71"/>
      <c r="AP144" s="69"/>
      <c r="AQ144" s="141"/>
      <c r="AR144" s="141"/>
      <c r="AS144" s="141"/>
      <c r="AT144" s="141"/>
      <c r="AU144" s="141"/>
      <c r="AV144" s="141"/>
      <c r="AW144" s="141"/>
      <c r="AX144" s="141"/>
      <c r="AY144" s="141"/>
      <c r="AZ144" s="141"/>
    </row>
    <row r="145" spans="1:52" ht="45" customHeight="1">
      <c r="A145" s="153">
        <f t="shared" si="13"/>
        <v>142</v>
      </c>
      <c r="B145" s="153"/>
      <c r="C145" s="153"/>
      <c r="D145" s="28"/>
      <c r="E145" s="69"/>
      <c r="F145" s="39">
        <v>0</v>
      </c>
      <c r="G145" s="21"/>
      <c r="H145" s="21"/>
      <c r="I145" s="21"/>
      <c r="J145" s="141"/>
      <c r="K145" s="21"/>
      <c r="L145" s="69"/>
      <c r="M145" s="141"/>
      <c r="N145" s="59"/>
      <c r="O145" s="59"/>
      <c r="P145" s="105"/>
      <c r="Q145" s="105"/>
      <c r="R145" s="105"/>
      <c r="S145" s="105"/>
      <c r="T145" s="105"/>
      <c r="U145" s="90"/>
      <c r="V145" s="90"/>
      <c r="W145" s="90"/>
      <c r="X145" s="93"/>
      <c r="Y145" s="93"/>
      <c r="Z145" s="93"/>
      <c r="AA145" s="29">
        <v>0</v>
      </c>
      <c r="AB145" s="145">
        <v>0</v>
      </c>
      <c r="AC145" s="145">
        <v>0</v>
      </c>
      <c r="AD145" s="145">
        <v>0</v>
      </c>
      <c r="AE145" s="145">
        <v>0</v>
      </c>
      <c r="AF145" s="145">
        <v>0</v>
      </c>
      <c r="AG145" s="145">
        <v>0</v>
      </c>
      <c r="AH145" s="142">
        <f t="shared" si="12"/>
        <v>0</v>
      </c>
      <c r="AI145" s="141"/>
      <c r="AJ145" s="67"/>
      <c r="AK145" s="67"/>
      <c r="AL145" s="24"/>
      <c r="AM145" s="24"/>
      <c r="AN145" s="24"/>
      <c r="AO145" s="71"/>
      <c r="AP145" s="69"/>
      <c r="AQ145" s="141"/>
      <c r="AR145" s="141"/>
      <c r="AS145" s="141"/>
      <c r="AT145" s="141"/>
      <c r="AU145" s="141"/>
      <c r="AV145" s="141"/>
      <c r="AW145" s="141"/>
      <c r="AX145" s="141"/>
      <c r="AY145" s="141"/>
      <c r="AZ145" s="141"/>
    </row>
    <row r="146" spans="1:52" ht="45" customHeight="1">
      <c r="A146" s="153">
        <f t="shared" si="13"/>
        <v>143</v>
      </c>
      <c r="B146" s="153"/>
      <c r="C146" s="153"/>
      <c r="D146" s="28"/>
      <c r="E146" s="69"/>
      <c r="F146" s="39">
        <v>0</v>
      </c>
      <c r="G146" s="21"/>
      <c r="H146" s="21"/>
      <c r="I146" s="21"/>
      <c r="J146" s="141"/>
      <c r="K146" s="21"/>
      <c r="L146" s="69"/>
      <c r="M146" s="141"/>
      <c r="N146" s="59"/>
      <c r="O146" s="59"/>
      <c r="P146" s="105"/>
      <c r="Q146" s="105"/>
      <c r="R146" s="105"/>
      <c r="S146" s="105"/>
      <c r="T146" s="105"/>
      <c r="U146" s="90"/>
      <c r="V146" s="90"/>
      <c r="W146" s="90"/>
      <c r="X146" s="93"/>
      <c r="Y146" s="93"/>
      <c r="Z146" s="93"/>
      <c r="AA146" s="29">
        <v>0</v>
      </c>
      <c r="AB146" s="145">
        <v>0</v>
      </c>
      <c r="AC146" s="145">
        <v>0</v>
      </c>
      <c r="AD146" s="145">
        <v>0</v>
      </c>
      <c r="AE146" s="145">
        <v>0</v>
      </c>
      <c r="AF146" s="145">
        <v>0</v>
      </c>
      <c r="AG146" s="145">
        <v>0</v>
      </c>
      <c r="AH146" s="142">
        <f t="shared" ref="AH146:AH177" si="14">AVERAGE(AA146:AG146)</f>
        <v>0</v>
      </c>
      <c r="AI146" s="141"/>
      <c r="AJ146" s="67"/>
      <c r="AK146" s="67"/>
      <c r="AL146" s="24"/>
      <c r="AM146" s="24"/>
      <c r="AN146" s="24"/>
      <c r="AO146" s="71"/>
      <c r="AP146" s="69"/>
      <c r="AQ146" s="141"/>
      <c r="AR146" s="141"/>
      <c r="AS146" s="141"/>
      <c r="AT146" s="141"/>
      <c r="AU146" s="141"/>
      <c r="AV146" s="141"/>
      <c r="AW146" s="141"/>
      <c r="AX146" s="141"/>
      <c r="AY146" s="141"/>
      <c r="AZ146" s="141"/>
    </row>
    <row r="147" spans="1:52" ht="45" customHeight="1">
      <c r="A147" s="153">
        <f t="shared" si="13"/>
        <v>144</v>
      </c>
      <c r="B147" s="153"/>
      <c r="C147" s="153"/>
      <c r="D147" s="28"/>
      <c r="E147" s="69"/>
      <c r="F147" s="39">
        <v>0</v>
      </c>
      <c r="G147" s="21"/>
      <c r="H147" s="21"/>
      <c r="I147" s="21"/>
      <c r="J147" s="141"/>
      <c r="K147" s="21"/>
      <c r="L147" s="69"/>
      <c r="M147" s="141"/>
      <c r="N147" s="59">
        <v>0</v>
      </c>
      <c r="O147" s="59"/>
      <c r="P147" s="105"/>
      <c r="Q147" s="105"/>
      <c r="R147" s="105"/>
      <c r="S147" s="105"/>
      <c r="T147" s="105"/>
      <c r="U147" s="90"/>
      <c r="V147" s="90"/>
      <c r="W147" s="90"/>
      <c r="X147" s="93"/>
      <c r="Y147" s="93"/>
      <c r="Z147" s="93"/>
      <c r="AA147" s="29">
        <v>0</v>
      </c>
      <c r="AB147" s="145">
        <v>0</v>
      </c>
      <c r="AC147" s="145">
        <v>0</v>
      </c>
      <c r="AD147" s="145">
        <v>0</v>
      </c>
      <c r="AE147" s="145">
        <v>0</v>
      </c>
      <c r="AF147" s="145">
        <v>0</v>
      </c>
      <c r="AG147" s="145">
        <v>0</v>
      </c>
      <c r="AH147" s="142">
        <f t="shared" si="14"/>
        <v>0</v>
      </c>
      <c r="AI147" s="141"/>
      <c r="AJ147" s="67"/>
      <c r="AK147" s="67"/>
      <c r="AL147" s="24"/>
      <c r="AM147" s="24"/>
      <c r="AN147" s="24"/>
      <c r="AO147" s="71"/>
      <c r="AP147" s="69"/>
      <c r="AQ147" s="141"/>
      <c r="AR147" s="141"/>
      <c r="AS147" s="141"/>
      <c r="AT147" s="141"/>
      <c r="AU147" s="141"/>
      <c r="AV147" s="141"/>
      <c r="AW147" s="141"/>
      <c r="AX147" s="141"/>
      <c r="AY147" s="141"/>
      <c r="AZ147" s="141"/>
    </row>
    <row r="148" spans="1:52" ht="45" customHeight="1">
      <c r="A148" s="153">
        <f t="shared" si="13"/>
        <v>145</v>
      </c>
      <c r="B148" s="153"/>
      <c r="C148" s="153"/>
      <c r="D148" s="28"/>
      <c r="E148" s="69"/>
      <c r="F148" s="39">
        <v>0</v>
      </c>
      <c r="G148" s="21"/>
      <c r="H148" s="21"/>
      <c r="I148" s="21"/>
      <c r="J148" s="141"/>
      <c r="K148" s="21"/>
      <c r="L148" s="69"/>
      <c r="M148" s="141"/>
      <c r="N148" s="59">
        <v>0.5</v>
      </c>
      <c r="O148" s="59"/>
      <c r="P148" s="105"/>
      <c r="Q148" s="105"/>
      <c r="R148" s="105"/>
      <c r="S148" s="105"/>
      <c r="T148" s="105"/>
      <c r="U148" s="90"/>
      <c r="V148" s="90"/>
      <c r="W148" s="90"/>
      <c r="X148" s="93"/>
      <c r="Y148" s="93"/>
      <c r="Z148" s="93"/>
      <c r="AA148" s="29">
        <v>0</v>
      </c>
      <c r="AB148" s="145">
        <v>0</v>
      </c>
      <c r="AC148" s="145">
        <v>0</v>
      </c>
      <c r="AD148" s="145">
        <v>0</v>
      </c>
      <c r="AE148" s="145">
        <v>0</v>
      </c>
      <c r="AF148" s="145">
        <v>0</v>
      </c>
      <c r="AG148" s="145">
        <v>0</v>
      </c>
      <c r="AH148" s="142">
        <f t="shared" si="14"/>
        <v>0</v>
      </c>
      <c r="AI148" s="141"/>
      <c r="AJ148" s="67"/>
      <c r="AK148" s="67"/>
      <c r="AL148" s="24"/>
      <c r="AM148" s="24"/>
      <c r="AN148" s="24"/>
      <c r="AO148" s="71"/>
      <c r="AP148" s="69"/>
      <c r="AQ148" s="141"/>
      <c r="AR148" s="141"/>
      <c r="AS148" s="141"/>
      <c r="AT148" s="141"/>
      <c r="AU148" s="141"/>
      <c r="AV148" s="141"/>
      <c r="AW148" s="141"/>
      <c r="AX148" s="141"/>
      <c r="AY148" s="141"/>
      <c r="AZ148" s="141"/>
    </row>
    <row r="149" spans="1:52" ht="45" customHeight="1">
      <c r="A149" s="153">
        <f t="shared" si="13"/>
        <v>146</v>
      </c>
      <c r="B149" s="153"/>
      <c r="C149" s="153"/>
      <c r="D149" s="28"/>
      <c r="E149" s="69"/>
      <c r="F149" s="39">
        <v>0</v>
      </c>
      <c r="G149" s="21"/>
      <c r="H149" s="21"/>
      <c r="I149" s="21"/>
      <c r="J149" s="141"/>
      <c r="K149" s="21"/>
      <c r="L149" s="69"/>
      <c r="M149" s="141"/>
      <c r="N149" s="59">
        <v>1</v>
      </c>
      <c r="O149" s="59"/>
      <c r="P149" s="105"/>
      <c r="Q149" s="105"/>
      <c r="R149" s="105"/>
      <c r="S149" s="105"/>
      <c r="T149" s="105"/>
      <c r="U149" s="90"/>
      <c r="V149" s="90"/>
      <c r="W149" s="90"/>
      <c r="X149" s="93"/>
      <c r="Y149" s="93"/>
      <c r="Z149" s="93"/>
      <c r="AA149" s="29">
        <v>0</v>
      </c>
      <c r="AB149" s="145">
        <v>0</v>
      </c>
      <c r="AC149" s="145">
        <v>0</v>
      </c>
      <c r="AD149" s="145">
        <v>0</v>
      </c>
      <c r="AE149" s="145">
        <v>0</v>
      </c>
      <c r="AF149" s="145">
        <v>0</v>
      </c>
      <c r="AG149" s="145">
        <v>0</v>
      </c>
      <c r="AH149" s="142">
        <f t="shared" si="14"/>
        <v>0</v>
      </c>
      <c r="AI149" s="141"/>
      <c r="AJ149" s="67"/>
      <c r="AK149" s="67"/>
      <c r="AL149" s="24"/>
      <c r="AM149" s="24"/>
      <c r="AN149" s="24"/>
      <c r="AO149" s="71"/>
      <c r="AP149" s="69"/>
      <c r="AQ149" s="141"/>
      <c r="AR149" s="141"/>
      <c r="AS149" s="141"/>
      <c r="AT149" s="141"/>
      <c r="AU149" s="141"/>
      <c r="AV149" s="141"/>
      <c r="AW149" s="141"/>
      <c r="AX149" s="141"/>
      <c r="AY149" s="141"/>
      <c r="AZ149" s="141"/>
    </row>
    <row r="150" spans="1:52" ht="45" customHeight="1">
      <c r="A150" s="153">
        <f t="shared" si="13"/>
        <v>147</v>
      </c>
      <c r="B150" s="153"/>
      <c r="C150" s="153"/>
      <c r="D150" s="28"/>
      <c r="E150" s="69"/>
      <c r="F150" s="39">
        <v>0</v>
      </c>
      <c r="G150" s="21"/>
      <c r="H150" s="21"/>
      <c r="I150" s="21"/>
      <c r="J150" s="141"/>
      <c r="K150" s="21"/>
      <c r="L150" s="69"/>
      <c r="M150" s="141"/>
      <c r="N150" s="59">
        <v>1.5</v>
      </c>
      <c r="O150" s="59"/>
      <c r="P150" s="105"/>
      <c r="Q150" s="105"/>
      <c r="R150" s="105"/>
      <c r="S150" s="105"/>
      <c r="T150" s="105"/>
      <c r="U150" s="90"/>
      <c r="V150" s="90"/>
      <c r="W150" s="90"/>
      <c r="X150" s="93"/>
      <c r="Y150" s="93"/>
      <c r="Z150" s="93"/>
      <c r="AA150" s="29">
        <v>0</v>
      </c>
      <c r="AB150" s="145">
        <v>0</v>
      </c>
      <c r="AC150" s="145">
        <v>0</v>
      </c>
      <c r="AD150" s="145">
        <v>0</v>
      </c>
      <c r="AE150" s="145">
        <v>0</v>
      </c>
      <c r="AF150" s="145">
        <v>0</v>
      </c>
      <c r="AG150" s="145">
        <v>0</v>
      </c>
      <c r="AH150" s="142">
        <f t="shared" si="14"/>
        <v>0</v>
      </c>
      <c r="AI150" s="141"/>
      <c r="AJ150" s="67"/>
      <c r="AK150" s="67"/>
      <c r="AL150" s="24"/>
      <c r="AM150" s="24"/>
      <c r="AN150" s="24"/>
      <c r="AO150" s="71"/>
      <c r="AP150" s="69"/>
      <c r="AQ150" s="141"/>
      <c r="AR150" s="141"/>
      <c r="AS150" s="141"/>
      <c r="AT150" s="141"/>
      <c r="AU150" s="141"/>
      <c r="AV150" s="141"/>
      <c r="AW150" s="141"/>
      <c r="AX150" s="141"/>
      <c r="AY150" s="141"/>
      <c r="AZ150" s="141"/>
    </row>
    <row r="151" spans="1:52" ht="45" customHeight="1">
      <c r="A151" s="153">
        <f t="shared" si="13"/>
        <v>148</v>
      </c>
      <c r="B151" s="153"/>
      <c r="C151" s="153"/>
      <c r="D151" s="28"/>
      <c r="E151" s="69"/>
      <c r="F151" s="39">
        <v>0</v>
      </c>
      <c r="G151" s="21"/>
      <c r="H151" s="21"/>
      <c r="I151" s="21"/>
      <c r="J151" s="141"/>
      <c r="K151" s="21"/>
      <c r="L151" s="69"/>
      <c r="M151" s="141"/>
      <c r="N151" s="59">
        <v>2</v>
      </c>
      <c r="O151" s="59"/>
      <c r="P151" s="105"/>
      <c r="Q151" s="105"/>
      <c r="R151" s="105"/>
      <c r="S151" s="105"/>
      <c r="T151" s="105"/>
      <c r="U151" s="90"/>
      <c r="V151" s="90"/>
      <c r="W151" s="90"/>
      <c r="X151" s="93"/>
      <c r="Y151" s="93"/>
      <c r="Z151" s="93"/>
      <c r="AA151" s="29">
        <v>0</v>
      </c>
      <c r="AB151" s="145">
        <v>0</v>
      </c>
      <c r="AC151" s="145">
        <v>0</v>
      </c>
      <c r="AD151" s="145">
        <v>0</v>
      </c>
      <c r="AE151" s="145">
        <v>0</v>
      </c>
      <c r="AF151" s="145">
        <v>0</v>
      </c>
      <c r="AG151" s="145">
        <v>0</v>
      </c>
      <c r="AH151" s="142">
        <f t="shared" si="14"/>
        <v>0</v>
      </c>
      <c r="AI151" s="141"/>
      <c r="AJ151" s="67"/>
      <c r="AK151" s="67"/>
      <c r="AL151" s="24"/>
      <c r="AM151" s="24"/>
      <c r="AN151" s="24"/>
      <c r="AO151" s="71"/>
      <c r="AP151" s="69"/>
      <c r="AQ151" s="141"/>
      <c r="AR151" s="141"/>
      <c r="AS151" s="141"/>
      <c r="AT151" s="141"/>
      <c r="AU151" s="141"/>
      <c r="AV151" s="141"/>
      <c r="AW151" s="141"/>
      <c r="AX151" s="141"/>
      <c r="AY151" s="141"/>
      <c r="AZ151" s="141"/>
    </row>
    <row r="152" spans="1:52" ht="45" customHeight="1">
      <c r="A152" s="153">
        <f t="shared" si="13"/>
        <v>149</v>
      </c>
      <c r="B152" s="153"/>
      <c r="C152" s="153"/>
      <c r="D152" s="28"/>
      <c r="E152" s="69"/>
      <c r="F152" s="39">
        <v>0</v>
      </c>
      <c r="G152" s="21"/>
      <c r="H152" s="21"/>
      <c r="I152" s="21"/>
      <c r="J152" s="141"/>
      <c r="K152" s="21"/>
      <c r="L152" s="69"/>
      <c r="M152" s="141"/>
      <c r="N152" s="59">
        <v>2.5</v>
      </c>
      <c r="O152" s="59"/>
      <c r="P152" s="105"/>
      <c r="Q152" s="105"/>
      <c r="R152" s="105"/>
      <c r="S152" s="105"/>
      <c r="T152" s="105"/>
      <c r="U152" s="90"/>
      <c r="V152" s="90"/>
      <c r="W152" s="90"/>
      <c r="X152" s="93"/>
      <c r="Y152" s="93"/>
      <c r="Z152" s="93"/>
      <c r="AA152" s="29">
        <v>0</v>
      </c>
      <c r="AB152" s="145">
        <v>0</v>
      </c>
      <c r="AC152" s="145">
        <v>0</v>
      </c>
      <c r="AD152" s="145">
        <v>0</v>
      </c>
      <c r="AE152" s="145">
        <v>0</v>
      </c>
      <c r="AF152" s="145">
        <v>0</v>
      </c>
      <c r="AG152" s="145">
        <v>0</v>
      </c>
      <c r="AH152" s="142">
        <f t="shared" si="14"/>
        <v>0</v>
      </c>
      <c r="AI152" s="141"/>
      <c r="AJ152" s="67"/>
      <c r="AK152" s="67"/>
      <c r="AL152" s="24"/>
      <c r="AM152" s="24"/>
      <c r="AN152" s="24"/>
      <c r="AO152" s="71"/>
      <c r="AP152" s="69"/>
      <c r="AQ152" s="141"/>
      <c r="AR152" s="141"/>
      <c r="AS152" s="141"/>
      <c r="AT152" s="141"/>
      <c r="AU152" s="141"/>
      <c r="AV152" s="141"/>
      <c r="AW152" s="141"/>
      <c r="AX152" s="141"/>
      <c r="AY152" s="141"/>
      <c r="AZ152" s="141"/>
    </row>
    <row r="153" spans="1:52" ht="45" customHeight="1">
      <c r="A153" s="153">
        <f t="shared" si="13"/>
        <v>150</v>
      </c>
      <c r="B153" s="153"/>
      <c r="C153" s="153"/>
      <c r="D153" s="28"/>
      <c r="E153" s="69"/>
      <c r="F153" s="39">
        <v>0</v>
      </c>
      <c r="G153" s="25"/>
      <c r="H153" s="25"/>
      <c r="I153" s="25"/>
      <c r="J153" s="154"/>
      <c r="K153" s="25"/>
      <c r="L153" s="69"/>
      <c r="M153" s="141"/>
      <c r="N153" s="59">
        <v>3</v>
      </c>
      <c r="O153" s="59"/>
      <c r="P153" s="105"/>
      <c r="Q153" s="105"/>
      <c r="R153" s="105"/>
      <c r="S153" s="105"/>
      <c r="T153" s="105"/>
      <c r="U153" s="90"/>
      <c r="V153" s="90"/>
      <c r="W153" s="90"/>
      <c r="X153" s="93"/>
      <c r="Y153" s="94"/>
      <c r="Z153" s="94"/>
      <c r="AA153" s="29">
        <v>0</v>
      </c>
      <c r="AB153" s="145">
        <v>0</v>
      </c>
      <c r="AC153" s="145">
        <v>0</v>
      </c>
      <c r="AD153" s="145">
        <v>0</v>
      </c>
      <c r="AE153" s="145">
        <v>0</v>
      </c>
      <c r="AF153" s="145">
        <v>0</v>
      </c>
      <c r="AG153" s="145">
        <v>0</v>
      </c>
      <c r="AH153" s="142">
        <f t="shared" si="14"/>
        <v>0</v>
      </c>
      <c r="AI153" s="141"/>
      <c r="AJ153" s="67"/>
      <c r="AK153" s="67"/>
      <c r="AL153" s="24"/>
      <c r="AM153" s="24"/>
      <c r="AN153" s="24"/>
      <c r="AO153" s="71"/>
      <c r="AP153" s="69"/>
      <c r="AQ153" s="141"/>
      <c r="AR153" s="141"/>
      <c r="AS153" s="141"/>
      <c r="AT153" s="141"/>
      <c r="AU153" s="141"/>
      <c r="AV153" s="141"/>
      <c r="AW153" s="141"/>
      <c r="AX153" s="141"/>
      <c r="AY153" s="141"/>
      <c r="AZ153" s="141"/>
    </row>
    <row r="154" spans="1:52" ht="45" customHeight="1">
      <c r="A154" s="153">
        <f t="shared" si="13"/>
        <v>151</v>
      </c>
      <c r="B154" s="153"/>
      <c r="C154" s="153"/>
      <c r="D154" s="28"/>
      <c r="E154" s="69"/>
      <c r="F154" s="39">
        <v>0</v>
      </c>
      <c r="G154" s="21"/>
      <c r="H154" s="21"/>
      <c r="I154" s="21"/>
      <c r="J154" s="141"/>
      <c r="K154" s="21"/>
      <c r="L154" s="69"/>
      <c r="M154" s="141"/>
      <c r="N154" s="59">
        <v>3.5</v>
      </c>
      <c r="O154" s="59"/>
      <c r="P154" s="105"/>
      <c r="Q154" s="105"/>
      <c r="R154" s="105"/>
      <c r="S154" s="105"/>
      <c r="T154" s="105"/>
      <c r="U154" s="90"/>
      <c r="V154" s="90"/>
      <c r="W154" s="90"/>
      <c r="X154" s="93"/>
      <c r="Y154" s="96"/>
      <c r="Z154" s="96"/>
      <c r="AA154" s="29">
        <v>0</v>
      </c>
      <c r="AB154" s="145">
        <v>0</v>
      </c>
      <c r="AC154" s="145">
        <v>0</v>
      </c>
      <c r="AD154" s="145">
        <v>0</v>
      </c>
      <c r="AE154" s="145">
        <v>0</v>
      </c>
      <c r="AF154" s="145">
        <v>0</v>
      </c>
      <c r="AG154" s="145">
        <v>0</v>
      </c>
      <c r="AH154" s="142">
        <f t="shared" si="14"/>
        <v>0</v>
      </c>
      <c r="AI154" s="141"/>
      <c r="AJ154" s="67"/>
      <c r="AK154" s="67"/>
      <c r="AL154" s="24"/>
      <c r="AM154" s="24"/>
      <c r="AN154" s="24"/>
      <c r="AO154" s="71"/>
      <c r="AP154" s="69"/>
      <c r="AQ154" s="141"/>
      <c r="AR154" s="141"/>
      <c r="AS154" s="141"/>
      <c r="AT154" s="141"/>
      <c r="AU154" s="141"/>
      <c r="AV154" s="141"/>
      <c r="AW154" s="141"/>
      <c r="AX154" s="141"/>
      <c r="AY154" s="141"/>
      <c r="AZ154" s="141"/>
    </row>
    <row r="155" spans="1:52" ht="45" customHeight="1">
      <c r="A155" s="153">
        <f t="shared" si="13"/>
        <v>152</v>
      </c>
      <c r="B155" s="153"/>
      <c r="C155" s="153"/>
      <c r="D155" s="28"/>
      <c r="E155" s="69"/>
      <c r="F155" s="39">
        <v>0</v>
      </c>
      <c r="G155" s="21"/>
      <c r="H155" s="21"/>
      <c r="I155" s="21"/>
      <c r="J155" s="141"/>
      <c r="K155" s="21"/>
      <c r="L155" s="69"/>
      <c r="M155" s="141"/>
      <c r="N155" s="59">
        <v>4</v>
      </c>
      <c r="O155" s="59"/>
      <c r="P155" s="105"/>
      <c r="Q155" s="105"/>
      <c r="R155" s="105"/>
      <c r="S155" s="105"/>
      <c r="T155" s="105"/>
      <c r="U155" s="90"/>
      <c r="V155" s="90"/>
      <c r="W155" s="90"/>
      <c r="X155" s="93"/>
      <c r="Y155" s="96"/>
      <c r="Z155" s="96"/>
      <c r="AA155" s="29">
        <v>0</v>
      </c>
      <c r="AB155" s="145">
        <v>0</v>
      </c>
      <c r="AC155" s="145">
        <v>0</v>
      </c>
      <c r="AD155" s="145">
        <v>0</v>
      </c>
      <c r="AE155" s="145">
        <v>0</v>
      </c>
      <c r="AF155" s="145">
        <v>0</v>
      </c>
      <c r="AG155" s="145">
        <v>0</v>
      </c>
      <c r="AH155" s="142">
        <f t="shared" si="14"/>
        <v>0</v>
      </c>
      <c r="AI155" s="141"/>
      <c r="AJ155" s="67"/>
      <c r="AK155" s="67"/>
      <c r="AL155" s="24"/>
      <c r="AM155" s="24"/>
      <c r="AN155" s="24"/>
      <c r="AO155" s="71"/>
      <c r="AP155" s="69"/>
      <c r="AQ155" s="141"/>
      <c r="AR155" s="141"/>
      <c r="AS155" s="141"/>
      <c r="AT155" s="141"/>
      <c r="AU155" s="141"/>
      <c r="AV155" s="141"/>
      <c r="AW155" s="141"/>
      <c r="AX155" s="141"/>
      <c r="AY155" s="141"/>
      <c r="AZ155" s="141"/>
    </row>
    <row r="156" spans="1:52" ht="45" customHeight="1">
      <c r="A156" s="153">
        <f t="shared" si="13"/>
        <v>153</v>
      </c>
      <c r="B156" s="153"/>
      <c r="C156" s="28"/>
      <c r="D156" s="28"/>
      <c r="E156" s="69"/>
      <c r="F156" s="39">
        <v>0</v>
      </c>
      <c r="G156" s="21"/>
      <c r="H156" s="21"/>
      <c r="I156" s="21"/>
      <c r="J156" s="141"/>
      <c r="K156" s="21"/>
      <c r="L156" s="69"/>
      <c r="M156" s="141"/>
      <c r="N156" s="59">
        <v>4.5</v>
      </c>
      <c r="O156" s="59"/>
      <c r="P156" s="105"/>
      <c r="Q156" s="105"/>
      <c r="R156" s="105"/>
      <c r="S156" s="105"/>
      <c r="T156" s="105"/>
      <c r="U156" s="92"/>
      <c r="V156" s="90"/>
      <c r="W156" s="90"/>
      <c r="X156" s="93"/>
      <c r="Y156" s="96"/>
      <c r="Z156" s="96"/>
      <c r="AA156" s="29">
        <v>0</v>
      </c>
      <c r="AB156" s="145">
        <v>0</v>
      </c>
      <c r="AC156" s="145">
        <v>0</v>
      </c>
      <c r="AD156" s="145">
        <v>0</v>
      </c>
      <c r="AE156" s="145">
        <v>0</v>
      </c>
      <c r="AF156" s="145">
        <v>0</v>
      </c>
      <c r="AG156" s="145">
        <v>0</v>
      </c>
      <c r="AH156" s="142">
        <f t="shared" si="14"/>
        <v>0</v>
      </c>
      <c r="AI156" s="141"/>
      <c r="AJ156" s="67"/>
      <c r="AK156" s="67"/>
      <c r="AL156" s="24"/>
      <c r="AM156" s="24"/>
      <c r="AN156" s="24"/>
      <c r="AO156" s="71"/>
      <c r="AP156" s="69"/>
      <c r="AQ156" s="141"/>
      <c r="AR156" s="141"/>
      <c r="AS156" s="141"/>
      <c r="AT156" s="141"/>
      <c r="AU156" s="141"/>
      <c r="AV156" s="141"/>
      <c r="AW156" s="141"/>
      <c r="AX156" s="141"/>
      <c r="AY156" s="141"/>
      <c r="AZ156" s="141"/>
    </row>
    <row r="157" spans="1:52" ht="45" customHeight="1">
      <c r="A157" s="153">
        <f t="shared" si="13"/>
        <v>154</v>
      </c>
      <c r="B157" s="153"/>
      <c r="C157" s="140"/>
      <c r="D157" s="140"/>
      <c r="E157" s="69"/>
      <c r="F157" s="70">
        <v>0</v>
      </c>
      <c r="G157" s="21"/>
      <c r="H157" s="21"/>
      <c r="I157" s="21"/>
      <c r="J157" s="141"/>
      <c r="K157" s="21"/>
      <c r="L157" s="69"/>
      <c r="M157" s="141"/>
      <c r="N157" s="59">
        <v>5</v>
      </c>
      <c r="O157" s="59"/>
      <c r="P157" s="105"/>
      <c r="Q157" s="105"/>
      <c r="R157" s="105"/>
      <c r="S157" s="105"/>
      <c r="T157" s="105"/>
      <c r="U157" s="90"/>
      <c r="V157" s="91"/>
      <c r="W157" s="91"/>
      <c r="X157" s="93"/>
      <c r="Y157" s="96"/>
      <c r="Z157" s="96"/>
      <c r="AA157" s="29">
        <v>0</v>
      </c>
      <c r="AB157" s="145">
        <v>0</v>
      </c>
      <c r="AC157" s="145">
        <v>0</v>
      </c>
      <c r="AD157" s="145">
        <v>0</v>
      </c>
      <c r="AE157" s="145">
        <v>0</v>
      </c>
      <c r="AF157" s="145">
        <v>0</v>
      </c>
      <c r="AG157" s="145">
        <v>0</v>
      </c>
      <c r="AH157" s="142">
        <f t="shared" si="14"/>
        <v>0</v>
      </c>
      <c r="AI157" s="141"/>
      <c r="AJ157" s="67"/>
      <c r="AK157" s="67"/>
      <c r="AL157" s="24"/>
      <c r="AM157" s="24"/>
      <c r="AN157" s="24"/>
      <c r="AO157" s="71"/>
      <c r="AP157" s="69"/>
      <c r="AQ157" s="141"/>
      <c r="AR157" s="141"/>
      <c r="AS157" s="141"/>
      <c r="AT157" s="141"/>
      <c r="AU157" s="141"/>
      <c r="AV157" s="141"/>
      <c r="AW157" s="141"/>
      <c r="AX157" s="141"/>
      <c r="AY157" s="141"/>
      <c r="AZ157" s="141"/>
    </row>
  </sheetData>
  <autoFilter ref="A3:AZ157" xr:uid="{696602BA-561E-4DCB-9536-28EA9CF1990B}">
    <sortState xmlns:xlrd2="http://schemas.microsoft.com/office/spreadsheetml/2017/richdata2" ref="A4:AZ157">
      <sortCondition ref="T3:T157"/>
    </sortState>
  </autoFilter>
  <mergeCells count="6">
    <mergeCell ref="E1:M2"/>
    <mergeCell ref="U1:Z2"/>
    <mergeCell ref="AP1:AU1"/>
    <mergeCell ref="AV1:AZ1"/>
    <mergeCell ref="AC2:AD2"/>
    <mergeCell ref="AE2:AG2"/>
  </mergeCells>
  <conditionalFormatting sqref="F4:F157">
    <cfRule type="iconSet" priority="6">
      <iconSet iconSet="5Rating">
        <cfvo type="percent" val="0"/>
        <cfvo type="percent" val="20"/>
        <cfvo type="percent" val="40"/>
        <cfvo type="percent" val="60"/>
        <cfvo type="percent" val="80"/>
      </iconSet>
    </cfRule>
  </conditionalFormatting>
  <conditionalFormatting sqref="N4:T157">
    <cfRule type="colorScale" priority="10">
      <colorScale>
        <cfvo type="min"/>
        <cfvo type="percentile" val="50"/>
        <cfvo type="max"/>
        <color rgb="FFF8696B"/>
        <color rgb="FFFFEB84"/>
        <color rgb="FF63BE7B"/>
      </colorScale>
    </cfRule>
  </conditionalFormatting>
  <conditionalFormatting sqref="P4:Q157">
    <cfRule type="containsText" dxfId="27" priority="1" operator="containsText" text="NON DÉFINI">
      <formula>NOT(ISERROR(SEARCH("NON DÉFINI",P4)))</formula>
    </cfRule>
    <cfRule type="containsText" dxfId="26" priority="2" operator="containsText" text="EXCELLENT">
      <formula>NOT(ISERROR(SEARCH("EXCELLENT",P4)))</formula>
    </cfRule>
    <cfRule type="containsText" dxfId="25" priority="3" operator="containsText" text="BON">
      <formula>NOT(ISERROR(SEARCH("BON",P4)))</formula>
    </cfRule>
    <cfRule type="containsText" dxfId="24" priority="4" operator="containsText" text="WARNING !">
      <formula>NOT(ISERROR(SEARCH("WARNING !",P4)))</formula>
    </cfRule>
    <cfRule type="containsText" dxfId="23" priority="5" operator="containsText" text="A AMÉLIORER">
      <formula>NOT(ISERROR(SEARCH("A AMÉLIORER",P4)))</formula>
    </cfRule>
  </conditionalFormatting>
  <conditionalFormatting sqref="U4:W157">
    <cfRule type="cellIs" dxfId="22" priority="7" operator="between">
      <formula>TODAY()</formula>
      <formula>TODAY()+7</formula>
    </cfRule>
    <cfRule type="cellIs" dxfId="21" priority="8" operator="greaterThanOrEqual">
      <formula>TODAY()+30</formula>
    </cfRule>
    <cfRule type="cellIs" dxfId="20" priority="9" operator="lessThan">
      <formula>TODAY()-30</formula>
    </cfRule>
  </conditionalFormatting>
  <conditionalFormatting sqref="AA4:AH157">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I4:AK157 M4:M157" xr:uid="{B0BE5262-38BE-4D63-91DC-F5E57E05A60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6CE301D8-6459-41F1-90A0-4B244EDD499B}">
          <x14:formula1>
            <xm:f>'Guide suivi GDP '!$E$34:$E$36</xm:f>
          </x14:formula1>
          <xm:sqref>C4:C157</xm:sqref>
        </x14:dataValidation>
        <x14:dataValidation type="list" showInputMessage="1" showErrorMessage="1" xr:uid="{63ACBD21-7103-4F32-9005-E4CDC57DD601}">
          <x14:formula1>
            <xm:f>'Guide suivi GDP '!$E$31:$E$33</xm:f>
          </x14:formula1>
          <xm:sqref>B4:B157</xm:sqref>
        </x14:dataValidation>
        <x14:dataValidation type="list" allowBlank="1" showInputMessage="1" showErrorMessage="1" xr:uid="{8BDF9009-4E5D-4407-909D-A7E3A846DAFB}">
          <x14:formula1>
            <xm:f>'Guide suivi GDP '!$E$20:$E$24</xm:f>
          </x14:formula1>
          <xm:sqref>K4:K157</xm:sqref>
        </x14:dataValidation>
        <x14:dataValidation type="list" allowBlank="1" showInputMessage="1" showErrorMessage="1" xr:uid="{420CC01C-5066-4D23-A35F-6899D75E5FD8}">
          <x14:formula1>
            <xm:f>'Guide suivi GDP '!$E$3:$E$8</xm:f>
          </x14:formula1>
          <xm:sqref>J4:J157</xm:sqref>
        </x14:dataValidation>
        <x14:dataValidation type="list" showInputMessage="1" showErrorMessage="1" xr:uid="{938CFD0E-84C5-4F26-B381-CD6B1B3E9D62}">
          <x14:formula1>
            <xm:f>'Guide suivi GDP '!$E$9:$E$13</xm:f>
          </x14:formula1>
          <xm:sqref>P4:Q152</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E5AA2-C108-477A-B7AC-05AC7F508CC2}">
  <sheetPr>
    <tabColor rgb="FF92D050"/>
  </sheetPr>
  <dimension ref="A1:BA157"/>
  <sheetViews>
    <sheetView workbookViewId="0">
      <pane xSplit="4" ySplit="3" topLeftCell="M19" activePane="bottomRight" state="frozen"/>
      <selection pane="topRight"/>
      <selection pane="bottomLeft"/>
      <selection pane="bottomRight" activeCell="Q3" sqref="Q3"/>
    </sheetView>
  </sheetViews>
  <sheetFormatPr baseColWidth="10" defaultColWidth="9.140625" defaultRowHeight="12.75" outlineLevelCol="1"/>
  <cols>
    <col min="1" max="1" width="3.4257812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9" width="12.28515625" style="5" customWidth="1" outlineLevel="1"/>
    <col min="10" max="10" width="11.7109375" style="5" customWidth="1" outlineLevel="1"/>
    <col min="11" max="11" width="17.42578125" style="5" customWidth="1" outlineLevel="1"/>
    <col min="12" max="12" width="16.7109375" style="26" customWidth="1"/>
    <col min="13" max="13" width="12.28515625" style="26" customWidth="1"/>
    <col min="14" max="15" width="9.140625" style="26" hidden="1" customWidth="1"/>
    <col min="16" max="16" width="12.28515625" style="26" bestFit="1" customWidth="1"/>
    <col min="17" max="17" width="11.42578125" style="26" customWidth="1"/>
    <col min="18" max="18" width="9.140625" style="26" customWidth="1"/>
    <col min="19" max="19" width="10.85546875" style="26" customWidth="1"/>
    <col min="20" max="20" width="11.5703125" style="26" customWidth="1"/>
    <col min="21" max="21" width="13.5703125" style="26" customWidth="1"/>
    <col min="22" max="24" width="14.85546875" style="26" customWidth="1"/>
    <col min="25" max="25" width="37.42578125" style="98" customWidth="1"/>
    <col min="26" max="26" width="50.140625" style="98" customWidth="1"/>
    <col min="27" max="27" width="39.28515625" style="98" customWidth="1"/>
    <col min="28" max="28" width="20" style="26" hidden="1" customWidth="1" outlineLevel="1" collapsed="1"/>
    <col min="29" max="29" width="17.7109375" style="26" hidden="1" customWidth="1" outlineLevel="1"/>
    <col min="30" max="30" width="13.28515625" style="26" hidden="1" customWidth="1" outlineLevel="1"/>
    <col min="31" max="31" width="11.140625" style="26" hidden="1" customWidth="1" outlineLevel="1"/>
    <col min="32" max="32" width="11.7109375" style="26" hidden="1" customWidth="1" outlineLevel="1"/>
    <col min="33" max="33" width="12.28515625" style="26" hidden="1" customWidth="1" outlineLevel="1"/>
    <col min="34" max="34" width="31.85546875" style="26" customWidth="1" outlineLevel="1"/>
    <col min="35" max="35" width="9.42578125" style="13" customWidth="1"/>
    <col min="36" max="36" width="28.5703125" style="13" hidden="1" customWidth="1" outlineLevel="1"/>
    <col min="37" max="37" width="21.42578125" style="13" hidden="1" customWidth="1" outlineLevel="1"/>
    <col min="38" max="38" width="26.85546875" style="13" hidden="1" customWidth="1" outlineLevel="1"/>
    <col min="39" max="40" width="30" style="26" hidden="1" customWidth="1" outlineLevel="1"/>
    <col min="41" max="41" width="33.5703125" style="13" hidden="1" customWidth="1" outlineLevel="1"/>
    <col min="42" max="42" width="2" style="13" customWidth="1" collapsed="1"/>
    <col min="43" max="43" width="44.28515625" style="26" customWidth="1"/>
    <col min="44" max="44" width="10.85546875" style="74" customWidth="1" outlineLevel="1"/>
    <col min="45" max="45" width="13.85546875" style="13" customWidth="1" outlineLevel="1"/>
    <col min="46" max="46" width="9.85546875" style="13" customWidth="1" outlineLevel="1"/>
    <col min="47" max="47" width="8.7109375" style="13" customWidth="1" outlineLevel="1"/>
    <col min="48" max="48" width="23.28515625" style="13" customWidth="1" outlineLevel="1"/>
    <col min="49" max="49" width="9.5703125" style="13" customWidth="1" outlineLevel="1"/>
    <col min="50" max="50" width="9.28515625" style="13" customWidth="1" outlineLevel="1"/>
    <col min="51" max="53" width="9.140625" style="13" customWidth="1" outlineLevel="1"/>
    <col min="54" max="54" width="9.140625" style="13" customWidth="1"/>
    <col min="55" max="16384" width="9.140625" style="13"/>
  </cols>
  <sheetData>
    <row r="1" spans="1:53" s="78" customFormat="1" ht="94.5">
      <c r="B1" s="88" t="s">
        <v>1177</v>
      </c>
      <c r="C1" s="99"/>
      <c r="D1" s="88" t="s">
        <v>718</v>
      </c>
      <c r="E1" s="210" t="s">
        <v>720</v>
      </c>
      <c r="F1" s="211"/>
      <c r="G1" s="211"/>
      <c r="H1" s="211"/>
      <c r="I1" s="211"/>
      <c r="J1" s="211"/>
      <c r="K1" s="211"/>
      <c r="L1" s="211"/>
      <c r="M1" s="211"/>
      <c r="N1" s="82" t="s">
        <v>870</v>
      </c>
      <c r="O1" s="82" t="s">
        <v>870</v>
      </c>
      <c r="P1" s="112" t="s">
        <v>871</v>
      </c>
      <c r="Q1" s="112" t="s">
        <v>872</v>
      </c>
      <c r="R1" s="82"/>
      <c r="S1" s="82"/>
      <c r="T1" s="82"/>
      <c r="U1" s="204" t="s">
        <v>719</v>
      </c>
      <c r="V1" s="204"/>
      <c r="W1" s="204"/>
      <c r="X1" s="204"/>
      <c r="Y1" s="204"/>
      <c r="Z1" s="204"/>
      <c r="AA1" s="205"/>
      <c r="AB1" s="79" t="s">
        <v>721</v>
      </c>
      <c r="AC1" s="80"/>
      <c r="AD1" s="80"/>
      <c r="AE1" s="80"/>
      <c r="AF1" s="80"/>
      <c r="AG1" s="80"/>
      <c r="AH1" s="80"/>
      <c r="AI1" s="80"/>
      <c r="AJ1" s="77" t="s">
        <v>721</v>
      </c>
      <c r="AK1" s="81"/>
      <c r="AL1" s="81"/>
      <c r="AM1" s="81"/>
      <c r="AN1" s="81"/>
      <c r="AO1" s="81"/>
      <c r="AQ1" s="207" t="s">
        <v>722</v>
      </c>
      <c r="AR1" s="207"/>
      <c r="AS1" s="207"/>
      <c r="AT1" s="207"/>
      <c r="AU1" s="207"/>
      <c r="AV1" s="208"/>
      <c r="AW1" s="206" t="s">
        <v>723</v>
      </c>
      <c r="AX1" s="206"/>
      <c r="AY1" s="206"/>
      <c r="AZ1" s="206"/>
      <c r="BA1" s="206"/>
    </row>
    <row r="2" spans="1:53" s="78" customFormat="1" ht="18">
      <c r="A2" s="82"/>
      <c r="B2" s="82"/>
      <c r="C2" s="82"/>
      <c r="D2" s="87">
        <f>SUBTOTAL(3,D4:D157)</f>
        <v>51</v>
      </c>
      <c r="E2" s="212"/>
      <c r="F2" s="213"/>
      <c r="G2" s="213"/>
      <c r="H2" s="213"/>
      <c r="I2" s="213"/>
      <c r="J2" s="213"/>
      <c r="K2" s="213"/>
      <c r="L2" s="213"/>
      <c r="M2" s="213"/>
      <c r="N2" s="109">
        <f>SUBTOTAL(1,N4:N146)</f>
        <v>3.0151515151515151</v>
      </c>
      <c r="O2" s="109">
        <f>SUBTOTAL(1,O4:O146)</f>
        <v>3.3484848484848486</v>
      </c>
      <c r="P2" s="128"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43.902439024390247</v>
      </c>
      <c r="Q2" s="128"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-9.0909090909090864</v>
      </c>
      <c r="R2" s="104"/>
      <c r="S2" s="104"/>
      <c r="T2" s="104"/>
      <c r="U2" s="214"/>
      <c r="V2" s="204"/>
      <c r="W2" s="204"/>
      <c r="X2" s="204"/>
      <c r="Y2" s="204"/>
      <c r="Z2" s="204"/>
      <c r="AA2" s="205"/>
      <c r="AB2" s="156" t="s">
        <v>68</v>
      </c>
      <c r="AC2" s="156" t="s">
        <v>69</v>
      </c>
      <c r="AD2" s="209" t="s">
        <v>71</v>
      </c>
      <c r="AE2" s="209"/>
      <c r="AF2" s="209" t="s">
        <v>76</v>
      </c>
      <c r="AG2" s="209"/>
      <c r="AH2" s="209"/>
      <c r="AI2" s="84">
        <f>SUBTOTAL(1,AI4:AI34)</f>
        <v>0</v>
      </c>
      <c r="AJ2" s="81"/>
      <c r="AK2" s="81"/>
      <c r="AL2" s="81"/>
      <c r="AM2" s="81"/>
      <c r="AN2" s="81"/>
      <c r="AO2" s="81"/>
      <c r="AQ2" s="85"/>
      <c r="AR2" s="76">
        <f t="shared" ref="AR2" si="0">SUBTOTAL(9,AR4:AR499)</f>
        <v>245</v>
      </c>
      <c r="AS2" s="75"/>
      <c r="AT2" s="76">
        <f>SUBTOTAL(9,AT4:AT499)</f>
        <v>570</v>
      </c>
      <c r="AU2" s="76">
        <f>SUBTOTAL(9,AU4:AU499)</f>
        <v>1670</v>
      </c>
      <c r="AV2" s="75"/>
      <c r="AW2" s="89">
        <f>SUBTOTAL(3,AW4:AW499)</f>
        <v>30</v>
      </c>
      <c r="AX2" s="89">
        <f t="shared" ref="AX2:BA2" si="1">SUBTOTAL(3,AX4:AX499)</f>
        <v>37</v>
      </c>
      <c r="AY2" s="89">
        <f t="shared" si="1"/>
        <v>12</v>
      </c>
      <c r="AZ2" s="89">
        <f t="shared" si="1"/>
        <v>8</v>
      </c>
      <c r="BA2" s="89">
        <f t="shared" si="1"/>
        <v>20</v>
      </c>
    </row>
    <row r="3" spans="1:53" ht="63.75">
      <c r="A3" s="72">
        <v>0</v>
      </c>
      <c r="B3" s="72" t="s">
        <v>873</v>
      </c>
      <c r="C3" s="72" t="s">
        <v>598</v>
      </c>
      <c r="D3" s="72" t="s">
        <v>85</v>
      </c>
      <c r="E3" s="73" t="s">
        <v>730</v>
      </c>
      <c r="F3" s="136" t="s">
        <v>229</v>
      </c>
      <c r="G3" s="73" t="s">
        <v>86</v>
      </c>
      <c r="H3" s="73" t="s">
        <v>731</v>
      </c>
      <c r="I3" s="73" t="s">
        <v>874</v>
      </c>
      <c r="J3" s="133" t="s">
        <v>732</v>
      </c>
      <c r="K3" s="133" t="s">
        <v>88</v>
      </c>
      <c r="L3" s="73" t="s">
        <v>729</v>
      </c>
      <c r="M3" s="73" t="s">
        <v>734</v>
      </c>
      <c r="N3" s="107" t="s">
        <v>726</v>
      </c>
      <c r="O3" s="107" t="s">
        <v>727</v>
      </c>
      <c r="P3" s="107" t="s">
        <v>600</v>
      </c>
      <c r="Q3" s="131" t="s">
        <v>875</v>
      </c>
      <c r="R3" s="107" t="s">
        <v>876</v>
      </c>
      <c r="S3" s="97" t="s">
        <v>975</v>
      </c>
      <c r="T3" s="131" t="s">
        <v>976</v>
      </c>
      <c r="U3" s="107" t="s">
        <v>728</v>
      </c>
      <c r="V3" s="72" t="s">
        <v>601</v>
      </c>
      <c r="W3" s="132" t="s">
        <v>1045</v>
      </c>
      <c r="X3" s="132" t="s">
        <v>1178</v>
      </c>
      <c r="Y3" s="97" t="s">
        <v>602</v>
      </c>
      <c r="Z3" s="97" t="s">
        <v>603</v>
      </c>
      <c r="AA3" s="97" t="s">
        <v>604</v>
      </c>
      <c r="AB3" s="73" t="s">
        <v>90</v>
      </c>
      <c r="AC3" s="73" t="s">
        <v>91</v>
      </c>
      <c r="AD3" s="73" t="s">
        <v>92</v>
      </c>
      <c r="AE3" s="73" t="s">
        <v>93</v>
      </c>
      <c r="AF3" s="73" t="s">
        <v>94</v>
      </c>
      <c r="AG3" s="73" t="s">
        <v>95</v>
      </c>
      <c r="AH3" s="73" t="s">
        <v>96</v>
      </c>
      <c r="AI3" s="73" t="s">
        <v>80</v>
      </c>
      <c r="AJ3" s="72" t="s">
        <v>735</v>
      </c>
      <c r="AK3" s="72" t="s">
        <v>736</v>
      </c>
      <c r="AL3" s="72" t="s">
        <v>737</v>
      </c>
      <c r="AM3" s="72" t="s">
        <v>738</v>
      </c>
      <c r="AN3" s="72" t="s">
        <v>739</v>
      </c>
      <c r="AO3" s="72" t="s">
        <v>740</v>
      </c>
      <c r="AP3" s="72"/>
      <c r="AQ3" s="72" t="s">
        <v>741</v>
      </c>
      <c r="AR3" s="102" t="s">
        <v>742</v>
      </c>
      <c r="AS3" s="72" t="s">
        <v>743</v>
      </c>
      <c r="AT3" s="103" t="s">
        <v>744</v>
      </c>
      <c r="AU3" s="103" t="s">
        <v>745</v>
      </c>
      <c r="AV3" s="72" t="s">
        <v>746</v>
      </c>
      <c r="AW3" s="102" t="s">
        <v>85</v>
      </c>
      <c r="AX3" s="102" t="s">
        <v>747</v>
      </c>
      <c r="AY3" s="102" t="s">
        <v>748</v>
      </c>
      <c r="AZ3" s="102" t="s">
        <v>749</v>
      </c>
      <c r="BA3" s="102" t="s">
        <v>750</v>
      </c>
    </row>
    <row r="4" spans="1:53" ht="45" customHeight="1">
      <c r="A4" s="153">
        <f t="shared" ref="A4:A35" si="2">A3+1</f>
        <v>1</v>
      </c>
      <c r="B4" s="153" t="s">
        <v>58</v>
      </c>
      <c r="C4" s="153" t="s">
        <v>65</v>
      </c>
      <c r="D4" s="153" t="s">
        <v>696</v>
      </c>
      <c r="E4" s="69" t="s">
        <v>834</v>
      </c>
      <c r="F4" s="39">
        <v>2</v>
      </c>
      <c r="G4" s="141" t="s">
        <v>835</v>
      </c>
      <c r="H4" s="141" t="s">
        <v>811</v>
      </c>
      <c r="I4" s="141"/>
      <c r="J4" s="141" t="s">
        <v>6</v>
      </c>
      <c r="K4" s="141"/>
      <c r="L4" s="69"/>
      <c r="M4" s="141"/>
      <c r="N4" s="59"/>
      <c r="O4" s="59"/>
      <c r="P4" s="105"/>
      <c r="Q4" s="105"/>
      <c r="R4" s="105"/>
      <c r="S4" s="105"/>
      <c r="T4" s="105"/>
      <c r="U4" s="130"/>
      <c r="V4" s="90"/>
      <c r="W4" s="90"/>
      <c r="X4" s="90"/>
      <c r="Y4" s="93"/>
      <c r="Z4" s="94"/>
      <c r="AA4" s="94"/>
      <c r="AB4" s="29">
        <v>0</v>
      </c>
      <c r="AC4" s="145">
        <v>0</v>
      </c>
      <c r="AD4" s="145">
        <v>0</v>
      </c>
      <c r="AE4" s="145">
        <v>0</v>
      </c>
      <c r="AF4" s="145">
        <v>0</v>
      </c>
      <c r="AG4" s="145">
        <v>0</v>
      </c>
      <c r="AH4" s="145">
        <v>0</v>
      </c>
      <c r="AI4" s="142">
        <f>AVERAGE(AB4:AH4)</f>
        <v>0</v>
      </c>
      <c r="AJ4" s="141"/>
      <c r="AK4" s="67"/>
      <c r="AL4" s="67"/>
      <c r="AM4" s="24"/>
      <c r="AN4" s="24"/>
      <c r="AO4" s="24"/>
      <c r="AP4" s="71"/>
      <c r="AQ4" s="69" t="s">
        <v>836</v>
      </c>
      <c r="AR4" s="141"/>
      <c r="AS4" s="141"/>
      <c r="AT4" s="141"/>
      <c r="AU4" s="141">
        <v>100</v>
      </c>
      <c r="AV4" s="86">
        <v>45931</v>
      </c>
      <c r="AW4" s="141"/>
      <c r="AX4" s="141" t="s">
        <v>757</v>
      </c>
      <c r="AY4" s="141"/>
      <c r="AZ4" s="141"/>
      <c r="BA4" s="141" t="s">
        <v>757</v>
      </c>
    </row>
    <row r="5" spans="1:53" ht="45" customHeight="1">
      <c r="A5" s="153">
        <f t="shared" si="2"/>
        <v>2</v>
      </c>
      <c r="B5" s="153" t="s">
        <v>57</v>
      </c>
      <c r="C5" s="153" t="s">
        <v>65</v>
      </c>
      <c r="D5" s="28" t="s">
        <v>671</v>
      </c>
      <c r="E5" s="69" t="s">
        <v>837</v>
      </c>
      <c r="F5" s="39">
        <v>2</v>
      </c>
      <c r="G5" s="141" t="s">
        <v>753</v>
      </c>
      <c r="H5" s="141" t="s">
        <v>805</v>
      </c>
      <c r="I5" s="141"/>
      <c r="J5" s="141" t="s">
        <v>26</v>
      </c>
      <c r="K5" s="141"/>
      <c r="L5" s="69"/>
      <c r="M5" s="141"/>
      <c r="N5" s="60">
        <v>3</v>
      </c>
      <c r="O5" s="60">
        <v>3</v>
      </c>
      <c r="P5" s="105" t="s">
        <v>35</v>
      </c>
      <c r="Q5" s="105" t="s">
        <v>35</v>
      </c>
      <c r="R5" s="106"/>
      <c r="S5" s="106" t="s">
        <v>1052</v>
      </c>
      <c r="T5" s="106" t="s">
        <v>1053</v>
      </c>
      <c r="U5" s="90"/>
      <c r="V5" s="90"/>
      <c r="W5" s="90">
        <v>45968</v>
      </c>
      <c r="X5" s="90"/>
      <c r="Y5" s="93" t="s">
        <v>672</v>
      </c>
      <c r="Z5" s="95" t="s">
        <v>1011</v>
      </c>
      <c r="AA5" s="95"/>
      <c r="AB5" s="29">
        <v>0</v>
      </c>
      <c r="AC5" s="145">
        <v>0</v>
      </c>
      <c r="AD5" s="145">
        <v>0</v>
      </c>
      <c r="AE5" s="145">
        <v>0</v>
      </c>
      <c r="AF5" s="145">
        <v>0</v>
      </c>
      <c r="AG5" s="145">
        <v>0</v>
      </c>
      <c r="AH5" s="145">
        <v>0</v>
      </c>
      <c r="AI5" s="142">
        <f>AVERAGE(AB5:AH5)</f>
        <v>0</v>
      </c>
      <c r="AJ5" s="141"/>
      <c r="AK5" s="67"/>
      <c r="AL5" s="67"/>
      <c r="AM5" s="24"/>
      <c r="AN5" s="24"/>
      <c r="AO5" s="24"/>
      <c r="AP5" s="71"/>
      <c r="AQ5" s="69" t="s">
        <v>838</v>
      </c>
      <c r="AR5" s="141"/>
      <c r="AS5" s="141"/>
      <c r="AT5" s="141"/>
      <c r="AU5" s="141">
        <v>60</v>
      </c>
      <c r="AV5" s="86">
        <v>45962</v>
      </c>
      <c r="AW5" s="141" t="s">
        <v>757</v>
      </c>
      <c r="AX5" s="141" t="s">
        <v>757</v>
      </c>
      <c r="AY5" s="141"/>
      <c r="AZ5" s="141"/>
      <c r="BA5" s="141"/>
    </row>
    <row r="6" spans="1:53" ht="45" customHeight="1">
      <c r="A6" s="153">
        <f t="shared" si="2"/>
        <v>3</v>
      </c>
      <c r="B6" s="153" t="s">
        <v>57</v>
      </c>
      <c r="C6" s="153" t="s">
        <v>61</v>
      </c>
      <c r="D6" s="28" t="s">
        <v>653</v>
      </c>
      <c r="E6" s="69" t="s">
        <v>752</v>
      </c>
      <c r="F6" s="39">
        <v>2</v>
      </c>
      <c r="G6" s="141" t="s">
        <v>753</v>
      </c>
      <c r="H6" s="141" t="s">
        <v>754</v>
      </c>
      <c r="I6" s="141"/>
      <c r="J6" s="141" t="s">
        <v>26</v>
      </c>
      <c r="K6" s="141" t="s">
        <v>48</v>
      </c>
      <c r="L6" s="69"/>
      <c r="M6" s="141"/>
      <c r="N6" s="59">
        <v>4.5</v>
      </c>
      <c r="O6" s="59">
        <v>4.5</v>
      </c>
      <c r="P6" s="105" t="s">
        <v>34</v>
      </c>
      <c r="Q6" s="105" t="s">
        <v>34</v>
      </c>
      <c r="R6" s="105"/>
      <c r="S6" s="105" t="s">
        <v>1054</v>
      </c>
      <c r="T6" s="105" t="s">
        <v>753</v>
      </c>
      <c r="U6" s="90">
        <v>45973</v>
      </c>
      <c r="V6" s="90">
        <v>45979</v>
      </c>
      <c r="W6" s="90">
        <v>45979</v>
      </c>
      <c r="X6" s="90"/>
      <c r="Y6" s="93" t="s">
        <v>654</v>
      </c>
      <c r="Z6" s="96" t="s">
        <v>1145</v>
      </c>
      <c r="AA6" s="96"/>
      <c r="AB6" s="29">
        <v>0</v>
      </c>
      <c r="AC6" s="145">
        <v>0</v>
      </c>
      <c r="AD6" s="145">
        <v>0</v>
      </c>
      <c r="AE6" s="145">
        <v>0</v>
      </c>
      <c r="AF6" s="145">
        <v>0</v>
      </c>
      <c r="AG6" s="145">
        <v>0</v>
      </c>
      <c r="AH6" s="145">
        <v>0</v>
      </c>
      <c r="AI6" s="142">
        <f>AVERAGE(AB6:AH6)</f>
        <v>0</v>
      </c>
      <c r="AJ6" s="141"/>
      <c r="AK6" s="67"/>
      <c r="AL6" s="67"/>
      <c r="AM6" s="24"/>
      <c r="AN6" s="24"/>
      <c r="AO6" s="24"/>
      <c r="AP6" s="71"/>
      <c r="AQ6" s="69" t="s">
        <v>755</v>
      </c>
      <c r="AR6" s="141">
        <v>5</v>
      </c>
      <c r="AS6" s="141" t="s">
        <v>756</v>
      </c>
      <c r="AT6" s="141"/>
      <c r="AU6" s="141"/>
      <c r="AV6" s="141"/>
      <c r="AW6" s="141"/>
      <c r="AX6" s="141" t="s">
        <v>757</v>
      </c>
      <c r="AY6" s="141"/>
      <c r="AZ6" s="141"/>
      <c r="BA6" s="141"/>
    </row>
    <row r="7" spans="1:53" ht="45" customHeight="1">
      <c r="A7" s="153">
        <f t="shared" si="2"/>
        <v>4</v>
      </c>
      <c r="B7" s="153" t="s">
        <v>57</v>
      </c>
      <c r="C7" s="153" t="s">
        <v>61</v>
      </c>
      <c r="D7" s="28" t="s">
        <v>611</v>
      </c>
      <c r="E7" s="69" t="s">
        <v>772</v>
      </c>
      <c r="F7" s="39">
        <v>2</v>
      </c>
      <c r="G7" s="141" t="s">
        <v>753</v>
      </c>
      <c r="H7" s="141" t="s">
        <v>770</v>
      </c>
      <c r="I7" s="141"/>
      <c r="J7" s="141" t="s">
        <v>26</v>
      </c>
      <c r="K7" s="141"/>
      <c r="L7" s="69"/>
      <c r="M7" s="141"/>
      <c r="N7" s="59">
        <v>4.5</v>
      </c>
      <c r="O7" s="59">
        <v>4.5</v>
      </c>
      <c r="P7" s="105" t="s">
        <v>34</v>
      </c>
      <c r="Q7" s="105" t="s">
        <v>34</v>
      </c>
      <c r="R7" s="105"/>
      <c r="S7" s="105" t="s">
        <v>1179</v>
      </c>
      <c r="T7" s="105" t="s">
        <v>753</v>
      </c>
      <c r="U7" s="90">
        <v>45909</v>
      </c>
      <c r="V7" s="90">
        <v>45979</v>
      </c>
      <c r="W7" s="90">
        <v>45979</v>
      </c>
      <c r="X7" s="90"/>
      <c r="Y7" s="93" t="s">
        <v>612</v>
      </c>
      <c r="Z7" s="96" t="s">
        <v>613</v>
      </c>
      <c r="AA7" s="96" t="s">
        <v>614</v>
      </c>
      <c r="AB7" s="29">
        <v>0</v>
      </c>
      <c r="AC7" s="145">
        <v>0</v>
      </c>
      <c r="AD7" s="145">
        <v>0</v>
      </c>
      <c r="AE7" s="145">
        <v>0</v>
      </c>
      <c r="AF7" s="145">
        <v>0</v>
      </c>
      <c r="AG7" s="145">
        <v>0</v>
      </c>
      <c r="AH7" s="145">
        <v>0</v>
      </c>
      <c r="AI7" s="142">
        <f>AVERAGE(AB7:AH7)</f>
        <v>0</v>
      </c>
      <c r="AJ7" s="141"/>
      <c r="AK7" s="67"/>
      <c r="AL7" s="67"/>
      <c r="AM7" s="24"/>
      <c r="AN7" s="24"/>
      <c r="AO7" s="24"/>
      <c r="AP7" s="71"/>
      <c r="AQ7" s="69" t="s">
        <v>773</v>
      </c>
      <c r="AR7" s="141">
        <v>2</v>
      </c>
      <c r="AS7" s="141" t="s">
        <v>756</v>
      </c>
      <c r="AT7" s="141"/>
      <c r="AU7" s="141"/>
      <c r="AV7" s="141"/>
      <c r="AW7" s="141" t="s">
        <v>757</v>
      </c>
      <c r="AX7" s="141" t="s">
        <v>757</v>
      </c>
      <c r="AY7" s="141"/>
      <c r="AZ7" s="141"/>
      <c r="BA7" s="141" t="s">
        <v>757</v>
      </c>
    </row>
    <row r="8" spans="1:53" ht="45" customHeight="1">
      <c r="A8" s="153">
        <f t="shared" si="2"/>
        <v>5</v>
      </c>
      <c r="B8" s="153" t="s">
        <v>57</v>
      </c>
      <c r="C8" s="153" t="s">
        <v>61</v>
      </c>
      <c r="D8" s="28" t="s">
        <v>904</v>
      </c>
      <c r="E8" s="69" t="s">
        <v>905</v>
      </c>
      <c r="F8" s="39">
        <v>1</v>
      </c>
      <c r="G8" s="141" t="s">
        <v>753</v>
      </c>
      <c r="H8" s="141" t="s">
        <v>754</v>
      </c>
      <c r="I8" s="141"/>
      <c r="J8" s="141" t="s">
        <v>26</v>
      </c>
      <c r="K8" s="141"/>
      <c r="L8" s="69"/>
      <c r="M8" s="141"/>
      <c r="N8" s="59"/>
      <c r="O8" s="59"/>
      <c r="P8" s="105" t="s">
        <v>34</v>
      </c>
      <c r="Q8" s="105" t="s">
        <v>34</v>
      </c>
      <c r="R8" s="105"/>
      <c r="S8" s="105" t="s">
        <v>1068</v>
      </c>
      <c r="T8" s="105" t="s">
        <v>753</v>
      </c>
      <c r="U8" s="90"/>
      <c r="V8" s="90">
        <v>45994</v>
      </c>
      <c r="W8" s="90">
        <v>45994</v>
      </c>
      <c r="X8" s="90"/>
      <c r="Y8" s="93"/>
      <c r="Z8" s="96"/>
      <c r="AA8" s="96"/>
      <c r="AB8" s="29"/>
      <c r="AC8" s="145"/>
      <c r="AD8" s="145"/>
      <c r="AE8" s="145"/>
      <c r="AF8" s="145"/>
      <c r="AG8" s="145"/>
      <c r="AH8" s="145"/>
      <c r="AI8" s="142"/>
      <c r="AJ8" s="141"/>
      <c r="AK8" s="67"/>
      <c r="AL8" s="67"/>
      <c r="AM8" s="24"/>
      <c r="AN8" s="24"/>
      <c r="AO8" s="24"/>
      <c r="AP8" s="71"/>
      <c r="AQ8" s="69"/>
      <c r="AR8" s="141"/>
      <c r="AS8" s="141"/>
      <c r="AT8" s="141"/>
      <c r="AU8" s="141"/>
      <c r="AV8" s="141"/>
      <c r="AW8" s="141"/>
      <c r="AX8" s="141"/>
      <c r="AY8" s="141"/>
      <c r="AZ8" s="141"/>
      <c r="BA8" s="141"/>
    </row>
    <row r="9" spans="1:53" ht="45" customHeight="1">
      <c r="A9" s="153">
        <f t="shared" si="2"/>
        <v>6</v>
      </c>
      <c r="B9" s="153" t="s">
        <v>57</v>
      </c>
      <c r="C9" s="153" t="s">
        <v>61</v>
      </c>
      <c r="D9" s="28" t="s">
        <v>633</v>
      </c>
      <c r="E9" s="69" t="s">
        <v>787</v>
      </c>
      <c r="F9" s="39">
        <v>3</v>
      </c>
      <c r="G9" s="141" t="s">
        <v>753</v>
      </c>
      <c r="H9" s="141" t="s">
        <v>770</v>
      </c>
      <c r="I9" s="141"/>
      <c r="J9" s="141" t="s">
        <v>14</v>
      </c>
      <c r="K9" s="141"/>
      <c r="L9" s="69"/>
      <c r="M9" s="141"/>
      <c r="N9" s="59">
        <v>4</v>
      </c>
      <c r="O9" s="59">
        <v>2</v>
      </c>
      <c r="P9" s="105" t="s">
        <v>32</v>
      </c>
      <c r="Q9" s="105" t="s">
        <v>32</v>
      </c>
      <c r="R9" s="105"/>
      <c r="S9" s="105" t="s">
        <v>1180</v>
      </c>
      <c r="T9" s="105" t="s">
        <v>753</v>
      </c>
      <c r="U9" s="90">
        <v>45951</v>
      </c>
      <c r="V9" s="90">
        <v>45986</v>
      </c>
      <c r="W9" s="90">
        <v>45986</v>
      </c>
      <c r="X9" s="90"/>
      <c r="Y9" s="93" t="s">
        <v>903</v>
      </c>
      <c r="Z9" s="96" t="s">
        <v>1027</v>
      </c>
      <c r="AA9" s="96"/>
      <c r="AB9" s="29">
        <v>0</v>
      </c>
      <c r="AC9" s="145">
        <v>0</v>
      </c>
      <c r="AD9" s="145">
        <v>0</v>
      </c>
      <c r="AE9" s="145">
        <v>0</v>
      </c>
      <c r="AF9" s="145">
        <v>0</v>
      </c>
      <c r="AG9" s="145">
        <v>0</v>
      </c>
      <c r="AH9" s="145">
        <v>0</v>
      </c>
      <c r="AI9" s="142">
        <f>AVERAGE(AB9:AH9)</f>
        <v>0</v>
      </c>
      <c r="AJ9" s="141"/>
      <c r="AK9" s="67"/>
      <c r="AL9" s="67"/>
      <c r="AM9" s="24"/>
      <c r="AN9" s="24"/>
      <c r="AO9" s="24"/>
      <c r="AP9" s="71"/>
      <c r="AQ9" s="69" t="s">
        <v>788</v>
      </c>
      <c r="AR9" s="141"/>
      <c r="AS9" s="141"/>
      <c r="AT9" s="141">
        <v>35</v>
      </c>
      <c r="AU9" s="141"/>
      <c r="AV9" s="141"/>
      <c r="AW9" s="141"/>
      <c r="AX9" s="141" t="s">
        <v>757</v>
      </c>
      <c r="AY9" s="141" t="s">
        <v>757</v>
      </c>
      <c r="AZ9" s="141" t="s">
        <v>757</v>
      </c>
      <c r="BA9" s="141"/>
    </row>
    <row r="10" spans="1:53" ht="45" customHeight="1">
      <c r="A10" s="153">
        <f t="shared" si="2"/>
        <v>7</v>
      </c>
      <c r="B10" s="153" t="s">
        <v>57</v>
      </c>
      <c r="C10" s="153" t="s">
        <v>63</v>
      </c>
      <c r="D10" s="28" t="s">
        <v>152</v>
      </c>
      <c r="E10" s="69" t="s">
        <v>845</v>
      </c>
      <c r="F10" s="39">
        <v>3</v>
      </c>
      <c r="G10" s="141" t="s">
        <v>753</v>
      </c>
      <c r="H10" s="141" t="s">
        <v>210</v>
      </c>
      <c r="I10" s="141"/>
      <c r="J10" s="141" t="s">
        <v>14</v>
      </c>
      <c r="K10" s="141"/>
      <c r="L10" s="69"/>
      <c r="M10" s="141"/>
      <c r="N10" s="59">
        <v>2</v>
      </c>
      <c r="O10" s="59">
        <v>4</v>
      </c>
      <c r="P10" s="105" t="s">
        <v>34</v>
      </c>
      <c r="Q10" s="105" t="s">
        <v>35</v>
      </c>
      <c r="R10" s="105"/>
      <c r="S10" s="105" t="s">
        <v>1030</v>
      </c>
      <c r="T10" s="105" t="s">
        <v>753</v>
      </c>
      <c r="U10" s="90">
        <v>45981</v>
      </c>
      <c r="V10" s="90">
        <v>45986</v>
      </c>
      <c r="W10" s="90">
        <v>45986</v>
      </c>
      <c r="X10" s="90">
        <v>46006</v>
      </c>
      <c r="Y10" s="93" t="s">
        <v>1181</v>
      </c>
      <c r="Z10" s="96" t="s">
        <v>687</v>
      </c>
      <c r="AA10" s="96"/>
      <c r="AB10" s="29">
        <v>0</v>
      </c>
      <c r="AC10" s="145">
        <v>0</v>
      </c>
      <c r="AD10" s="145">
        <v>0</v>
      </c>
      <c r="AE10" s="145">
        <v>0</v>
      </c>
      <c r="AF10" s="145">
        <v>0</v>
      </c>
      <c r="AG10" s="145">
        <v>0</v>
      </c>
      <c r="AH10" s="145">
        <v>0</v>
      </c>
      <c r="AI10" s="142">
        <f>AVERAGE(AB10:AH10)</f>
        <v>0</v>
      </c>
      <c r="AJ10" s="141"/>
      <c r="AK10" s="67"/>
      <c r="AL10" s="67"/>
      <c r="AM10" s="24"/>
      <c r="AN10" s="24"/>
      <c r="AO10" s="24"/>
      <c r="AP10" s="71"/>
      <c r="AQ10" s="69" t="s">
        <v>846</v>
      </c>
      <c r="AR10" s="141">
        <v>15</v>
      </c>
      <c r="AS10" s="141" t="s">
        <v>761</v>
      </c>
      <c r="AT10" s="141"/>
      <c r="AU10" s="141"/>
      <c r="AV10" s="141"/>
      <c r="AW10" s="141"/>
      <c r="AX10" s="141" t="s">
        <v>757</v>
      </c>
      <c r="AY10" s="141"/>
      <c r="AZ10" s="141"/>
      <c r="BA10" s="141"/>
    </row>
    <row r="11" spans="1:53" ht="45" customHeight="1">
      <c r="A11" s="153">
        <f t="shared" si="2"/>
        <v>8</v>
      </c>
      <c r="B11" s="153" t="s">
        <v>57</v>
      </c>
      <c r="C11" s="153" t="s">
        <v>61</v>
      </c>
      <c r="D11" s="28" t="s">
        <v>708</v>
      </c>
      <c r="E11" s="69" t="s">
        <v>758</v>
      </c>
      <c r="F11" s="39">
        <v>2</v>
      </c>
      <c r="G11" s="141" t="s">
        <v>753</v>
      </c>
      <c r="H11" s="141" t="s">
        <v>1146</v>
      </c>
      <c r="I11" s="141"/>
      <c r="J11" s="141" t="s">
        <v>26</v>
      </c>
      <c r="K11" s="21"/>
      <c r="L11" s="69"/>
      <c r="M11" s="141"/>
      <c r="N11" s="59">
        <v>2.5</v>
      </c>
      <c r="O11" s="59">
        <v>5</v>
      </c>
      <c r="P11" s="105" t="s">
        <v>33</v>
      </c>
      <c r="Q11" s="105" t="s">
        <v>33</v>
      </c>
      <c r="R11" s="105"/>
      <c r="S11" s="105" t="s">
        <v>1182</v>
      </c>
      <c r="T11" s="105" t="s">
        <v>1183</v>
      </c>
      <c r="U11" s="90">
        <v>45950</v>
      </c>
      <c r="V11" s="90">
        <v>45988</v>
      </c>
      <c r="W11" s="90">
        <v>45988</v>
      </c>
      <c r="X11" s="90"/>
      <c r="Y11" s="93" t="s">
        <v>1147</v>
      </c>
      <c r="Z11" s="96" t="s">
        <v>710</v>
      </c>
      <c r="AA11" s="96"/>
      <c r="AB11" s="29">
        <v>0</v>
      </c>
      <c r="AC11" s="145">
        <v>0</v>
      </c>
      <c r="AD11" s="145">
        <v>0</v>
      </c>
      <c r="AE11" s="145">
        <v>0</v>
      </c>
      <c r="AF11" s="145">
        <v>0</v>
      </c>
      <c r="AG11" s="145">
        <v>0</v>
      </c>
      <c r="AH11" s="145">
        <v>0</v>
      </c>
      <c r="AI11" s="142">
        <f>AVERAGE(AB11:AH11)</f>
        <v>0</v>
      </c>
      <c r="AJ11" s="141"/>
      <c r="AK11" s="67"/>
      <c r="AL11" s="67"/>
      <c r="AM11" s="24"/>
      <c r="AN11" s="24"/>
      <c r="AO11" s="24"/>
      <c r="AP11" s="71"/>
      <c r="AQ11" s="69" t="s">
        <v>760</v>
      </c>
      <c r="AR11" s="141">
        <v>5</v>
      </c>
      <c r="AS11" s="141" t="s">
        <v>761</v>
      </c>
      <c r="AT11" s="141"/>
      <c r="AU11" s="141"/>
      <c r="AV11" s="141"/>
      <c r="AW11" s="141" t="s">
        <v>757</v>
      </c>
      <c r="AX11" s="141" t="s">
        <v>757</v>
      </c>
      <c r="AY11" s="141" t="s">
        <v>757</v>
      </c>
      <c r="AZ11" s="141"/>
      <c r="BA11" s="141"/>
    </row>
    <row r="12" spans="1:53" ht="45" customHeight="1">
      <c r="A12" s="153">
        <f t="shared" si="2"/>
        <v>9</v>
      </c>
      <c r="B12" s="153" t="s">
        <v>57</v>
      </c>
      <c r="C12" s="153" t="s">
        <v>61</v>
      </c>
      <c r="D12" s="28" t="s">
        <v>1157</v>
      </c>
      <c r="E12" s="69" t="s">
        <v>1158</v>
      </c>
      <c r="F12" s="39">
        <v>1</v>
      </c>
      <c r="G12" s="141" t="s">
        <v>753</v>
      </c>
      <c r="H12" s="141" t="s">
        <v>765</v>
      </c>
      <c r="I12" s="141"/>
      <c r="J12" s="141" t="s">
        <v>6</v>
      </c>
      <c r="K12" s="141"/>
      <c r="L12" s="69"/>
      <c r="M12" s="141"/>
      <c r="N12" s="59"/>
      <c r="O12" s="59"/>
      <c r="P12" s="105" t="s">
        <v>34</v>
      </c>
      <c r="Q12" s="105" t="s">
        <v>34</v>
      </c>
      <c r="R12" s="105"/>
      <c r="S12" s="105" t="s">
        <v>1159</v>
      </c>
      <c r="T12" s="105" t="s">
        <v>1081</v>
      </c>
      <c r="U12" s="90">
        <v>45974</v>
      </c>
      <c r="V12" s="90">
        <v>45988</v>
      </c>
      <c r="W12" s="90">
        <v>45988</v>
      </c>
      <c r="X12" s="90"/>
      <c r="Y12" s="93" t="s">
        <v>1160</v>
      </c>
      <c r="Z12" s="96"/>
      <c r="AA12" s="96"/>
      <c r="AB12" s="29"/>
      <c r="AC12" s="145"/>
      <c r="AD12" s="145"/>
      <c r="AE12" s="145"/>
      <c r="AF12" s="145"/>
      <c r="AG12" s="145"/>
      <c r="AH12" s="145"/>
      <c r="AI12" s="142"/>
      <c r="AJ12" s="141"/>
      <c r="AK12" s="67"/>
      <c r="AL12" s="67"/>
      <c r="AM12" s="24"/>
      <c r="AN12" s="24"/>
      <c r="AO12" s="24"/>
      <c r="AP12" s="71"/>
      <c r="AQ12" s="69"/>
      <c r="AR12" s="141"/>
      <c r="AS12" s="141"/>
      <c r="AT12" s="141"/>
      <c r="AU12" s="141"/>
      <c r="AV12" s="141"/>
      <c r="AW12" s="141"/>
      <c r="AX12" s="141"/>
      <c r="AY12" s="141"/>
      <c r="AZ12" s="141"/>
      <c r="BA12" s="141"/>
    </row>
    <row r="13" spans="1:53" ht="45" customHeight="1">
      <c r="A13" s="153">
        <f t="shared" si="2"/>
        <v>10</v>
      </c>
      <c r="B13" s="153" t="s">
        <v>57</v>
      </c>
      <c r="C13" s="153" t="s">
        <v>61</v>
      </c>
      <c r="D13" s="28" t="s">
        <v>1161</v>
      </c>
      <c r="E13" s="69" t="s">
        <v>1162</v>
      </c>
      <c r="F13" s="39">
        <v>2</v>
      </c>
      <c r="G13" s="141" t="s">
        <v>753</v>
      </c>
      <c r="H13" s="141" t="s">
        <v>765</v>
      </c>
      <c r="I13" s="141"/>
      <c r="J13" s="141" t="s">
        <v>6</v>
      </c>
      <c r="K13" s="141"/>
      <c r="L13" s="69"/>
      <c r="M13" s="141"/>
      <c r="N13" s="59"/>
      <c r="O13" s="59"/>
      <c r="P13" s="105" t="s">
        <v>34</v>
      </c>
      <c r="Q13" s="105" t="s">
        <v>34</v>
      </c>
      <c r="R13" s="105"/>
      <c r="S13" s="105" t="s">
        <v>1163</v>
      </c>
      <c r="T13" s="105" t="s">
        <v>1081</v>
      </c>
      <c r="U13" s="90">
        <v>45974</v>
      </c>
      <c r="V13" s="90">
        <v>45982</v>
      </c>
      <c r="W13" s="90">
        <v>45982</v>
      </c>
      <c r="X13" s="90"/>
      <c r="Y13" s="93" t="s">
        <v>1164</v>
      </c>
      <c r="Z13" s="96"/>
      <c r="AA13" s="96"/>
      <c r="AB13" s="29"/>
      <c r="AC13" s="145"/>
      <c r="AD13" s="145"/>
      <c r="AE13" s="145"/>
      <c r="AF13" s="145"/>
      <c r="AG13" s="145"/>
      <c r="AH13" s="145"/>
      <c r="AI13" s="142"/>
      <c r="AJ13" s="141"/>
      <c r="AK13" s="67"/>
      <c r="AL13" s="67"/>
      <c r="AM13" s="24"/>
      <c r="AN13" s="24"/>
      <c r="AO13" s="24"/>
      <c r="AP13" s="71"/>
      <c r="AQ13" s="69"/>
      <c r="AR13" s="141"/>
      <c r="AS13" s="141"/>
      <c r="AT13" s="141"/>
      <c r="AU13" s="141"/>
      <c r="AV13" s="141"/>
      <c r="AW13" s="141"/>
      <c r="AX13" s="141"/>
      <c r="AY13" s="141"/>
      <c r="AZ13" s="141"/>
      <c r="BA13" s="141"/>
    </row>
    <row r="14" spans="1:53" ht="45" customHeight="1">
      <c r="A14" s="153">
        <f t="shared" si="2"/>
        <v>11</v>
      </c>
      <c r="B14" s="153" t="s">
        <v>57</v>
      </c>
      <c r="C14" s="153" t="s">
        <v>61</v>
      </c>
      <c r="D14" s="28" t="s">
        <v>711</v>
      </c>
      <c r="E14" s="69" t="s">
        <v>711</v>
      </c>
      <c r="F14" s="39">
        <v>3</v>
      </c>
      <c r="G14" s="141" t="s">
        <v>764</v>
      </c>
      <c r="H14" s="141" t="s">
        <v>765</v>
      </c>
      <c r="I14" s="141"/>
      <c r="J14" s="141" t="s">
        <v>6</v>
      </c>
      <c r="K14" s="141"/>
      <c r="L14" s="69"/>
      <c r="M14" s="141"/>
      <c r="N14" s="59"/>
      <c r="O14" s="59"/>
      <c r="P14" s="105"/>
      <c r="Q14" s="105"/>
      <c r="R14" s="105"/>
      <c r="S14" s="105" t="s">
        <v>1048</v>
      </c>
      <c r="T14" s="105" t="s">
        <v>1144</v>
      </c>
      <c r="U14" s="90">
        <v>45937</v>
      </c>
      <c r="V14" s="90"/>
      <c r="W14" s="90">
        <v>45976</v>
      </c>
      <c r="X14" s="90"/>
      <c r="Y14" s="93" t="s">
        <v>1024</v>
      </c>
      <c r="Z14" s="125" t="s">
        <v>896</v>
      </c>
      <c r="AA14" s="96"/>
      <c r="AB14" s="29"/>
      <c r="AC14" s="145"/>
      <c r="AD14" s="145"/>
      <c r="AE14" s="145"/>
      <c r="AF14" s="145"/>
      <c r="AG14" s="145"/>
      <c r="AH14" s="145"/>
      <c r="AI14" s="142"/>
      <c r="AJ14" s="141"/>
      <c r="AK14" s="67"/>
      <c r="AL14" s="67"/>
      <c r="AM14" s="24"/>
      <c r="AN14" s="24"/>
      <c r="AO14" s="24"/>
      <c r="AP14" s="71"/>
      <c r="AQ14" s="69"/>
      <c r="AR14" s="141">
        <v>5</v>
      </c>
      <c r="AS14" s="141"/>
      <c r="AT14" s="141"/>
      <c r="AU14" s="141"/>
      <c r="AV14" s="86"/>
      <c r="AW14" s="141" t="s">
        <v>757</v>
      </c>
      <c r="AX14" s="141" t="s">
        <v>757</v>
      </c>
      <c r="AY14" s="141"/>
      <c r="AZ14" s="141"/>
      <c r="BA14" s="141" t="s">
        <v>757</v>
      </c>
    </row>
    <row r="15" spans="1:53" ht="45" customHeight="1">
      <c r="A15" s="153">
        <f t="shared" si="2"/>
        <v>12</v>
      </c>
      <c r="B15" s="153" t="s">
        <v>57</v>
      </c>
      <c r="C15" s="153" t="s">
        <v>61</v>
      </c>
      <c r="D15" s="28" t="s">
        <v>670</v>
      </c>
      <c r="E15" s="69" t="s">
        <v>763</v>
      </c>
      <c r="F15" s="39">
        <v>2</v>
      </c>
      <c r="G15" s="141" t="s">
        <v>764</v>
      </c>
      <c r="H15" s="141" t="s">
        <v>765</v>
      </c>
      <c r="I15" s="141"/>
      <c r="J15" s="141" t="s">
        <v>22</v>
      </c>
      <c r="K15" s="141"/>
      <c r="L15" s="69"/>
      <c r="M15" s="141"/>
      <c r="N15" s="59">
        <v>1</v>
      </c>
      <c r="O15" s="59">
        <v>4</v>
      </c>
      <c r="P15" s="105" t="s">
        <v>34</v>
      </c>
      <c r="Q15" s="105" t="s">
        <v>34</v>
      </c>
      <c r="R15" s="105"/>
      <c r="S15" s="105" t="s">
        <v>1057</v>
      </c>
      <c r="T15" s="105" t="s">
        <v>835</v>
      </c>
      <c r="U15" s="90"/>
      <c r="V15" s="90">
        <v>45968</v>
      </c>
      <c r="W15" s="90"/>
      <c r="X15" s="90"/>
      <c r="Y15" s="93"/>
      <c r="Z15" s="96"/>
      <c r="AA15" s="96"/>
      <c r="AB15" s="29">
        <v>0</v>
      </c>
      <c r="AC15" s="145">
        <v>0</v>
      </c>
      <c r="AD15" s="145">
        <v>0</v>
      </c>
      <c r="AE15" s="145">
        <v>0</v>
      </c>
      <c r="AF15" s="145">
        <v>0</v>
      </c>
      <c r="AG15" s="145">
        <v>0</v>
      </c>
      <c r="AH15" s="145">
        <v>0</v>
      </c>
      <c r="AI15" s="142">
        <f>AVERAGE(AB15:AH15)</f>
        <v>0</v>
      </c>
      <c r="AJ15" s="141"/>
      <c r="AK15" s="67"/>
      <c r="AL15" s="67"/>
      <c r="AM15" s="24"/>
      <c r="AN15" s="24"/>
      <c r="AO15" s="24"/>
      <c r="AP15" s="71"/>
      <c r="AQ15" s="69" t="s">
        <v>766</v>
      </c>
      <c r="AR15" s="141">
        <v>5</v>
      </c>
      <c r="AS15" s="141" t="s">
        <v>756</v>
      </c>
      <c r="AT15" s="141"/>
      <c r="AU15" s="141"/>
      <c r="AV15" s="141"/>
      <c r="AW15" s="141" t="s">
        <v>757</v>
      </c>
      <c r="AX15" s="141" t="s">
        <v>757</v>
      </c>
      <c r="AY15" s="141"/>
      <c r="AZ15" s="141"/>
      <c r="BA15" s="141"/>
    </row>
    <row r="16" spans="1:53" ht="45" customHeight="1">
      <c r="A16" s="153">
        <f t="shared" si="2"/>
        <v>13</v>
      </c>
      <c r="B16" s="153" t="s">
        <v>57</v>
      </c>
      <c r="C16" s="153" t="s">
        <v>61</v>
      </c>
      <c r="D16" s="28" t="s">
        <v>677</v>
      </c>
      <c r="E16" s="69" t="s">
        <v>769</v>
      </c>
      <c r="F16" s="39">
        <v>2</v>
      </c>
      <c r="G16" s="141" t="s">
        <v>764</v>
      </c>
      <c r="H16" s="141" t="s">
        <v>770</v>
      </c>
      <c r="I16" s="141"/>
      <c r="J16" s="141" t="s">
        <v>26</v>
      </c>
      <c r="K16" s="141"/>
      <c r="L16" s="69"/>
      <c r="M16" s="141"/>
      <c r="N16" s="59">
        <v>2</v>
      </c>
      <c r="O16" s="59">
        <v>2</v>
      </c>
      <c r="P16" s="105" t="s">
        <v>31</v>
      </c>
      <c r="Q16" s="105" t="s">
        <v>31</v>
      </c>
      <c r="R16" s="105" t="s">
        <v>881</v>
      </c>
      <c r="S16" s="105" t="s">
        <v>1149</v>
      </c>
      <c r="T16" s="105" t="s">
        <v>753</v>
      </c>
      <c r="U16" s="90">
        <v>45922</v>
      </c>
      <c r="V16" s="90">
        <v>45985</v>
      </c>
      <c r="W16" s="90">
        <v>45985</v>
      </c>
      <c r="X16" s="90"/>
      <c r="Y16" s="93" t="s">
        <v>1029</v>
      </c>
      <c r="Z16" s="126" t="s">
        <v>679</v>
      </c>
      <c r="AA16" s="96"/>
      <c r="AB16" s="29">
        <v>0</v>
      </c>
      <c r="AC16" s="145">
        <v>0</v>
      </c>
      <c r="AD16" s="145">
        <v>0</v>
      </c>
      <c r="AE16" s="145">
        <v>0</v>
      </c>
      <c r="AF16" s="145">
        <v>0</v>
      </c>
      <c r="AG16" s="145">
        <v>0</v>
      </c>
      <c r="AH16" s="145">
        <v>0</v>
      </c>
      <c r="AI16" s="142">
        <f>AVERAGE(AB16:AH16)</f>
        <v>0</v>
      </c>
      <c r="AJ16" s="141"/>
      <c r="AK16" s="67"/>
      <c r="AL16" s="67"/>
      <c r="AM16" s="24"/>
      <c r="AN16" s="24"/>
      <c r="AO16" s="24"/>
      <c r="AP16" s="71"/>
      <c r="AQ16" s="69" t="s">
        <v>771</v>
      </c>
      <c r="AR16" s="141">
        <v>5</v>
      </c>
      <c r="AS16" s="141" t="s">
        <v>761</v>
      </c>
      <c r="AT16" s="141"/>
      <c r="AU16" s="141"/>
      <c r="AV16" s="141"/>
      <c r="AW16" s="141" t="s">
        <v>757</v>
      </c>
      <c r="AX16" s="141" t="s">
        <v>757</v>
      </c>
      <c r="AY16" s="141"/>
      <c r="AZ16" s="141"/>
      <c r="BA16" s="141"/>
    </row>
    <row r="17" spans="1:53" ht="45" customHeight="1">
      <c r="A17" s="153">
        <f t="shared" si="2"/>
        <v>14</v>
      </c>
      <c r="B17" s="153" t="s">
        <v>57</v>
      </c>
      <c r="C17" s="153" t="s">
        <v>61</v>
      </c>
      <c r="D17" s="28" t="s">
        <v>615</v>
      </c>
      <c r="E17" s="69" t="s">
        <v>780</v>
      </c>
      <c r="F17" s="39">
        <v>3</v>
      </c>
      <c r="G17" s="141" t="s">
        <v>764</v>
      </c>
      <c r="H17" s="141" t="s">
        <v>770</v>
      </c>
      <c r="I17" s="141"/>
      <c r="J17" s="141" t="s">
        <v>14</v>
      </c>
      <c r="K17" s="141"/>
      <c r="L17" s="69"/>
      <c r="M17" s="141"/>
      <c r="N17" s="59">
        <v>5</v>
      </c>
      <c r="O17" s="59">
        <v>5</v>
      </c>
      <c r="P17" s="105" t="s">
        <v>34</v>
      </c>
      <c r="Q17" s="105" t="s">
        <v>34</v>
      </c>
      <c r="R17" s="105"/>
      <c r="S17" s="105" t="s">
        <v>1151</v>
      </c>
      <c r="T17" s="105" t="s">
        <v>1064</v>
      </c>
      <c r="U17" s="90">
        <v>45965</v>
      </c>
      <c r="V17" s="90">
        <v>45968</v>
      </c>
      <c r="W17" s="90"/>
      <c r="X17" s="90"/>
      <c r="Y17" s="93" t="s">
        <v>1184</v>
      </c>
      <c r="Z17" s="96"/>
      <c r="AA17" s="96" t="s">
        <v>1021</v>
      </c>
      <c r="AB17" s="29">
        <v>0</v>
      </c>
      <c r="AC17" s="145">
        <v>0</v>
      </c>
      <c r="AD17" s="145">
        <v>0</v>
      </c>
      <c r="AE17" s="145">
        <v>0</v>
      </c>
      <c r="AF17" s="145">
        <v>0</v>
      </c>
      <c r="AG17" s="145">
        <v>0</v>
      </c>
      <c r="AH17" s="145">
        <v>0</v>
      </c>
      <c r="AI17" s="142">
        <f>AVERAGE(AB17:AH17)</f>
        <v>0</v>
      </c>
      <c r="AJ17" s="141"/>
      <c r="AK17" s="67"/>
      <c r="AL17" s="67"/>
      <c r="AM17" s="24"/>
      <c r="AN17" s="24"/>
      <c r="AO17" s="24"/>
      <c r="AP17" s="71"/>
      <c r="AQ17" s="69" t="s">
        <v>781</v>
      </c>
      <c r="AR17" s="141"/>
      <c r="AS17" s="141"/>
      <c r="AT17" s="141">
        <v>150</v>
      </c>
      <c r="AU17" s="141"/>
      <c r="AV17" s="141"/>
      <c r="AW17" s="141"/>
      <c r="AX17" s="141" t="s">
        <v>757</v>
      </c>
      <c r="AY17" s="141" t="s">
        <v>757</v>
      </c>
      <c r="AZ17" s="141" t="s">
        <v>757</v>
      </c>
      <c r="BA17" s="141"/>
    </row>
    <row r="18" spans="1:53" ht="45" customHeight="1">
      <c r="A18" s="153">
        <f t="shared" si="2"/>
        <v>15</v>
      </c>
      <c r="B18" s="153" t="s">
        <v>57</v>
      </c>
      <c r="C18" s="153" t="s">
        <v>61</v>
      </c>
      <c r="D18" s="28" t="s">
        <v>693</v>
      </c>
      <c r="E18" s="69" t="s">
        <v>775</v>
      </c>
      <c r="F18" s="39">
        <v>2</v>
      </c>
      <c r="G18" s="141" t="s">
        <v>764</v>
      </c>
      <c r="H18" s="141" t="s">
        <v>770</v>
      </c>
      <c r="I18" s="141"/>
      <c r="J18" s="141" t="s">
        <v>26</v>
      </c>
      <c r="K18" s="141"/>
      <c r="L18" s="69"/>
      <c r="M18" s="141"/>
      <c r="N18" s="59">
        <v>3</v>
      </c>
      <c r="O18" s="59">
        <v>4</v>
      </c>
      <c r="P18" s="105" t="s">
        <v>34</v>
      </c>
      <c r="Q18" s="105" t="s">
        <v>32</v>
      </c>
      <c r="R18" s="105"/>
      <c r="S18" s="105" t="s">
        <v>1152</v>
      </c>
      <c r="T18" s="105" t="s">
        <v>1064</v>
      </c>
      <c r="U18" s="90">
        <v>45958</v>
      </c>
      <c r="V18" s="90">
        <v>45966</v>
      </c>
      <c r="W18" s="90">
        <v>45992</v>
      </c>
      <c r="X18" s="90"/>
      <c r="Y18" s="93" t="s">
        <v>1025</v>
      </c>
      <c r="Z18" s="96" t="s">
        <v>695</v>
      </c>
      <c r="AA18" s="96"/>
      <c r="AB18" s="29">
        <v>0</v>
      </c>
      <c r="AC18" s="145">
        <v>0</v>
      </c>
      <c r="AD18" s="145">
        <v>0</v>
      </c>
      <c r="AE18" s="145">
        <v>0</v>
      </c>
      <c r="AF18" s="145">
        <v>0</v>
      </c>
      <c r="AG18" s="145">
        <v>0</v>
      </c>
      <c r="AH18" s="145">
        <v>0</v>
      </c>
      <c r="AI18" s="142">
        <f>AVERAGE(AB18:AH18)</f>
        <v>0</v>
      </c>
      <c r="AJ18" s="141"/>
      <c r="AK18" s="67"/>
      <c r="AL18" s="67"/>
      <c r="AM18" s="24"/>
      <c r="AN18" s="24"/>
      <c r="AO18" s="24"/>
      <c r="AP18" s="71"/>
      <c r="AQ18" s="69" t="s">
        <v>776</v>
      </c>
      <c r="AR18" s="141">
        <v>5</v>
      </c>
      <c r="AS18" s="141" t="s">
        <v>761</v>
      </c>
      <c r="AT18" s="141"/>
      <c r="AU18" s="141"/>
      <c r="AV18" s="141"/>
      <c r="AW18" s="141" t="s">
        <v>757</v>
      </c>
      <c r="AX18" s="141" t="s">
        <v>757</v>
      </c>
      <c r="AY18" s="141"/>
      <c r="AZ18" s="141"/>
      <c r="BA18" s="141" t="s">
        <v>757</v>
      </c>
    </row>
    <row r="19" spans="1:53" ht="45" customHeight="1">
      <c r="A19" s="153">
        <f t="shared" si="2"/>
        <v>16</v>
      </c>
      <c r="B19" s="153" t="s">
        <v>57</v>
      </c>
      <c r="C19" s="153" t="s">
        <v>61</v>
      </c>
      <c r="D19" s="28" t="s">
        <v>906</v>
      </c>
      <c r="E19" s="69" t="s">
        <v>907</v>
      </c>
      <c r="F19" s="39">
        <v>1</v>
      </c>
      <c r="G19" s="141" t="s">
        <v>764</v>
      </c>
      <c r="H19" s="141"/>
      <c r="I19" s="141"/>
      <c r="J19" s="141" t="s">
        <v>6</v>
      </c>
      <c r="K19" s="141"/>
      <c r="L19" s="69"/>
      <c r="M19" s="141"/>
      <c r="N19" s="59"/>
      <c r="O19" s="59"/>
      <c r="P19" s="105"/>
      <c r="Q19" s="105"/>
      <c r="R19" s="105"/>
      <c r="S19" s="105" t="s">
        <v>1069</v>
      </c>
      <c r="T19" s="105" t="s">
        <v>764</v>
      </c>
      <c r="U19" s="90"/>
      <c r="V19" s="90">
        <v>45982</v>
      </c>
      <c r="W19" s="90">
        <v>45982</v>
      </c>
      <c r="X19" s="90"/>
      <c r="Y19" s="93"/>
      <c r="Z19" s="96" t="s">
        <v>908</v>
      </c>
      <c r="AA19" s="96"/>
      <c r="AB19" s="29"/>
      <c r="AC19" s="145"/>
      <c r="AD19" s="145"/>
      <c r="AE19" s="145"/>
      <c r="AF19" s="145"/>
      <c r="AG19" s="145"/>
      <c r="AH19" s="145"/>
      <c r="AI19" s="142"/>
      <c r="AJ19" s="141"/>
      <c r="AK19" s="67"/>
      <c r="AL19" s="67"/>
      <c r="AM19" s="24"/>
      <c r="AN19" s="24"/>
      <c r="AO19" s="24"/>
      <c r="AP19" s="71"/>
      <c r="AQ19" s="69"/>
      <c r="AR19" s="141"/>
      <c r="AS19" s="141"/>
      <c r="AT19" s="141"/>
      <c r="AU19" s="141"/>
      <c r="AV19" s="141"/>
      <c r="AW19" s="141"/>
      <c r="AX19" s="141"/>
      <c r="AY19" s="141"/>
      <c r="AZ19" s="141"/>
      <c r="BA19" s="141"/>
    </row>
    <row r="20" spans="1:53" ht="45" customHeight="1">
      <c r="A20" s="153">
        <f t="shared" si="2"/>
        <v>17</v>
      </c>
      <c r="B20" s="153" t="s">
        <v>57</v>
      </c>
      <c r="C20" s="153" t="s">
        <v>61</v>
      </c>
      <c r="D20" s="28" t="s">
        <v>697</v>
      </c>
      <c r="E20" s="69" t="s">
        <v>800</v>
      </c>
      <c r="F20" s="39">
        <v>2</v>
      </c>
      <c r="G20" s="141" t="s">
        <v>764</v>
      </c>
      <c r="H20" s="141" t="s">
        <v>770</v>
      </c>
      <c r="I20" s="141"/>
      <c r="J20" s="141" t="s">
        <v>6</v>
      </c>
      <c r="K20" s="21"/>
      <c r="L20" s="69"/>
      <c r="M20" s="141"/>
      <c r="N20" s="59">
        <v>1</v>
      </c>
      <c r="O20" s="59">
        <v>4</v>
      </c>
      <c r="P20" s="105"/>
      <c r="Q20" s="105"/>
      <c r="R20" s="105"/>
      <c r="S20" s="105" t="s">
        <v>1155</v>
      </c>
      <c r="T20" s="105" t="s">
        <v>1062</v>
      </c>
      <c r="U20" s="90">
        <v>45778</v>
      </c>
      <c r="V20" s="90">
        <v>45986</v>
      </c>
      <c r="W20" s="90">
        <v>45986</v>
      </c>
      <c r="X20" s="90"/>
      <c r="Y20" s="93" t="s">
        <v>899</v>
      </c>
      <c r="Z20" s="96" t="s">
        <v>699</v>
      </c>
      <c r="AA20" s="96"/>
      <c r="AB20" s="29">
        <v>0</v>
      </c>
      <c r="AC20" s="145">
        <v>0</v>
      </c>
      <c r="AD20" s="145">
        <v>0</v>
      </c>
      <c r="AE20" s="145">
        <v>0</v>
      </c>
      <c r="AF20" s="145">
        <v>0</v>
      </c>
      <c r="AG20" s="145">
        <v>0</v>
      </c>
      <c r="AH20" s="145">
        <v>0</v>
      </c>
      <c r="AI20" s="142">
        <f t="shared" ref="AI20:AI49" si="3">AVERAGE(AB20:AH20)</f>
        <v>0</v>
      </c>
      <c r="AJ20" s="141"/>
      <c r="AK20" s="67"/>
      <c r="AL20" s="67"/>
      <c r="AM20" s="24"/>
      <c r="AN20" s="24"/>
      <c r="AO20" s="24"/>
      <c r="AP20" s="71"/>
      <c r="AQ20" s="69" t="s">
        <v>801</v>
      </c>
      <c r="AR20" s="141"/>
      <c r="AS20" s="141"/>
      <c r="AT20" s="141"/>
      <c r="AU20" s="141">
        <v>100</v>
      </c>
      <c r="AV20" s="86">
        <v>46023</v>
      </c>
      <c r="AW20" s="141" t="s">
        <v>757</v>
      </c>
      <c r="AX20" s="141" t="s">
        <v>757</v>
      </c>
      <c r="AY20" s="141"/>
      <c r="AZ20" s="141"/>
      <c r="BA20" s="141"/>
    </row>
    <row r="21" spans="1:53" ht="45" customHeight="1">
      <c r="A21" s="153">
        <f t="shared" si="2"/>
        <v>18</v>
      </c>
      <c r="B21" s="153" t="s">
        <v>57</v>
      </c>
      <c r="C21" s="153" t="s">
        <v>61</v>
      </c>
      <c r="D21" s="28" t="s">
        <v>703</v>
      </c>
      <c r="E21" s="69" t="s">
        <v>791</v>
      </c>
      <c r="F21" s="39">
        <v>2</v>
      </c>
      <c r="G21" s="141" t="s">
        <v>764</v>
      </c>
      <c r="H21" s="141" t="s">
        <v>770</v>
      </c>
      <c r="I21" s="141"/>
      <c r="J21" s="141" t="s">
        <v>6</v>
      </c>
      <c r="K21" s="141"/>
      <c r="L21" s="69"/>
      <c r="M21" s="141"/>
      <c r="N21" s="59">
        <v>2</v>
      </c>
      <c r="O21" s="59">
        <v>2</v>
      </c>
      <c r="P21" s="105"/>
      <c r="Q21" s="105"/>
      <c r="R21" s="105"/>
      <c r="S21" s="105" t="s">
        <v>1156</v>
      </c>
      <c r="T21" s="105" t="s">
        <v>1081</v>
      </c>
      <c r="U21" s="90">
        <v>45975</v>
      </c>
      <c r="V21" s="90">
        <v>45988</v>
      </c>
      <c r="W21" s="90">
        <v>45988</v>
      </c>
      <c r="X21" s="90"/>
      <c r="Y21" s="93"/>
      <c r="Z21" s="96" t="s">
        <v>704</v>
      </c>
      <c r="AA21" s="96"/>
      <c r="AB21" s="29">
        <v>0</v>
      </c>
      <c r="AC21" s="145">
        <v>0</v>
      </c>
      <c r="AD21" s="145">
        <v>0</v>
      </c>
      <c r="AE21" s="145">
        <v>0</v>
      </c>
      <c r="AF21" s="145">
        <v>0</v>
      </c>
      <c r="AG21" s="145">
        <v>0</v>
      </c>
      <c r="AH21" s="145">
        <v>0</v>
      </c>
      <c r="AI21" s="142">
        <f t="shared" si="3"/>
        <v>0</v>
      </c>
      <c r="AJ21" s="141"/>
      <c r="AK21" s="67"/>
      <c r="AL21" s="67"/>
      <c r="AM21" s="24"/>
      <c r="AN21" s="24"/>
      <c r="AO21" s="24"/>
      <c r="AP21" s="71"/>
      <c r="AQ21" s="69" t="s">
        <v>792</v>
      </c>
      <c r="AR21" s="141"/>
      <c r="AS21" s="141"/>
      <c r="AT21" s="141"/>
      <c r="AU21" s="141">
        <v>35</v>
      </c>
      <c r="AV21" s="86">
        <v>46023</v>
      </c>
      <c r="AW21" s="141" t="s">
        <v>757</v>
      </c>
      <c r="AX21" s="141" t="s">
        <v>757</v>
      </c>
      <c r="AY21" s="141" t="s">
        <v>757</v>
      </c>
      <c r="AZ21" s="141"/>
      <c r="BA21" s="141"/>
    </row>
    <row r="22" spans="1:53" ht="45" customHeight="1">
      <c r="A22" s="153">
        <f t="shared" si="2"/>
        <v>19</v>
      </c>
      <c r="B22" s="153" t="s">
        <v>57</v>
      </c>
      <c r="C22" s="153" t="s">
        <v>65</v>
      </c>
      <c r="D22" s="28" t="s">
        <v>707</v>
      </c>
      <c r="E22" s="69" t="s">
        <v>829</v>
      </c>
      <c r="F22" s="39">
        <v>4</v>
      </c>
      <c r="G22" s="141" t="s">
        <v>794</v>
      </c>
      <c r="H22" s="141" t="s">
        <v>797</v>
      </c>
      <c r="I22" s="141"/>
      <c r="J22" s="141" t="s">
        <v>14</v>
      </c>
      <c r="K22" s="141"/>
      <c r="L22" s="69"/>
      <c r="M22" s="141">
        <v>300</v>
      </c>
      <c r="N22" s="59"/>
      <c r="O22" s="59"/>
      <c r="P22" s="105" t="s">
        <v>33</v>
      </c>
      <c r="Q22" s="105" t="s">
        <v>31</v>
      </c>
      <c r="R22" s="105"/>
      <c r="S22" s="105" t="s">
        <v>1185</v>
      </c>
      <c r="T22" s="105" t="s">
        <v>1186</v>
      </c>
      <c r="U22" s="90"/>
      <c r="V22" s="90">
        <v>45996</v>
      </c>
      <c r="W22" s="90">
        <v>45996</v>
      </c>
      <c r="X22" s="90">
        <v>46041</v>
      </c>
      <c r="Y22" s="93" t="s">
        <v>1167</v>
      </c>
      <c r="Z22" s="96"/>
      <c r="AA22" s="96"/>
      <c r="AB22" s="29">
        <v>0</v>
      </c>
      <c r="AC22" s="145">
        <v>0</v>
      </c>
      <c r="AD22" s="145">
        <v>0</v>
      </c>
      <c r="AE22" s="145">
        <v>0</v>
      </c>
      <c r="AF22" s="145">
        <v>0</v>
      </c>
      <c r="AG22" s="145">
        <v>0</v>
      </c>
      <c r="AH22" s="145">
        <v>0</v>
      </c>
      <c r="AI22" s="142">
        <f t="shared" si="3"/>
        <v>0</v>
      </c>
      <c r="AJ22" s="141"/>
      <c r="AK22" s="67"/>
      <c r="AL22" s="67"/>
      <c r="AM22" s="24"/>
      <c r="AN22" s="24"/>
      <c r="AO22" s="24"/>
      <c r="AP22" s="71"/>
      <c r="AQ22" s="69" t="s">
        <v>830</v>
      </c>
      <c r="AR22" s="141">
        <v>10</v>
      </c>
      <c r="AS22" s="141" t="s">
        <v>756</v>
      </c>
      <c r="AT22" s="141">
        <v>300</v>
      </c>
      <c r="AU22" s="141"/>
      <c r="AV22" s="86">
        <v>45901</v>
      </c>
      <c r="AW22" s="141" t="s">
        <v>757</v>
      </c>
      <c r="AX22" s="141"/>
      <c r="AY22" s="141"/>
      <c r="AZ22" s="141"/>
      <c r="BA22" s="141"/>
    </row>
    <row r="23" spans="1:53" ht="45" customHeight="1">
      <c r="A23" s="153">
        <f t="shared" si="2"/>
        <v>20</v>
      </c>
      <c r="B23" s="153" t="s">
        <v>58</v>
      </c>
      <c r="C23" s="153" t="s">
        <v>61</v>
      </c>
      <c r="D23" s="28" t="s">
        <v>639</v>
      </c>
      <c r="E23" s="69" t="s">
        <v>796</v>
      </c>
      <c r="F23" s="39">
        <v>3</v>
      </c>
      <c r="G23" s="141" t="s">
        <v>794</v>
      </c>
      <c r="H23" s="141" t="s">
        <v>797</v>
      </c>
      <c r="I23" s="141"/>
      <c r="J23" s="141" t="s">
        <v>6</v>
      </c>
      <c r="K23" s="21"/>
      <c r="L23" s="69"/>
      <c r="M23" s="141"/>
      <c r="N23" s="59"/>
      <c r="O23" s="59"/>
      <c r="P23" s="105"/>
      <c r="Q23" s="105" t="s">
        <v>31</v>
      </c>
      <c r="R23" s="105"/>
      <c r="S23" s="105" t="s">
        <v>1124</v>
      </c>
      <c r="T23" s="105" t="s">
        <v>1125</v>
      </c>
      <c r="U23" s="90"/>
      <c r="V23" s="90"/>
      <c r="W23" s="90"/>
      <c r="X23" s="90"/>
      <c r="Y23" s="93" t="s">
        <v>1126</v>
      </c>
      <c r="Z23" s="96"/>
      <c r="AA23" s="96"/>
      <c r="AB23" s="29">
        <v>0</v>
      </c>
      <c r="AC23" s="145">
        <v>0</v>
      </c>
      <c r="AD23" s="145">
        <v>0</v>
      </c>
      <c r="AE23" s="145">
        <v>0</v>
      </c>
      <c r="AF23" s="145">
        <v>0</v>
      </c>
      <c r="AG23" s="145">
        <v>0</v>
      </c>
      <c r="AH23" s="145">
        <v>0</v>
      </c>
      <c r="AI23" s="142">
        <f t="shared" si="3"/>
        <v>0</v>
      </c>
      <c r="AJ23" s="141"/>
      <c r="AK23" s="67"/>
      <c r="AL23" s="67"/>
      <c r="AM23" s="24"/>
      <c r="AN23" s="24"/>
      <c r="AO23" s="24"/>
      <c r="AP23" s="71"/>
      <c r="AQ23" s="69" t="s">
        <v>798</v>
      </c>
      <c r="AR23" s="141"/>
      <c r="AS23" s="141"/>
      <c r="AT23" s="141"/>
      <c r="AU23" s="141">
        <v>40</v>
      </c>
      <c r="AV23" s="86">
        <v>45962</v>
      </c>
      <c r="AW23" s="141" t="s">
        <v>757</v>
      </c>
      <c r="AX23" s="141"/>
      <c r="AY23" s="141"/>
      <c r="AZ23" s="141"/>
      <c r="BA23" s="141" t="s">
        <v>757</v>
      </c>
    </row>
    <row r="24" spans="1:53" ht="45" customHeight="1">
      <c r="A24" s="153">
        <f t="shared" si="2"/>
        <v>21</v>
      </c>
      <c r="B24" s="153" t="s">
        <v>57</v>
      </c>
      <c r="C24" s="153" t="s">
        <v>63</v>
      </c>
      <c r="D24" s="28" t="s">
        <v>683</v>
      </c>
      <c r="E24" s="69"/>
      <c r="F24" s="39">
        <v>1</v>
      </c>
      <c r="G24" s="141" t="s">
        <v>794</v>
      </c>
      <c r="H24" s="141" t="s">
        <v>765</v>
      </c>
      <c r="I24" s="141"/>
      <c r="J24" s="141" t="s">
        <v>26</v>
      </c>
      <c r="K24" s="141"/>
      <c r="L24" s="69"/>
      <c r="M24" s="141"/>
      <c r="N24" s="59">
        <v>5</v>
      </c>
      <c r="O24" s="59">
        <v>5</v>
      </c>
      <c r="P24" s="105" t="s">
        <v>34</v>
      </c>
      <c r="Q24" s="105" t="s">
        <v>34</v>
      </c>
      <c r="R24" s="105"/>
      <c r="S24" s="105" t="s">
        <v>1187</v>
      </c>
      <c r="T24" s="105" t="s">
        <v>1188</v>
      </c>
      <c r="U24" s="90">
        <v>45974</v>
      </c>
      <c r="V24" s="90">
        <v>45994</v>
      </c>
      <c r="W24" s="90">
        <v>45994</v>
      </c>
      <c r="X24" s="90">
        <v>45989</v>
      </c>
      <c r="Y24" s="93" t="s">
        <v>1105</v>
      </c>
      <c r="Z24" s="96" t="s">
        <v>684</v>
      </c>
      <c r="AA24" s="96" t="s">
        <v>1106</v>
      </c>
      <c r="AB24" s="29">
        <v>0</v>
      </c>
      <c r="AC24" s="145">
        <v>0</v>
      </c>
      <c r="AD24" s="145">
        <v>0</v>
      </c>
      <c r="AE24" s="145">
        <v>0</v>
      </c>
      <c r="AF24" s="145">
        <v>0</v>
      </c>
      <c r="AG24" s="145">
        <v>0</v>
      </c>
      <c r="AH24" s="145">
        <v>0</v>
      </c>
      <c r="AI24" s="142">
        <f t="shared" si="3"/>
        <v>0</v>
      </c>
      <c r="AJ24" s="141"/>
      <c r="AK24" s="67"/>
      <c r="AL24" s="67"/>
      <c r="AM24" s="24"/>
      <c r="AN24" s="24"/>
      <c r="AO24" s="24"/>
      <c r="AP24" s="71"/>
      <c r="AQ24" s="69" t="s">
        <v>858</v>
      </c>
      <c r="AR24" s="141">
        <v>5</v>
      </c>
      <c r="AS24" s="141" t="s">
        <v>756</v>
      </c>
      <c r="AT24" s="141"/>
      <c r="AU24" s="141">
        <v>250</v>
      </c>
      <c r="AV24" s="86">
        <v>45931</v>
      </c>
      <c r="AW24" s="141" t="s">
        <v>757</v>
      </c>
      <c r="AX24" s="141" t="s">
        <v>757</v>
      </c>
      <c r="AY24" s="141"/>
      <c r="AZ24" s="141"/>
      <c r="BA24" s="141"/>
    </row>
    <row r="25" spans="1:53" ht="45" customHeight="1">
      <c r="A25" s="153">
        <f t="shared" si="2"/>
        <v>22</v>
      </c>
      <c r="B25" s="153" t="s">
        <v>57</v>
      </c>
      <c r="C25" s="153" t="s">
        <v>65</v>
      </c>
      <c r="D25" s="28" t="s">
        <v>143</v>
      </c>
      <c r="E25" s="69" t="s">
        <v>820</v>
      </c>
      <c r="F25" s="39">
        <v>1</v>
      </c>
      <c r="G25" s="141" t="s">
        <v>794</v>
      </c>
      <c r="H25" s="141" t="s">
        <v>765</v>
      </c>
      <c r="I25" s="141"/>
      <c r="J25" s="141" t="s">
        <v>6</v>
      </c>
      <c r="K25" s="21"/>
      <c r="L25" s="69"/>
      <c r="M25" s="141"/>
      <c r="N25" s="59">
        <v>3</v>
      </c>
      <c r="O25" s="59">
        <v>3</v>
      </c>
      <c r="P25" s="105" t="s">
        <v>33</v>
      </c>
      <c r="Q25" s="105" t="s">
        <v>33</v>
      </c>
      <c r="R25" s="105"/>
      <c r="S25" s="105" t="s">
        <v>1189</v>
      </c>
      <c r="T25" s="105" t="s">
        <v>1085</v>
      </c>
      <c r="U25" s="90"/>
      <c r="V25" s="90">
        <v>45988</v>
      </c>
      <c r="W25" s="90">
        <v>45988</v>
      </c>
      <c r="X25" s="90"/>
      <c r="Y25" s="93" t="s">
        <v>1070</v>
      </c>
      <c r="Z25" s="96" t="s">
        <v>1071</v>
      </c>
      <c r="AA25" s="96"/>
      <c r="AB25" s="29">
        <v>0</v>
      </c>
      <c r="AC25" s="145">
        <v>0</v>
      </c>
      <c r="AD25" s="145">
        <v>0</v>
      </c>
      <c r="AE25" s="145">
        <v>0</v>
      </c>
      <c r="AF25" s="145">
        <v>0</v>
      </c>
      <c r="AG25" s="145">
        <v>0</v>
      </c>
      <c r="AH25" s="145">
        <v>0</v>
      </c>
      <c r="AI25" s="142">
        <f t="shared" si="3"/>
        <v>0</v>
      </c>
      <c r="AJ25" s="141"/>
      <c r="AK25" s="67"/>
      <c r="AL25" s="67"/>
      <c r="AM25" s="24"/>
      <c r="AN25" s="24"/>
      <c r="AO25" s="24"/>
      <c r="AP25" s="71"/>
      <c r="AQ25" s="69" t="s">
        <v>821</v>
      </c>
      <c r="AR25" s="141">
        <v>2</v>
      </c>
      <c r="AS25" s="141" t="s">
        <v>761</v>
      </c>
      <c r="AT25" s="141"/>
      <c r="AU25" s="141">
        <v>100</v>
      </c>
      <c r="AV25" s="86">
        <v>45931</v>
      </c>
      <c r="AW25" s="141" t="s">
        <v>757</v>
      </c>
      <c r="AX25" s="141" t="s">
        <v>757</v>
      </c>
      <c r="AY25" s="141"/>
      <c r="AZ25" s="141"/>
      <c r="BA25" s="141" t="s">
        <v>757</v>
      </c>
    </row>
    <row r="26" spans="1:53" ht="45" customHeight="1">
      <c r="A26" s="153">
        <f t="shared" si="2"/>
        <v>23</v>
      </c>
      <c r="B26" s="153" t="s">
        <v>57</v>
      </c>
      <c r="C26" s="153" t="s">
        <v>61</v>
      </c>
      <c r="D26" s="28" t="s">
        <v>630</v>
      </c>
      <c r="E26" s="69" t="s">
        <v>793</v>
      </c>
      <c r="F26" s="39">
        <v>1</v>
      </c>
      <c r="G26" s="141" t="s">
        <v>1085</v>
      </c>
      <c r="H26" s="141" t="s">
        <v>765</v>
      </c>
      <c r="I26" s="141"/>
      <c r="J26" s="141" t="s">
        <v>6</v>
      </c>
      <c r="K26" s="21"/>
      <c r="L26" s="69"/>
      <c r="M26" s="141"/>
      <c r="N26" s="59">
        <v>2</v>
      </c>
      <c r="O26" s="59">
        <v>4</v>
      </c>
      <c r="P26" s="105" t="s">
        <v>32</v>
      </c>
      <c r="Q26" s="105" t="s">
        <v>32</v>
      </c>
      <c r="R26" s="105"/>
      <c r="S26" s="105"/>
      <c r="T26" s="105"/>
      <c r="U26" s="90">
        <v>45952</v>
      </c>
      <c r="V26" s="90">
        <v>45952</v>
      </c>
      <c r="W26" s="90"/>
      <c r="X26" s="90"/>
      <c r="Y26" s="93" t="s">
        <v>631</v>
      </c>
      <c r="Z26" s="96" t="s">
        <v>632</v>
      </c>
      <c r="AA26" s="96"/>
      <c r="AB26" s="29">
        <v>0</v>
      </c>
      <c r="AC26" s="145">
        <v>0</v>
      </c>
      <c r="AD26" s="145">
        <v>0</v>
      </c>
      <c r="AE26" s="145">
        <v>0</v>
      </c>
      <c r="AF26" s="145">
        <v>0</v>
      </c>
      <c r="AG26" s="145">
        <v>0</v>
      </c>
      <c r="AH26" s="145">
        <v>0</v>
      </c>
      <c r="AI26" s="142">
        <f t="shared" si="3"/>
        <v>0</v>
      </c>
      <c r="AJ26" s="141"/>
      <c r="AK26" s="67"/>
      <c r="AL26" s="67"/>
      <c r="AM26" s="24"/>
      <c r="AN26" s="24"/>
      <c r="AO26" s="24"/>
      <c r="AP26" s="71"/>
      <c r="AQ26" s="69" t="s">
        <v>795</v>
      </c>
      <c r="AR26" s="141"/>
      <c r="AS26" s="141"/>
      <c r="AT26" s="141"/>
      <c r="AU26" s="141">
        <v>40</v>
      </c>
      <c r="AV26" s="86">
        <v>45931</v>
      </c>
      <c r="AW26" s="141" t="s">
        <v>757</v>
      </c>
      <c r="AX26" s="141"/>
      <c r="AY26" s="141"/>
      <c r="AZ26" s="141"/>
      <c r="BA26" s="141" t="s">
        <v>757</v>
      </c>
    </row>
    <row r="27" spans="1:53" ht="45" customHeight="1">
      <c r="A27" s="153">
        <f t="shared" si="2"/>
        <v>24</v>
      </c>
      <c r="B27" s="153" t="s">
        <v>57</v>
      </c>
      <c r="C27" s="153" t="s">
        <v>61</v>
      </c>
      <c r="D27" s="28" t="s">
        <v>643</v>
      </c>
      <c r="E27" s="69" t="s">
        <v>789</v>
      </c>
      <c r="F27" s="39">
        <v>2</v>
      </c>
      <c r="G27" s="141" t="s">
        <v>150</v>
      </c>
      <c r="H27" s="141" t="s">
        <v>770</v>
      </c>
      <c r="I27" s="141"/>
      <c r="J27" s="141" t="s">
        <v>10</v>
      </c>
      <c r="K27" s="141"/>
      <c r="L27" s="69"/>
      <c r="M27" s="141" t="s">
        <v>880</v>
      </c>
      <c r="N27" s="59">
        <v>3</v>
      </c>
      <c r="O27" s="59">
        <v>3</v>
      </c>
      <c r="P27" s="105" t="s">
        <v>33</v>
      </c>
      <c r="Q27" s="105" t="s">
        <v>33</v>
      </c>
      <c r="R27" s="105"/>
      <c r="S27" s="105" t="s">
        <v>1153</v>
      </c>
      <c r="T27" s="105" t="s">
        <v>1190</v>
      </c>
      <c r="U27" s="90">
        <v>45961</v>
      </c>
      <c r="V27" s="90">
        <v>45989</v>
      </c>
      <c r="W27" s="90">
        <v>45989</v>
      </c>
      <c r="X27" s="90">
        <v>45985</v>
      </c>
      <c r="Y27" s="93" t="s">
        <v>1059</v>
      </c>
      <c r="Z27" s="96" t="s">
        <v>894</v>
      </c>
      <c r="AA27" s="96" t="s">
        <v>895</v>
      </c>
      <c r="AB27" s="29">
        <v>0</v>
      </c>
      <c r="AC27" s="145">
        <v>0</v>
      </c>
      <c r="AD27" s="145">
        <v>0</v>
      </c>
      <c r="AE27" s="145">
        <v>0</v>
      </c>
      <c r="AF27" s="145">
        <v>0</v>
      </c>
      <c r="AG27" s="145">
        <v>0</v>
      </c>
      <c r="AH27" s="145">
        <v>0</v>
      </c>
      <c r="AI27" s="142">
        <f t="shared" si="3"/>
        <v>0</v>
      </c>
      <c r="AJ27" s="141"/>
      <c r="AK27" s="67"/>
      <c r="AL27" s="67"/>
      <c r="AM27" s="24"/>
      <c r="AN27" s="24"/>
      <c r="AO27" s="24"/>
      <c r="AP27" s="71"/>
      <c r="AQ27" s="69" t="s">
        <v>790</v>
      </c>
      <c r="AR27" s="141"/>
      <c r="AS27" s="141"/>
      <c r="AT27" s="141"/>
      <c r="AU27" s="141">
        <v>35</v>
      </c>
      <c r="AV27" s="86">
        <v>45931</v>
      </c>
      <c r="AW27" s="141" t="s">
        <v>757</v>
      </c>
      <c r="AX27" s="141" t="s">
        <v>757</v>
      </c>
      <c r="AY27" s="141" t="s">
        <v>757</v>
      </c>
      <c r="AZ27" s="141" t="s">
        <v>757</v>
      </c>
      <c r="BA27" s="141"/>
    </row>
    <row r="28" spans="1:53" ht="45" customHeight="1">
      <c r="A28" s="153">
        <f t="shared" si="2"/>
        <v>25</v>
      </c>
      <c r="B28" s="153" t="s">
        <v>57</v>
      </c>
      <c r="C28" s="153" t="s">
        <v>63</v>
      </c>
      <c r="D28" s="28" t="s">
        <v>154</v>
      </c>
      <c r="E28" s="69" t="s">
        <v>851</v>
      </c>
      <c r="F28" s="39">
        <v>1</v>
      </c>
      <c r="G28" s="141" t="s">
        <v>150</v>
      </c>
      <c r="H28" s="141" t="s">
        <v>765</v>
      </c>
      <c r="I28" s="141"/>
      <c r="J28" s="141" t="s">
        <v>26</v>
      </c>
      <c r="K28" s="141"/>
      <c r="L28" s="69"/>
      <c r="M28" s="141"/>
      <c r="N28" s="59">
        <v>5</v>
      </c>
      <c r="O28" s="59">
        <v>5</v>
      </c>
      <c r="P28" s="105" t="s">
        <v>34</v>
      </c>
      <c r="Q28" s="105" t="s">
        <v>32</v>
      </c>
      <c r="R28" s="105"/>
      <c r="S28" s="105" t="s">
        <v>1191</v>
      </c>
      <c r="T28" s="105" t="s">
        <v>1192</v>
      </c>
      <c r="U28" s="90">
        <v>45973</v>
      </c>
      <c r="V28" s="90">
        <v>45991</v>
      </c>
      <c r="W28" s="90">
        <v>45991</v>
      </c>
      <c r="X28" s="90"/>
      <c r="Y28" s="93" t="s">
        <v>1097</v>
      </c>
      <c r="Z28" s="96" t="s">
        <v>1098</v>
      </c>
      <c r="AA28" s="96" t="s">
        <v>920</v>
      </c>
      <c r="AB28" s="29">
        <v>0</v>
      </c>
      <c r="AC28" s="145">
        <v>0</v>
      </c>
      <c r="AD28" s="145">
        <v>0</v>
      </c>
      <c r="AE28" s="145">
        <v>0</v>
      </c>
      <c r="AF28" s="145">
        <v>0</v>
      </c>
      <c r="AG28" s="145">
        <v>0</v>
      </c>
      <c r="AH28" s="145">
        <v>0</v>
      </c>
      <c r="AI28" s="142">
        <f t="shared" si="3"/>
        <v>0</v>
      </c>
      <c r="AJ28" s="141"/>
      <c r="AK28" s="67"/>
      <c r="AL28" s="67"/>
      <c r="AM28" s="24"/>
      <c r="AN28" s="24"/>
      <c r="AO28" s="24"/>
      <c r="AP28" s="71"/>
      <c r="AQ28" s="69" t="s">
        <v>852</v>
      </c>
      <c r="AR28" s="141">
        <v>5</v>
      </c>
      <c r="AS28" s="141" t="s">
        <v>756</v>
      </c>
      <c r="AT28" s="141"/>
      <c r="AU28" s="141"/>
      <c r="AV28" s="141"/>
      <c r="AW28" s="141" t="s">
        <v>757</v>
      </c>
      <c r="AX28" s="141" t="s">
        <v>757</v>
      </c>
      <c r="AY28" s="141" t="s">
        <v>757</v>
      </c>
      <c r="AZ28" s="141"/>
      <c r="BA28" s="141" t="s">
        <v>757</v>
      </c>
    </row>
    <row r="29" spans="1:53" ht="45" customHeight="1">
      <c r="A29" s="153">
        <f t="shared" si="2"/>
        <v>26</v>
      </c>
      <c r="B29" s="153" t="s">
        <v>57</v>
      </c>
      <c r="C29" s="153" t="s">
        <v>63</v>
      </c>
      <c r="D29" s="28" t="s">
        <v>141</v>
      </c>
      <c r="E29" s="69"/>
      <c r="F29" s="39">
        <v>1</v>
      </c>
      <c r="G29" s="141" t="s">
        <v>150</v>
      </c>
      <c r="H29" s="141" t="s">
        <v>210</v>
      </c>
      <c r="I29" s="141"/>
      <c r="J29" s="141" t="s">
        <v>26</v>
      </c>
      <c r="K29" s="141"/>
      <c r="L29" s="69"/>
      <c r="M29" s="141"/>
      <c r="N29" s="59">
        <v>0</v>
      </c>
      <c r="O29" s="59">
        <v>0</v>
      </c>
      <c r="P29" s="105" t="s">
        <v>31</v>
      </c>
      <c r="Q29" s="105" t="s">
        <v>31</v>
      </c>
      <c r="R29" s="105" t="s">
        <v>1037</v>
      </c>
      <c r="S29" s="105" t="s">
        <v>1193</v>
      </c>
      <c r="T29" s="105" t="s">
        <v>1194</v>
      </c>
      <c r="U29" s="90">
        <v>45945</v>
      </c>
      <c r="V29" s="90">
        <v>45986</v>
      </c>
      <c r="W29" s="90">
        <v>45986</v>
      </c>
      <c r="X29" s="90"/>
      <c r="Y29" s="93" t="s">
        <v>1195</v>
      </c>
      <c r="Z29" s="96" t="s">
        <v>638</v>
      </c>
      <c r="AA29" s="96" t="s">
        <v>922</v>
      </c>
      <c r="AB29" s="29">
        <v>0</v>
      </c>
      <c r="AC29" s="145">
        <v>0</v>
      </c>
      <c r="AD29" s="145">
        <v>0</v>
      </c>
      <c r="AE29" s="145">
        <v>0</v>
      </c>
      <c r="AF29" s="145">
        <v>0</v>
      </c>
      <c r="AG29" s="145">
        <v>0</v>
      </c>
      <c r="AH29" s="145">
        <v>0</v>
      </c>
      <c r="AI29" s="142">
        <f t="shared" si="3"/>
        <v>0</v>
      </c>
      <c r="AJ29" s="141"/>
      <c r="AK29" s="67"/>
      <c r="AL29" s="67"/>
      <c r="AM29" s="24"/>
      <c r="AN29" s="24"/>
      <c r="AO29" s="24"/>
      <c r="AP29" s="71"/>
      <c r="AQ29" s="69" t="s">
        <v>854</v>
      </c>
      <c r="AR29" s="141">
        <v>2</v>
      </c>
      <c r="AS29" s="141" t="s">
        <v>855</v>
      </c>
      <c r="AT29" s="141"/>
      <c r="AU29" s="141">
        <v>50</v>
      </c>
      <c r="AV29" s="86">
        <v>45962</v>
      </c>
      <c r="AW29" s="141" t="s">
        <v>757</v>
      </c>
      <c r="AX29" s="141" t="s">
        <v>757</v>
      </c>
      <c r="AY29" s="141" t="s">
        <v>757</v>
      </c>
      <c r="AZ29" s="141"/>
      <c r="BA29" s="141"/>
    </row>
    <row r="30" spans="1:53" ht="45" customHeight="1">
      <c r="A30" s="153">
        <f t="shared" si="2"/>
        <v>27</v>
      </c>
      <c r="B30" s="153" t="s">
        <v>57</v>
      </c>
      <c r="C30" s="153" t="s">
        <v>61</v>
      </c>
      <c r="D30" s="28" t="s">
        <v>246</v>
      </c>
      <c r="E30" s="69" t="s">
        <v>784</v>
      </c>
      <c r="F30" s="39">
        <v>2</v>
      </c>
      <c r="G30" s="141" t="s">
        <v>150</v>
      </c>
      <c r="H30" s="141" t="s">
        <v>753</v>
      </c>
      <c r="I30" s="141"/>
      <c r="J30" s="141" t="s">
        <v>14</v>
      </c>
      <c r="K30" s="141"/>
      <c r="L30" s="69"/>
      <c r="M30" s="141"/>
      <c r="N30" s="59">
        <v>1</v>
      </c>
      <c r="O30" s="59">
        <v>1</v>
      </c>
      <c r="P30" s="105" t="s">
        <v>31</v>
      </c>
      <c r="Q30" s="105" t="s">
        <v>31</v>
      </c>
      <c r="R30" s="105" t="s">
        <v>882</v>
      </c>
      <c r="S30" s="105" t="s">
        <v>1196</v>
      </c>
      <c r="T30" s="105" t="s">
        <v>1081</v>
      </c>
      <c r="U30" s="90">
        <v>45965</v>
      </c>
      <c r="V30" s="90">
        <v>45982</v>
      </c>
      <c r="W30" s="90">
        <v>45982</v>
      </c>
      <c r="X30" s="90"/>
      <c r="Y30" s="93" t="s">
        <v>1150</v>
      </c>
      <c r="Z30" s="96" t="s">
        <v>701</v>
      </c>
      <c r="AA30" s="96" t="s">
        <v>1134</v>
      </c>
      <c r="AB30" s="29">
        <v>0</v>
      </c>
      <c r="AC30" s="145">
        <v>0</v>
      </c>
      <c r="AD30" s="145">
        <v>0</v>
      </c>
      <c r="AE30" s="145">
        <v>0</v>
      </c>
      <c r="AF30" s="145">
        <v>0</v>
      </c>
      <c r="AG30" s="145">
        <v>0</v>
      </c>
      <c r="AH30" s="145">
        <v>0</v>
      </c>
      <c r="AI30" s="142">
        <f t="shared" si="3"/>
        <v>0</v>
      </c>
      <c r="AJ30" s="141"/>
      <c r="AK30" s="67"/>
      <c r="AL30" s="67"/>
      <c r="AM30" s="24"/>
      <c r="AN30" s="24"/>
      <c r="AO30" s="24"/>
      <c r="AP30" s="71"/>
      <c r="AQ30" s="69" t="s">
        <v>785</v>
      </c>
      <c r="AR30" s="141"/>
      <c r="AS30" s="141"/>
      <c r="AT30" s="141">
        <v>5</v>
      </c>
      <c r="AU30" s="141">
        <v>10</v>
      </c>
      <c r="AV30" s="141"/>
      <c r="AW30" s="141"/>
      <c r="AX30" s="141" t="s">
        <v>757</v>
      </c>
      <c r="AY30" s="141"/>
      <c r="AZ30" s="141" t="s">
        <v>757</v>
      </c>
      <c r="BA30" s="141" t="s">
        <v>757</v>
      </c>
    </row>
    <row r="31" spans="1:53" ht="108" customHeight="1">
      <c r="A31" s="153">
        <f t="shared" si="2"/>
        <v>28</v>
      </c>
      <c r="B31" s="153" t="s">
        <v>58</v>
      </c>
      <c r="C31" s="153" t="s">
        <v>63</v>
      </c>
      <c r="D31" s="28" t="s">
        <v>628</v>
      </c>
      <c r="E31" s="69"/>
      <c r="F31" s="39">
        <v>2</v>
      </c>
      <c r="G31" s="141" t="s">
        <v>150</v>
      </c>
      <c r="H31" s="141" t="s">
        <v>797</v>
      </c>
      <c r="I31" s="141"/>
      <c r="J31" s="141" t="s">
        <v>6</v>
      </c>
      <c r="K31" s="141"/>
      <c r="L31" s="69"/>
      <c r="M31" s="141"/>
      <c r="N31" s="59"/>
      <c r="O31" s="59"/>
      <c r="P31" s="105" t="s">
        <v>33</v>
      </c>
      <c r="Q31" s="105" t="s">
        <v>33</v>
      </c>
      <c r="R31" s="105"/>
      <c r="S31" s="105" t="s">
        <v>1168</v>
      </c>
      <c r="T31" s="105" t="s">
        <v>1125</v>
      </c>
      <c r="U31" s="90"/>
      <c r="V31" s="90"/>
      <c r="W31" s="90"/>
      <c r="X31" s="90"/>
      <c r="Y31" s="93" t="s">
        <v>629</v>
      </c>
      <c r="Z31" s="96"/>
      <c r="AA31" s="96"/>
      <c r="AB31" s="29">
        <v>0</v>
      </c>
      <c r="AC31" s="145">
        <v>0</v>
      </c>
      <c r="AD31" s="145">
        <v>0</v>
      </c>
      <c r="AE31" s="145">
        <v>0</v>
      </c>
      <c r="AF31" s="145">
        <v>0</v>
      </c>
      <c r="AG31" s="145">
        <v>0</v>
      </c>
      <c r="AH31" s="145">
        <v>0</v>
      </c>
      <c r="AI31" s="142">
        <f t="shared" si="3"/>
        <v>0</v>
      </c>
      <c r="AJ31" s="141"/>
      <c r="AK31" s="67"/>
      <c r="AL31" s="67"/>
      <c r="AM31" s="24"/>
      <c r="AN31" s="24"/>
      <c r="AO31" s="24"/>
      <c r="AP31" s="71"/>
      <c r="AQ31" s="69" t="s">
        <v>868</v>
      </c>
      <c r="AR31" s="141"/>
      <c r="AS31" s="141"/>
      <c r="AT31" s="141"/>
      <c r="AU31" s="141">
        <v>60</v>
      </c>
      <c r="AV31" s="86">
        <v>45962</v>
      </c>
      <c r="AW31" s="141" t="s">
        <v>757</v>
      </c>
      <c r="AX31" s="141" t="s">
        <v>757</v>
      </c>
      <c r="AY31" s="141"/>
      <c r="AZ31" s="141"/>
      <c r="BA31" s="141" t="s">
        <v>757</v>
      </c>
    </row>
    <row r="32" spans="1:53" ht="45" customHeight="1">
      <c r="A32" s="153">
        <f t="shared" si="2"/>
        <v>29</v>
      </c>
      <c r="B32" s="153" t="s">
        <v>57</v>
      </c>
      <c r="C32" s="153" t="s">
        <v>63</v>
      </c>
      <c r="D32" s="28" t="s">
        <v>674</v>
      </c>
      <c r="E32" s="69"/>
      <c r="F32" s="39">
        <v>3</v>
      </c>
      <c r="G32" s="141" t="s">
        <v>150</v>
      </c>
      <c r="H32" s="141" t="s">
        <v>805</v>
      </c>
      <c r="I32" s="141"/>
      <c r="J32" s="141" t="s">
        <v>26</v>
      </c>
      <c r="K32" s="21"/>
      <c r="L32" s="69"/>
      <c r="M32" s="141"/>
      <c r="N32" s="59">
        <v>4</v>
      </c>
      <c r="O32" s="59">
        <v>4</v>
      </c>
      <c r="P32" s="105" t="s">
        <v>34</v>
      </c>
      <c r="Q32" s="105" t="s">
        <v>34</v>
      </c>
      <c r="R32" s="105" t="s">
        <v>1031</v>
      </c>
      <c r="S32" s="105" t="s">
        <v>1197</v>
      </c>
      <c r="T32" s="105" t="s">
        <v>1125</v>
      </c>
      <c r="U32" s="90">
        <v>45965</v>
      </c>
      <c r="V32" s="90">
        <v>45986</v>
      </c>
      <c r="W32" s="90">
        <v>45986</v>
      </c>
      <c r="X32" s="90"/>
      <c r="Y32" s="93" t="s">
        <v>1093</v>
      </c>
      <c r="Z32" s="96" t="s">
        <v>1094</v>
      </c>
      <c r="AA32" s="96"/>
      <c r="AB32" s="29">
        <v>0</v>
      </c>
      <c r="AC32" s="145">
        <v>0</v>
      </c>
      <c r="AD32" s="145">
        <v>0</v>
      </c>
      <c r="AE32" s="145">
        <v>0</v>
      </c>
      <c r="AF32" s="145">
        <v>0</v>
      </c>
      <c r="AG32" s="145">
        <v>0</v>
      </c>
      <c r="AH32" s="145">
        <v>0</v>
      </c>
      <c r="AI32" s="142">
        <f t="shared" si="3"/>
        <v>0</v>
      </c>
      <c r="AJ32" s="141"/>
      <c r="AK32" s="67"/>
      <c r="AL32" s="67"/>
      <c r="AM32" s="24"/>
      <c r="AN32" s="24"/>
      <c r="AO32" s="24"/>
      <c r="AP32" s="71"/>
      <c r="AQ32" s="69" t="s">
        <v>849</v>
      </c>
      <c r="AR32" s="141">
        <v>4</v>
      </c>
      <c r="AS32" s="141" t="s">
        <v>756</v>
      </c>
      <c r="AT32" s="141"/>
      <c r="AU32" s="141">
        <v>100</v>
      </c>
      <c r="AV32" s="86">
        <v>45901</v>
      </c>
      <c r="AW32" s="141" t="s">
        <v>757</v>
      </c>
      <c r="AX32" s="141" t="s">
        <v>757</v>
      </c>
      <c r="AY32" s="141" t="s">
        <v>757</v>
      </c>
      <c r="AZ32" s="141" t="s">
        <v>757</v>
      </c>
      <c r="BA32" s="141" t="s">
        <v>757</v>
      </c>
    </row>
    <row r="33" spans="1:53" ht="45" customHeight="1">
      <c r="A33" s="153">
        <f t="shared" si="2"/>
        <v>30</v>
      </c>
      <c r="B33" s="153" t="s">
        <v>57</v>
      </c>
      <c r="C33" s="153" t="s">
        <v>63</v>
      </c>
      <c r="D33" s="28" t="s">
        <v>1111</v>
      </c>
      <c r="E33" s="69" t="s">
        <v>1112</v>
      </c>
      <c r="F33" s="39">
        <v>0</v>
      </c>
      <c r="G33" s="141" t="s">
        <v>150</v>
      </c>
      <c r="H33" s="141" t="s">
        <v>759</v>
      </c>
      <c r="I33" s="141"/>
      <c r="J33" s="141" t="s">
        <v>6</v>
      </c>
      <c r="K33" s="141"/>
      <c r="L33" s="69"/>
      <c r="M33" s="141"/>
      <c r="N33" s="59"/>
      <c r="O33" s="59"/>
      <c r="P33" s="105" t="s">
        <v>33</v>
      </c>
      <c r="Q33" s="105" t="s">
        <v>33</v>
      </c>
      <c r="R33" s="105"/>
      <c r="S33" s="105" t="s">
        <v>1198</v>
      </c>
      <c r="T33" s="105" t="s">
        <v>150</v>
      </c>
      <c r="U33" s="90"/>
      <c r="V33" s="90">
        <v>45985</v>
      </c>
      <c r="W33" s="90">
        <v>45985</v>
      </c>
      <c r="X33" s="90"/>
      <c r="Y33" s="93"/>
      <c r="Z33" s="96" t="s">
        <v>1114</v>
      </c>
      <c r="AA33" s="96"/>
      <c r="AB33" s="29">
        <v>0</v>
      </c>
      <c r="AC33" s="145">
        <v>0</v>
      </c>
      <c r="AD33" s="145">
        <v>0</v>
      </c>
      <c r="AE33" s="145">
        <v>0</v>
      </c>
      <c r="AF33" s="145">
        <v>0</v>
      </c>
      <c r="AG33" s="145">
        <v>0</v>
      </c>
      <c r="AH33" s="145">
        <v>0</v>
      </c>
      <c r="AI33" s="142">
        <f t="shared" si="3"/>
        <v>0</v>
      </c>
      <c r="AJ33" s="141"/>
      <c r="AK33" s="67"/>
      <c r="AL33" s="67"/>
      <c r="AM33" s="24"/>
      <c r="AN33" s="24"/>
      <c r="AO33" s="24"/>
      <c r="AP33" s="71"/>
      <c r="AQ33" s="69"/>
      <c r="AR33" s="141"/>
      <c r="AS33" s="141"/>
      <c r="AT33" s="141"/>
      <c r="AU33" s="141"/>
      <c r="AV33" s="141"/>
      <c r="AW33" s="141"/>
      <c r="AX33" s="141"/>
      <c r="AY33" s="141"/>
      <c r="AZ33" s="141"/>
      <c r="BA33" s="141"/>
    </row>
    <row r="34" spans="1:53" ht="45" customHeight="1">
      <c r="A34" s="153">
        <f t="shared" si="2"/>
        <v>31</v>
      </c>
      <c r="B34" s="153" t="s">
        <v>57</v>
      </c>
      <c r="C34" s="153" t="s">
        <v>65</v>
      </c>
      <c r="D34" s="28" t="s">
        <v>662</v>
      </c>
      <c r="E34" s="69"/>
      <c r="F34" s="39">
        <v>0</v>
      </c>
      <c r="G34" s="141" t="s">
        <v>150</v>
      </c>
      <c r="H34" s="141" t="s">
        <v>805</v>
      </c>
      <c r="I34" s="141"/>
      <c r="J34" s="141" t="s">
        <v>6</v>
      </c>
      <c r="K34" s="21" t="s">
        <v>44</v>
      </c>
      <c r="L34" s="69"/>
      <c r="M34" s="141"/>
      <c r="N34" s="59"/>
      <c r="O34" s="59"/>
      <c r="P34" s="105" t="s">
        <v>35</v>
      </c>
      <c r="Q34" s="105" t="s">
        <v>35</v>
      </c>
      <c r="R34" s="105"/>
      <c r="S34" s="105" t="s">
        <v>1080</v>
      </c>
      <c r="T34" s="105" t="s">
        <v>150</v>
      </c>
      <c r="U34" s="90">
        <v>45966</v>
      </c>
      <c r="V34" s="90">
        <v>46010</v>
      </c>
      <c r="W34" s="90">
        <v>46010</v>
      </c>
      <c r="X34" s="90"/>
      <c r="Y34" s="93" t="s">
        <v>1082</v>
      </c>
      <c r="Z34" s="96" t="s">
        <v>1083</v>
      </c>
      <c r="AA34" s="96"/>
      <c r="AB34" s="29">
        <v>0</v>
      </c>
      <c r="AC34" s="145">
        <v>0</v>
      </c>
      <c r="AD34" s="145">
        <v>0</v>
      </c>
      <c r="AE34" s="145">
        <v>0</v>
      </c>
      <c r="AF34" s="145">
        <v>0</v>
      </c>
      <c r="AG34" s="145">
        <v>0</v>
      </c>
      <c r="AH34" s="145">
        <v>0</v>
      </c>
      <c r="AI34" s="142">
        <f t="shared" si="3"/>
        <v>0</v>
      </c>
      <c r="AJ34" s="141"/>
      <c r="AK34" s="67"/>
      <c r="AL34" s="67"/>
      <c r="AM34" s="24"/>
      <c r="AN34" s="24"/>
      <c r="AO34" s="24"/>
      <c r="AP34" s="71"/>
      <c r="AQ34" s="69"/>
      <c r="AR34" s="141"/>
      <c r="AS34" s="141"/>
      <c r="AT34" s="141"/>
      <c r="AU34" s="141"/>
      <c r="AV34" s="141"/>
      <c r="AW34" s="141"/>
      <c r="AX34" s="141"/>
      <c r="AY34" s="141"/>
      <c r="AZ34" s="141"/>
      <c r="BA34" s="141"/>
    </row>
    <row r="35" spans="1:53" ht="45" customHeight="1">
      <c r="A35" s="153">
        <f t="shared" si="2"/>
        <v>32</v>
      </c>
      <c r="B35" s="153" t="s">
        <v>57</v>
      </c>
      <c r="C35" s="153" t="s">
        <v>61</v>
      </c>
      <c r="D35" s="28" t="s">
        <v>617</v>
      </c>
      <c r="E35" s="69" t="s">
        <v>775</v>
      </c>
      <c r="F35" s="39">
        <v>2</v>
      </c>
      <c r="G35" s="141" t="s">
        <v>150</v>
      </c>
      <c r="H35" s="141" t="s">
        <v>764</v>
      </c>
      <c r="I35" s="141"/>
      <c r="J35" s="141" t="s">
        <v>26</v>
      </c>
      <c r="K35" s="141"/>
      <c r="L35" s="69"/>
      <c r="M35" s="141"/>
      <c r="N35" s="59">
        <v>4</v>
      </c>
      <c r="O35" s="59">
        <v>3.5</v>
      </c>
      <c r="P35" s="105" t="s">
        <v>32</v>
      </c>
      <c r="Q35" s="105" t="s">
        <v>31</v>
      </c>
      <c r="R35" s="105"/>
      <c r="S35" s="105" t="s">
        <v>1130</v>
      </c>
      <c r="T35" s="105" t="s">
        <v>150</v>
      </c>
      <c r="U35" s="90">
        <v>45966</v>
      </c>
      <c r="V35" s="90">
        <v>45989</v>
      </c>
      <c r="W35" s="90">
        <v>45989</v>
      </c>
      <c r="X35" s="90"/>
      <c r="Y35" s="93" t="s">
        <v>1199</v>
      </c>
      <c r="Z35" s="96" t="s">
        <v>619</v>
      </c>
      <c r="AA35" s="96" t="s">
        <v>1170</v>
      </c>
      <c r="AB35" s="29">
        <v>0</v>
      </c>
      <c r="AC35" s="145">
        <v>0</v>
      </c>
      <c r="AD35" s="145">
        <v>0</v>
      </c>
      <c r="AE35" s="145">
        <v>0</v>
      </c>
      <c r="AF35" s="145">
        <v>0</v>
      </c>
      <c r="AG35" s="145">
        <v>0</v>
      </c>
      <c r="AH35" s="145">
        <v>0</v>
      </c>
      <c r="AI35" s="142">
        <f t="shared" si="3"/>
        <v>0</v>
      </c>
      <c r="AJ35" s="141"/>
      <c r="AK35" s="67"/>
      <c r="AL35" s="67"/>
      <c r="AM35" s="24"/>
      <c r="AN35" s="24"/>
      <c r="AO35" s="24"/>
      <c r="AP35" s="71"/>
      <c r="AQ35" s="69" t="s">
        <v>778</v>
      </c>
      <c r="AR35" s="141">
        <v>5</v>
      </c>
      <c r="AS35" s="141" t="s">
        <v>761</v>
      </c>
      <c r="AT35" s="141"/>
      <c r="AU35" s="141"/>
      <c r="AV35" s="141"/>
      <c r="AW35" s="141"/>
      <c r="AX35" s="141" t="s">
        <v>757</v>
      </c>
      <c r="AY35" s="141"/>
      <c r="AZ35" s="141"/>
      <c r="BA35" s="141" t="s">
        <v>757</v>
      </c>
    </row>
    <row r="36" spans="1:53" ht="45" customHeight="1">
      <c r="A36" s="153">
        <f t="shared" ref="A36:A67" si="4">A35+1</f>
        <v>33</v>
      </c>
      <c r="B36" s="153" t="s">
        <v>57</v>
      </c>
      <c r="C36" s="153" t="s">
        <v>65</v>
      </c>
      <c r="D36" s="28" t="s">
        <v>658</v>
      </c>
      <c r="E36" s="69" t="s">
        <v>804</v>
      </c>
      <c r="F36" s="39">
        <v>2</v>
      </c>
      <c r="G36" s="141" t="s">
        <v>150</v>
      </c>
      <c r="H36" s="141" t="s">
        <v>805</v>
      </c>
      <c r="I36" s="141"/>
      <c r="J36" s="141" t="s">
        <v>6</v>
      </c>
      <c r="K36" s="141"/>
      <c r="L36" s="69"/>
      <c r="M36" s="141"/>
      <c r="N36" s="59">
        <v>4</v>
      </c>
      <c r="O36" s="59">
        <v>4</v>
      </c>
      <c r="P36" s="105" t="s">
        <v>34</v>
      </c>
      <c r="Q36" s="105" t="s">
        <v>34</v>
      </c>
      <c r="R36" s="105"/>
      <c r="S36" s="105" t="s">
        <v>1077</v>
      </c>
      <c r="T36" s="105" t="s">
        <v>1104</v>
      </c>
      <c r="U36" s="90">
        <v>45980</v>
      </c>
      <c r="V36" s="90">
        <v>45992</v>
      </c>
      <c r="W36" s="90">
        <v>45992</v>
      </c>
      <c r="X36" s="90"/>
      <c r="Y36" s="129"/>
      <c r="Z36" s="96" t="s">
        <v>1079</v>
      </c>
      <c r="AA36" s="96" t="s">
        <v>661</v>
      </c>
      <c r="AB36" s="29">
        <v>0</v>
      </c>
      <c r="AC36" s="145">
        <v>0</v>
      </c>
      <c r="AD36" s="145">
        <v>0</v>
      </c>
      <c r="AE36" s="145">
        <v>0</v>
      </c>
      <c r="AF36" s="145">
        <v>0</v>
      </c>
      <c r="AG36" s="145">
        <v>0</v>
      </c>
      <c r="AH36" s="145">
        <v>0</v>
      </c>
      <c r="AI36" s="142">
        <f t="shared" si="3"/>
        <v>0</v>
      </c>
      <c r="AJ36" s="141"/>
      <c r="AK36" s="67"/>
      <c r="AL36" s="67"/>
      <c r="AM36" s="24"/>
      <c r="AN36" s="24"/>
      <c r="AO36" s="24"/>
      <c r="AP36" s="71"/>
      <c r="AQ36" s="69" t="s">
        <v>806</v>
      </c>
      <c r="AR36" s="141">
        <v>4</v>
      </c>
      <c r="AS36" s="141" t="s">
        <v>761</v>
      </c>
      <c r="AT36" s="141"/>
      <c r="AU36" s="141"/>
      <c r="AV36" s="141"/>
      <c r="AW36" s="141"/>
      <c r="AX36" s="141" t="s">
        <v>757</v>
      </c>
      <c r="AY36" s="141"/>
      <c r="AZ36" s="141" t="s">
        <v>757</v>
      </c>
      <c r="BA36" s="141"/>
    </row>
    <row r="37" spans="1:53" ht="45" customHeight="1">
      <c r="A37" s="153">
        <f t="shared" si="4"/>
        <v>34</v>
      </c>
      <c r="B37" s="153" t="s">
        <v>57</v>
      </c>
      <c r="C37" s="153" t="s">
        <v>63</v>
      </c>
      <c r="D37" s="28" t="s">
        <v>680</v>
      </c>
      <c r="E37" s="69"/>
      <c r="F37" s="39">
        <v>1</v>
      </c>
      <c r="G37" s="141" t="s">
        <v>150</v>
      </c>
      <c r="H37" s="141" t="s">
        <v>765</v>
      </c>
      <c r="I37" s="141"/>
      <c r="J37" s="141" t="s">
        <v>26</v>
      </c>
      <c r="K37" s="141"/>
      <c r="L37" s="69"/>
      <c r="M37" s="141"/>
      <c r="N37" s="59">
        <v>5</v>
      </c>
      <c r="O37" s="59">
        <v>5</v>
      </c>
      <c r="P37" s="105" t="s">
        <v>34</v>
      </c>
      <c r="Q37" s="105" t="s">
        <v>31</v>
      </c>
      <c r="R37" s="105"/>
      <c r="S37" s="105" t="s">
        <v>1171</v>
      </c>
      <c r="T37" s="105" t="s">
        <v>1172</v>
      </c>
      <c r="U37" s="90">
        <v>45971</v>
      </c>
      <c r="V37" s="90">
        <v>45986</v>
      </c>
      <c r="W37" s="90">
        <v>45986</v>
      </c>
      <c r="X37" s="90"/>
      <c r="Y37" s="93" t="s">
        <v>1173</v>
      </c>
      <c r="Z37" s="134" t="s">
        <v>1200</v>
      </c>
      <c r="AA37" s="96"/>
      <c r="AB37" s="29">
        <v>0</v>
      </c>
      <c r="AC37" s="145">
        <v>0</v>
      </c>
      <c r="AD37" s="145">
        <v>0</v>
      </c>
      <c r="AE37" s="145">
        <v>0</v>
      </c>
      <c r="AF37" s="145">
        <v>0</v>
      </c>
      <c r="AG37" s="145">
        <v>0</v>
      </c>
      <c r="AH37" s="145">
        <v>0</v>
      </c>
      <c r="AI37" s="142">
        <f t="shared" si="3"/>
        <v>0</v>
      </c>
      <c r="AJ37" s="141"/>
      <c r="AK37" s="67"/>
      <c r="AL37" s="67"/>
      <c r="AM37" s="24"/>
      <c r="AN37" s="24"/>
      <c r="AO37" s="24"/>
      <c r="AP37" s="71"/>
      <c r="AQ37" s="69" t="s">
        <v>860</v>
      </c>
      <c r="AR37" s="141">
        <v>5</v>
      </c>
      <c r="AS37" s="141" t="s">
        <v>756</v>
      </c>
      <c r="AT37" s="141"/>
      <c r="AU37" s="141"/>
      <c r="AV37" s="141"/>
      <c r="AW37" s="141"/>
      <c r="AX37" s="141"/>
      <c r="AY37" s="141"/>
      <c r="AZ37" s="141"/>
      <c r="BA37" s="141" t="s">
        <v>757</v>
      </c>
    </row>
    <row r="38" spans="1:53" ht="45" customHeight="1">
      <c r="A38" s="153">
        <f t="shared" si="4"/>
        <v>35</v>
      </c>
      <c r="B38" s="153" t="s">
        <v>57</v>
      </c>
      <c r="C38" s="153" t="s">
        <v>63</v>
      </c>
      <c r="D38" s="28" t="s">
        <v>648</v>
      </c>
      <c r="E38" s="69"/>
      <c r="F38" s="39">
        <v>2</v>
      </c>
      <c r="G38" s="141" t="s">
        <v>150</v>
      </c>
      <c r="H38" s="141" t="s">
        <v>805</v>
      </c>
      <c r="I38" s="141"/>
      <c r="J38" s="141" t="s">
        <v>6</v>
      </c>
      <c r="K38" s="141"/>
      <c r="L38" s="69"/>
      <c r="M38" s="141"/>
      <c r="N38" s="59"/>
      <c r="O38" s="59"/>
      <c r="P38" s="105" t="s">
        <v>33</v>
      </c>
      <c r="Q38" s="105" t="s">
        <v>33</v>
      </c>
      <c r="R38" s="105"/>
      <c r="S38" s="105" t="s">
        <v>1175</v>
      </c>
      <c r="T38" s="105" t="s">
        <v>805</v>
      </c>
      <c r="U38" s="90">
        <v>45925</v>
      </c>
      <c r="V38" s="90">
        <v>45967</v>
      </c>
      <c r="W38" s="90">
        <v>45982</v>
      </c>
      <c r="X38" s="90"/>
      <c r="Y38" s="93"/>
      <c r="Z38" s="93" t="s">
        <v>1176</v>
      </c>
      <c r="AA38" s="96"/>
      <c r="AB38" s="29">
        <v>0</v>
      </c>
      <c r="AC38" s="145">
        <v>0</v>
      </c>
      <c r="AD38" s="145">
        <v>0</v>
      </c>
      <c r="AE38" s="145">
        <v>0</v>
      </c>
      <c r="AF38" s="145">
        <v>0</v>
      </c>
      <c r="AG38" s="145">
        <v>0</v>
      </c>
      <c r="AH38" s="145">
        <v>0</v>
      </c>
      <c r="AI38" s="142">
        <f t="shared" si="3"/>
        <v>0</v>
      </c>
      <c r="AJ38" s="141"/>
      <c r="AK38" s="67"/>
      <c r="AL38" s="67"/>
      <c r="AM38" s="24"/>
      <c r="AN38" s="24"/>
      <c r="AO38" s="24"/>
      <c r="AP38" s="71"/>
      <c r="AQ38" s="69" t="s">
        <v>866</v>
      </c>
      <c r="AR38" s="141"/>
      <c r="AS38" s="141"/>
      <c r="AT38" s="141"/>
      <c r="AU38" s="141">
        <v>30</v>
      </c>
      <c r="AV38" s="86">
        <v>45901</v>
      </c>
      <c r="AW38" s="141" t="s">
        <v>757</v>
      </c>
      <c r="AX38" s="141" t="s">
        <v>757</v>
      </c>
      <c r="AY38" s="141" t="s">
        <v>757</v>
      </c>
      <c r="AZ38" s="141"/>
      <c r="BA38" s="141"/>
    </row>
    <row r="39" spans="1:53" ht="45" customHeight="1">
      <c r="A39" s="153">
        <f t="shared" si="4"/>
        <v>36</v>
      </c>
      <c r="B39" s="153" t="s">
        <v>57</v>
      </c>
      <c r="C39" s="153" t="s">
        <v>65</v>
      </c>
      <c r="D39" s="28" t="s">
        <v>650</v>
      </c>
      <c r="E39" s="69" t="s">
        <v>827</v>
      </c>
      <c r="F39" s="39">
        <v>3</v>
      </c>
      <c r="G39" s="141" t="s">
        <v>150</v>
      </c>
      <c r="H39" s="141" t="s">
        <v>797</v>
      </c>
      <c r="I39" s="141"/>
      <c r="J39" s="141" t="s">
        <v>14</v>
      </c>
      <c r="K39" s="21"/>
      <c r="L39" s="69"/>
      <c r="M39" s="141"/>
      <c r="N39" s="59">
        <v>4</v>
      </c>
      <c r="O39" s="59">
        <v>4</v>
      </c>
      <c r="P39" s="105" t="s">
        <v>34</v>
      </c>
      <c r="Q39" s="105" t="s">
        <v>31</v>
      </c>
      <c r="R39" s="105"/>
      <c r="S39" s="105" t="s">
        <v>1065</v>
      </c>
      <c r="T39" s="105" t="s">
        <v>759</v>
      </c>
      <c r="U39" s="90">
        <v>45965</v>
      </c>
      <c r="V39" s="90">
        <v>45982</v>
      </c>
      <c r="W39" s="90">
        <v>45982</v>
      </c>
      <c r="X39" s="90"/>
      <c r="Y39" s="93" t="s">
        <v>1066</v>
      </c>
      <c r="Z39" s="96" t="s">
        <v>1003</v>
      </c>
      <c r="AA39" s="96"/>
      <c r="AB39" s="29">
        <v>0</v>
      </c>
      <c r="AC39" s="145">
        <v>0</v>
      </c>
      <c r="AD39" s="145">
        <v>0</v>
      </c>
      <c r="AE39" s="145">
        <v>0</v>
      </c>
      <c r="AF39" s="145">
        <v>0</v>
      </c>
      <c r="AG39" s="145">
        <v>0</v>
      </c>
      <c r="AH39" s="145">
        <v>0</v>
      </c>
      <c r="AI39" s="142">
        <f t="shared" si="3"/>
        <v>0</v>
      </c>
      <c r="AJ39" s="141"/>
      <c r="AK39" s="67"/>
      <c r="AL39" s="67"/>
      <c r="AM39" s="24"/>
      <c r="AN39" s="24"/>
      <c r="AO39" s="24"/>
      <c r="AP39" s="71"/>
      <c r="AQ39" s="69" t="s">
        <v>828</v>
      </c>
      <c r="AR39" s="141"/>
      <c r="AS39" s="141"/>
      <c r="AT39" s="141">
        <v>80</v>
      </c>
      <c r="AU39" s="141"/>
      <c r="AV39" s="141"/>
      <c r="AW39" s="141"/>
      <c r="AX39" s="141" t="s">
        <v>757</v>
      </c>
      <c r="AY39" s="141" t="s">
        <v>757</v>
      </c>
      <c r="AZ39" s="141"/>
      <c r="BA39" s="141"/>
    </row>
    <row r="40" spans="1:53" ht="127.5" customHeight="1">
      <c r="A40" s="153">
        <f t="shared" si="4"/>
        <v>37</v>
      </c>
      <c r="B40" s="153" t="s">
        <v>57</v>
      </c>
      <c r="C40" s="153" t="s">
        <v>63</v>
      </c>
      <c r="D40" s="28" t="s">
        <v>608</v>
      </c>
      <c r="E40" s="69"/>
      <c r="F40" s="39">
        <v>1</v>
      </c>
      <c r="G40" s="141" t="s">
        <v>150</v>
      </c>
      <c r="H40" s="141" t="s">
        <v>765</v>
      </c>
      <c r="I40" s="141"/>
      <c r="J40" s="141" t="s">
        <v>26</v>
      </c>
      <c r="K40" s="141"/>
      <c r="L40" s="69"/>
      <c r="M40" s="141"/>
      <c r="N40" s="59">
        <v>0</v>
      </c>
      <c r="O40" s="59">
        <v>0</v>
      </c>
      <c r="P40" s="105" t="s">
        <v>34</v>
      </c>
      <c r="Q40" s="105" t="s">
        <v>31</v>
      </c>
      <c r="R40" s="105"/>
      <c r="S40" s="105" t="s">
        <v>1201</v>
      </c>
      <c r="T40" s="105" t="s">
        <v>1085</v>
      </c>
      <c r="U40" s="90">
        <v>45966</v>
      </c>
      <c r="V40" s="90">
        <v>45982</v>
      </c>
      <c r="W40" s="90">
        <v>45982</v>
      </c>
      <c r="X40" s="90"/>
      <c r="Y40" s="93" t="s">
        <v>1101</v>
      </c>
      <c r="Z40" s="96" t="s">
        <v>1102</v>
      </c>
      <c r="AA40" s="96"/>
      <c r="AB40" s="29">
        <v>0</v>
      </c>
      <c r="AC40" s="145">
        <v>0</v>
      </c>
      <c r="AD40" s="145">
        <v>0</v>
      </c>
      <c r="AE40" s="145">
        <v>0</v>
      </c>
      <c r="AF40" s="145">
        <v>0</v>
      </c>
      <c r="AG40" s="145">
        <v>0</v>
      </c>
      <c r="AH40" s="145">
        <v>0</v>
      </c>
      <c r="AI40" s="142">
        <f t="shared" si="3"/>
        <v>0</v>
      </c>
      <c r="AJ40" s="141"/>
      <c r="AK40" s="67"/>
      <c r="AL40" s="67"/>
      <c r="AM40" s="24"/>
      <c r="AN40" s="24"/>
      <c r="AO40" s="24"/>
      <c r="AP40" s="71"/>
      <c r="AQ40" s="69" t="s">
        <v>857</v>
      </c>
      <c r="AR40" s="141">
        <v>5</v>
      </c>
      <c r="AS40" s="141" t="s">
        <v>761</v>
      </c>
      <c r="AT40" s="141"/>
      <c r="AU40" s="141">
        <v>80</v>
      </c>
      <c r="AV40" s="86">
        <v>45931</v>
      </c>
      <c r="AW40" s="141" t="s">
        <v>757</v>
      </c>
      <c r="AX40" s="141" t="s">
        <v>757</v>
      </c>
      <c r="AY40" s="141"/>
      <c r="AZ40" s="141"/>
      <c r="BA40" s="141" t="s">
        <v>757</v>
      </c>
    </row>
    <row r="41" spans="1:53" ht="121.5" customHeight="1">
      <c r="A41" s="153">
        <f t="shared" si="4"/>
        <v>38</v>
      </c>
      <c r="B41" s="153" t="s">
        <v>57</v>
      </c>
      <c r="C41" s="153" t="s">
        <v>63</v>
      </c>
      <c r="D41" s="28" t="s">
        <v>1202</v>
      </c>
      <c r="E41" s="69"/>
      <c r="F41" s="39">
        <v>1</v>
      </c>
      <c r="G41" s="141" t="s">
        <v>150</v>
      </c>
      <c r="H41" s="141" t="s">
        <v>764</v>
      </c>
      <c r="I41" s="141"/>
      <c r="J41" s="141" t="s">
        <v>6</v>
      </c>
      <c r="K41" s="141"/>
      <c r="L41" s="69"/>
      <c r="M41" s="141"/>
      <c r="N41" s="59">
        <v>4</v>
      </c>
      <c r="O41" s="59">
        <v>4</v>
      </c>
      <c r="P41" s="105" t="s">
        <v>34</v>
      </c>
      <c r="Q41" s="105" t="s">
        <v>32</v>
      </c>
      <c r="R41" s="105"/>
      <c r="S41" s="105"/>
      <c r="T41" s="105"/>
      <c r="U41" s="90"/>
      <c r="V41" s="90">
        <v>45925</v>
      </c>
      <c r="W41" s="90"/>
      <c r="X41" s="90"/>
      <c r="Y41" s="93" t="s">
        <v>714</v>
      </c>
      <c r="Z41" s="93" t="s">
        <v>715</v>
      </c>
      <c r="AA41" s="96"/>
      <c r="AB41" s="29">
        <v>0</v>
      </c>
      <c r="AC41" s="145">
        <v>0</v>
      </c>
      <c r="AD41" s="145">
        <v>0</v>
      </c>
      <c r="AE41" s="145">
        <v>0</v>
      </c>
      <c r="AF41" s="145">
        <v>0</v>
      </c>
      <c r="AG41" s="145">
        <v>0</v>
      </c>
      <c r="AH41" s="145">
        <v>0</v>
      </c>
      <c r="AI41" s="142">
        <f t="shared" si="3"/>
        <v>0</v>
      </c>
      <c r="AJ41" s="141"/>
      <c r="AK41" s="67"/>
      <c r="AL41" s="67"/>
      <c r="AM41" s="24"/>
      <c r="AN41" s="24"/>
      <c r="AO41" s="24"/>
      <c r="AP41" s="71"/>
      <c r="AQ41" s="69" t="s">
        <v>864</v>
      </c>
      <c r="AR41" s="141"/>
      <c r="AS41" s="141"/>
      <c r="AT41" s="141"/>
      <c r="AU41" s="141">
        <v>50</v>
      </c>
      <c r="AV41" s="86">
        <v>45901</v>
      </c>
      <c r="AW41" s="141" t="s">
        <v>757</v>
      </c>
      <c r="AX41" s="141" t="s">
        <v>757</v>
      </c>
      <c r="AY41" s="141"/>
      <c r="AZ41" s="141"/>
      <c r="BA41" s="141" t="s">
        <v>757</v>
      </c>
    </row>
    <row r="42" spans="1:53" ht="148.5" customHeight="1">
      <c r="A42" s="153">
        <f t="shared" si="4"/>
        <v>39</v>
      </c>
      <c r="B42" s="153" t="s">
        <v>57</v>
      </c>
      <c r="C42" s="153" t="s">
        <v>63</v>
      </c>
      <c r="D42" s="28" t="s">
        <v>705</v>
      </c>
      <c r="E42" s="69"/>
      <c r="F42" s="39">
        <v>2</v>
      </c>
      <c r="G42" s="141" t="s">
        <v>409</v>
      </c>
      <c r="H42" s="141" t="s">
        <v>861</v>
      </c>
      <c r="I42" s="141"/>
      <c r="J42" s="141" t="s">
        <v>26</v>
      </c>
      <c r="K42" s="141"/>
      <c r="L42" s="69"/>
      <c r="M42" s="141"/>
      <c r="N42" s="59"/>
      <c r="O42" s="59"/>
      <c r="P42" s="105" t="s">
        <v>33</v>
      </c>
      <c r="Q42" s="105" t="s">
        <v>33</v>
      </c>
      <c r="R42" s="105"/>
      <c r="S42" s="105" t="s">
        <v>1203</v>
      </c>
      <c r="T42" s="105" t="s">
        <v>759</v>
      </c>
      <c r="U42" s="90"/>
      <c r="V42" s="90"/>
      <c r="W42" s="90"/>
      <c r="X42" s="90"/>
      <c r="Y42" s="93" t="s">
        <v>1204</v>
      </c>
      <c r="Z42" s="96" t="s">
        <v>706</v>
      </c>
      <c r="AA42" s="96"/>
      <c r="AB42" s="29">
        <v>0</v>
      </c>
      <c r="AC42" s="145">
        <v>0</v>
      </c>
      <c r="AD42" s="145">
        <v>0</v>
      </c>
      <c r="AE42" s="145">
        <v>0</v>
      </c>
      <c r="AF42" s="145">
        <v>0</v>
      </c>
      <c r="AG42" s="145">
        <v>0</v>
      </c>
      <c r="AH42" s="145">
        <v>0</v>
      </c>
      <c r="AI42" s="142">
        <f t="shared" si="3"/>
        <v>0</v>
      </c>
      <c r="AJ42" s="141"/>
      <c r="AK42" s="67"/>
      <c r="AL42" s="67"/>
      <c r="AM42" s="24"/>
      <c r="AN42" s="24"/>
      <c r="AO42" s="24"/>
      <c r="AP42" s="71"/>
      <c r="AQ42" s="69" t="s">
        <v>862</v>
      </c>
      <c r="AR42" s="141">
        <v>10</v>
      </c>
      <c r="AS42" s="141" t="s">
        <v>761</v>
      </c>
      <c r="AT42" s="141"/>
      <c r="AU42" s="141"/>
      <c r="AV42" s="141"/>
      <c r="AW42" s="141" t="s">
        <v>757</v>
      </c>
      <c r="AX42" s="141" t="s">
        <v>757</v>
      </c>
      <c r="AY42" s="141" t="s">
        <v>757</v>
      </c>
      <c r="AZ42" s="141"/>
      <c r="BA42" s="141"/>
    </row>
    <row r="43" spans="1:53" ht="89.25">
      <c r="A43" s="153">
        <f t="shared" si="4"/>
        <v>40</v>
      </c>
      <c r="B43" s="153" t="s">
        <v>57</v>
      </c>
      <c r="C43" s="153" t="s">
        <v>65</v>
      </c>
      <c r="D43" s="28" t="s">
        <v>667</v>
      </c>
      <c r="E43" s="69" t="s">
        <v>839</v>
      </c>
      <c r="F43" s="39">
        <v>2</v>
      </c>
      <c r="G43" s="141" t="s">
        <v>123</v>
      </c>
      <c r="H43" s="141" t="s">
        <v>797</v>
      </c>
      <c r="I43" s="141"/>
      <c r="J43" s="141" t="s">
        <v>26</v>
      </c>
      <c r="K43" s="141"/>
      <c r="L43" s="69"/>
      <c r="M43" s="141"/>
      <c r="N43" s="59">
        <v>4</v>
      </c>
      <c r="O43" s="59">
        <v>4</v>
      </c>
      <c r="P43" s="105" t="s">
        <v>33</v>
      </c>
      <c r="Q43" s="105" t="s">
        <v>33</v>
      </c>
      <c r="R43" s="105"/>
      <c r="S43" s="105" t="s">
        <v>1140</v>
      </c>
      <c r="T43" s="105" t="s">
        <v>1141</v>
      </c>
      <c r="U43" s="90">
        <v>45967</v>
      </c>
      <c r="V43" s="90"/>
      <c r="W43" s="90">
        <v>45992</v>
      </c>
      <c r="X43" s="90"/>
      <c r="Y43" s="93" t="s">
        <v>1142</v>
      </c>
      <c r="Z43" s="96" t="s">
        <v>1019</v>
      </c>
      <c r="AA43" s="96"/>
      <c r="AB43" s="29">
        <v>0</v>
      </c>
      <c r="AC43" s="145">
        <v>0</v>
      </c>
      <c r="AD43" s="145">
        <v>0</v>
      </c>
      <c r="AE43" s="145">
        <v>0</v>
      </c>
      <c r="AF43" s="145">
        <v>0</v>
      </c>
      <c r="AG43" s="145">
        <v>0</v>
      </c>
      <c r="AH43" s="145">
        <v>0</v>
      </c>
      <c r="AI43" s="142">
        <f t="shared" si="3"/>
        <v>0</v>
      </c>
      <c r="AJ43" s="141"/>
      <c r="AK43" s="67"/>
      <c r="AL43" s="67"/>
      <c r="AM43" s="24"/>
      <c r="AN43" s="24"/>
      <c r="AO43" s="24"/>
      <c r="AP43" s="71"/>
      <c r="AQ43" s="69" t="s">
        <v>840</v>
      </c>
      <c r="AR43" s="141"/>
      <c r="AS43" s="141"/>
      <c r="AT43" s="141"/>
      <c r="AU43" s="141">
        <v>15</v>
      </c>
      <c r="AV43" s="86">
        <v>45992</v>
      </c>
      <c r="AW43" s="141" t="s">
        <v>757</v>
      </c>
      <c r="AX43" s="141"/>
      <c r="AY43" s="141"/>
      <c r="AZ43" s="141"/>
      <c r="BA43" s="141"/>
    </row>
    <row r="44" spans="1:53" ht="45" customHeight="1">
      <c r="A44" s="153">
        <f t="shared" si="4"/>
        <v>41</v>
      </c>
      <c r="B44" s="153" t="s">
        <v>57</v>
      </c>
      <c r="C44" s="153" t="s">
        <v>65</v>
      </c>
      <c r="D44" s="28" t="s">
        <v>605</v>
      </c>
      <c r="E44" s="69" t="s">
        <v>842</v>
      </c>
      <c r="F44" s="39">
        <v>2</v>
      </c>
      <c r="G44" s="141" t="s">
        <v>123</v>
      </c>
      <c r="H44" s="141" t="s">
        <v>811</v>
      </c>
      <c r="I44" s="141"/>
      <c r="J44" s="141" t="s">
        <v>6</v>
      </c>
      <c r="K44" s="21"/>
      <c r="L44" s="69"/>
      <c r="M44" s="141"/>
      <c r="N44" s="59"/>
      <c r="O44" s="59"/>
      <c r="P44" s="105"/>
      <c r="Q44" s="105" t="s">
        <v>32</v>
      </c>
      <c r="R44" s="105" t="s">
        <v>897</v>
      </c>
      <c r="S44" s="105" t="s">
        <v>1148</v>
      </c>
      <c r="T44" s="105" t="s">
        <v>753</v>
      </c>
      <c r="U44" s="90"/>
      <c r="V44" s="90"/>
      <c r="W44" s="90">
        <v>45992</v>
      </c>
      <c r="X44" s="90"/>
      <c r="Y44" s="93" t="s">
        <v>994</v>
      </c>
      <c r="Z44" s="96" t="s">
        <v>898</v>
      </c>
      <c r="AA44" s="96"/>
      <c r="AB44" s="29">
        <v>0</v>
      </c>
      <c r="AC44" s="145">
        <v>0</v>
      </c>
      <c r="AD44" s="145">
        <v>0</v>
      </c>
      <c r="AE44" s="145">
        <v>0</v>
      </c>
      <c r="AF44" s="145">
        <v>0</v>
      </c>
      <c r="AG44" s="145">
        <v>0</v>
      </c>
      <c r="AH44" s="145">
        <v>0</v>
      </c>
      <c r="AI44" s="142">
        <f t="shared" si="3"/>
        <v>0</v>
      </c>
      <c r="AJ44" s="141"/>
      <c r="AK44" s="67"/>
      <c r="AL44" s="67"/>
      <c r="AM44" s="24"/>
      <c r="AN44" s="24"/>
      <c r="AO44" s="24"/>
      <c r="AP44" s="71"/>
      <c r="AQ44" s="69" t="s">
        <v>843</v>
      </c>
      <c r="AR44" s="141"/>
      <c r="AS44" s="141"/>
      <c r="AT44" s="141"/>
      <c r="AU44" s="141">
        <v>15</v>
      </c>
      <c r="AV44" s="86">
        <v>45901</v>
      </c>
      <c r="AW44" s="141" t="s">
        <v>757</v>
      </c>
      <c r="AX44" s="141"/>
      <c r="AY44" s="141"/>
      <c r="AZ44" s="141"/>
      <c r="BA44" s="141"/>
    </row>
    <row r="45" spans="1:53" ht="45" customHeight="1">
      <c r="A45" s="153">
        <f t="shared" si="4"/>
        <v>42</v>
      </c>
      <c r="B45" s="153" t="s">
        <v>57</v>
      </c>
      <c r="C45" s="153" t="s">
        <v>65</v>
      </c>
      <c r="D45" s="28" t="s">
        <v>125</v>
      </c>
      <c r="E45" s="69"/>
      <c r="F45" s="39">
        <v>3</v>
      </c>
      <c r="G45" s="141" t="s">
        <v>123</v>
      </c>
      <c r="H45" s="141" t="s">
        <v>797</v>
      </c>
      <c r="I45" s="141"/>
      <c r="J45" s="141" t="s">
        <v>26</v>
      </c>
      <c r="K45" s="141"/>
      <c r="L45" s="69"/>
      <c r="M45" s="141"/>
      <c r="N45" s="59">
        <v>0</v>
      </c>
      <c r="O45" s="59">
        <v>0</v>
      </c>
      <c r="P45" s="105" t="s">
        <v>32</v>
      </c>
      <c r="Q45" s="105" t="s">
        <v>32</v>
      </c>
      <c r="R45" s="105" t="s">
        <v>981</v>
      </c>
      <c r="S45" s="105" t="s">
        <v>982</v>
      </c>
      <c r="T45" s="105" t="s">
        <v>983</v>
      </c>
      <c r="U45" s="90">
        <v>45964</v>
      </c>
      <c r="V45" s="90">
        <v>45980</v>
      </c>
      <c r="W45" s="90">
        <v>45980</v>
      </c>
      <c r="X45" s="90"/>
      <c r="Y45" s="93" t="s">
        <v>1205</v>
      </c>
      <c r="Z45" s="96" t="s">
        <v>1120</v>
      </c>
      <c r="AA45" s="121" t="s">
        <v>986</v>
      </c>
      <c r="AB45" s="29">
        <v>0</v>
      </c>
      <c r="AC45" s="145">
        <v>0</v>
      </c>
      <c r="AD45" s="145">
        <v>0</v>
      </c>
      <c r="AE45" s="145">
        <v>0</v>
      </c>
      <c r="AF45" s="145">
        <v>0</v>
      </c>
      <c r="AG45" s="145">
        <v>0</v>
      </c>
      <c r="AH45" s="145">
        <v>0</v>
      </c>
      <c r="AI45" s="142">
        <f t="shared" si="3"/>
        <v>0</v>
      </c>
      <c r="AJ45" s="141"/>
      <c r="AK45" s="67"/>
      <c r="AL45" s="67"/>
      <c r="AM45" s="24"/>
      <c r="AN45" s="24"/>
      <c r="AO45" s="24"/>
      <c r="AP45" s="71"/>
      <c r="AQ45" s="69" t="s">
        <v>819</v>
      </c>
      <c r="AR45" s="141">
        <v>2</v>
      </c>
      <c r="AS45" s="141" t="s">
        <v>761</v>
      </c>
      <c r="AT45" s="141"/>
      <c r="AU45" s="141"/>
      <c r="AV45" s="141"/>
      <c r="AW45" s="141"/>
      <c r="AX45" s="141" t="s">
        <v>757</v>
      </c>
      <c r="AY45" s="141"/>
      <c r="AZ45" s="141"/>
      <c r="BA45" s="141" t="s">
        <v>757</v>
      </c>
    </row>
    <row r="46" spans="1:53" ht="45" customHeight="1">
      <c r="A46" s="153">
        <f t="shared" si="4"/>
        <v>43</v>
      </c>
      <c r="B46" s="153" t="s">
        <v>57</v>
      </c>
      <c r="C46" s="153" t="s">
        <v>65</v>
      </c>
      <c r="D46" s="28" t="s">
        <v>995</v>
      </c>
      <c r="E46" s="69"/>
      <c r="F46" s="39">
        <v>3</v>
      </c>
      <c r="G46" s="141" t="s">
        <v>123</v>
      </c>
      <c r="H46" s="141" t="s">
        <v>805</v>
      </c>
      <c r="I46" s="141"/>
      <c r="J46" s="141" t="s">
        <v>26</v>
      </c>
      <c r="K46" s="141" t="s">
        <v>45</v>
      </c>
      <c r="L46" s="69"/>
      <c r="M46" s="141"/>
      <c r="N46" s="59"/>
      <c r="O46" s="59"/>
      <c r="P46" s="105" t="s">
        <v>34</v>
      </c>
      <c r="Q46" s="105" t="s">
        <v>34</v>
      </c>
      <c r="R46" s="105"/>
      <c r="S46" s="105" t="s">
        <v>1127</v>
      </c>
      <c r="T46" s="105" t="s">
        <v>409</v>
      </c>
      <c r="U46" s="90">
        <v>45978</v>
      </c>
      <c r="V46" s="90">
        <v>45982</v>
      </c>
      <c r="W46" s="90">
        <v>45982</v>
      </c>
      <c r="X46" s="90"/>
      <c r="Y46" s="93" t="s">
        <v>1128</v>
      </c>
      <c r="Z46" s="96" t="s">
        <v>1129</v>
      </c>
      <c r="AA46" s="96" t="s">
        <v>999</v>
      </c>
      <c r="AB46" s="29">
        <v>0</v>
      </c>
      <c r="AC46" s="145">
        <v>0</v>
      </c>
      <c r="AD46" s="145">
        <v>0</v>
      </c>
      <c r="AE46" s="145">
        <v>0</v>
      </c>
      <c r="AF46" s="145">
        <v>0</v>
      </c>
      <c r="AG46" s="145">
        <v>0</v>
      </c>
      <c r="AH46" s="145">
        <v>0</v>
      </c>
      <c r="AI46" s="142">
        <f t="shared" si="3"/>
        <v>0</v>
      </c>
      <c r="AJ46" s="141"/>
      <c r="AK46" s="67"/>
      <c r="AL46" s="67"/>
      <c r="AM46" s="24"/>
      <c r="AN46" s="24"/>
      <c r="AO46" s="24"/>
      <c r="AP46" s="71"/>
      <c r="AQ46" s="69" t="s">
        <v>818</v>
      </c>
      <c r="AR46" s="141">
        <v>2</v>
      </c>
      <c r="AS46" s="141" t="s">
        <v>761</v>
      </c>
      <c r="AT46" s="141"/>
      <c r="AU46" s="141"/>
      <c r="AV46" s="141"/>
      <c r="AW46" s="141" t="s">
        <v>757</v>
      </c>
      <c r="AX46" s="141" t="s">
        <v>757</v>
      </c>
      <c r="AY46" s="141" t="s">
        <v>757</v>
      </c>
      <c r="AZ46" s="141"/>
      <c r="BA46" s="141"/>
    </row>
    <row r="47" spans="1:53" ht="77.25" customHeight="1">
      <c r="A47" s="153">
        <f t="shared" si="4"/>
        <v>44</v>
      </c>
      <c r="B47" s="153" t="s">
        <v>57</v>
      </c>
      <c r="C47" s="153" t="s">
        <v>65</v>
      </c>
      <c r="D47" s="28" t="s">
        <v>655</v>
      </c>
      <c r="E47" s="69" t="s">
        <v>824</v>
      </c>
      <c r="F47" s="39">
        <v>2</v>
      </c>
      <c r="G47" s="141" t="s">
        <v>123</v>
      </c>
      <c r="H47" s="141" t="s">
        <v>811</v>
      </c>
      <c r="I47" s="141"/>
      <c r="J47" s="141" t="s">
        <v>22</v>
      </c>
      <c r="K47" s="141"/>
      <c r="L47" s="69"/>
      <c r="M47" s="141"/>
      <c r="N47" s="59">
        <v>5</v>
      </c>
      <c r="O47" s="59">
        <v>5</v>
      </c>
      <c r="P47" s="105" t="s">
        <v>34</v>
      </c>
      <c r="Q47" s="105" t="s">
        <v>34</v>
      </c>
      <c r="R47" s="105"/>
      <c r="S47" s="105" t="s">
        <v>1206</v>
      </c>
      <c r="T47" s="105" t="s">
        <v>759</v>
      </c>
      <c r="U47" s="90">
        <v>45973</v>
      </c>
      <c r="V47" s="90">
        <v>45982</v>
      </c>
      <c r="W47" s="90">
        <v>45982</v>
      </c>
      <c r="X47" s="90"/>
      <c r="Y47" s="93" t="s">
        <v>1207</v>
      </c>
      <c r="Z47" s="95" t="s">
        <v>1208</v>
      </c>
      <c r="AA47" s="95" t="s">
        <v>1091</v>
      </c>
      <c r="AB47" s="29">
        <v>0</v>
      </c>
      <c r="AC47" s="145">
        <v>0</v>
      </c>
      <c r="AD47" s="145">
        <v>0</v>
      </c>
      <c r="AE47" s="145">
        <v>0</v>
      </c>
      <c r="AF47" s="145">
        <v>0</v>
      </c>
      <c r="AG47" s="145">
        <v>0</v>
      </c>
      <c r="AH47" s="145">
        <v>0</v>
      </c>
      <c r="AI47" s="142">
        <f t="shared" si="3"/>
        <v>0</v>
      </c>
      <c r="AJ47" s="141"/>
      <c r="AK47" s="67"/>
      <c r="AL47" s="67"/>
      <c r="AM47" s="24"/>
      <c r="AN47" s="24"/>
      <c r="AO47" s="24"/>
      <c r="AP47" s="71"/>
      <c r="AQ47" s="69" t="s">
        <v>825</v>
      </c>
      <c r="AR47" s="141">
        <v>4</v>
      </c>
      <c r="AS47" s="141" t="s">
        <v>756</v>
      </c>
      <c r="AT47" s="141"/>
      <c r="AU47" s="141"/>
      <c r="AV47" s="141"/>
      <c r="AW47" s="141" t="s">
        <v>757</v>
      </c>
      <c r="AX47" s="141" t="s">
        <v>757</v>
      </c>
      <c r="AY47" s="141"/>
      <c r="AZ47" s="141"/>
      <c r="BA47" s="141" t="s">
        <v>757</v>
      </c>
    </row>
    <row r="48" spans="1:53" ht="45" customHeight="1">
      <c r="A48" s="153">
        <f t="shared" si="4"/>
        <v>45</v>
      </c>
      <c r="B48" s="153" t="s">
        <v>57</v>
      </c>
      <c r="C48" s="153" t="s">
        <v>65</v>
      </c>
      <c r="D48" s="28" t="s">
        <v>620</v>
      </c>
      <c r="E48" s="69"/>
      <c r="F48" s="39">
        <v>1</v>
      </c>
      <c r="G48" s="141" t="s">
        <v>123</v>
      </c>
      <c r="H48" s="141" t="s">
        <v>811</v>
      </c>
      <c r="I48" s="141"/>
      <c r="J48" s="141" t="s">
        <v>26</v>
      </c>
      <c r="K48" s="141"/>
      <c r="L48" s="69"/>
      <c r="M48" s="141" t="s">
        <v>1209</v>
      </c>
      <c r="N48" s="59">
        <v>4</v>
      </c>
      <c r="O48" s="59">
        <v>4</v>
      </c>
      <c r="P48" s="105" t="s">
        <v>34</v>
      </c>
      <c r="Q48" s="105" t="s">
        <v>32</v>
      </c>
      <c r="R48" s="105"/>
      <c r="S48" s="105" t="s">
        <v>1073</v>
      </c>
      <c r="T48" s="105" t="s">
        <v>1074</v>
      </c>
      <c r="U48" s="90">
        <v>45979</v>
      </c>
      <c r="V48" s="90">
        <v>45993</v>
      </c>
      <c r="W48" s="90">
        <v>45993</v>
      </c>
      <c r="X48" s="90"/>
      <c r="Y48" s="93" t="s">
        <v>1210</v>
      </c>
      <c r="Z48" s="122" t="s">
        <v>1211</v>
      </c>
      <c r="AA48" s="96" t="s">
        <v>1076</v>
      </c>
      <c r="AB48" s="29">
        <v>0</v>
      </c>
      <c r="AC48" s="145">
        <v>0</v>
      </c>
      <c r="AD48" s="145">
        <v>0</v>
      </c>
      <c r="AE48" s="145">
        <v>0</v>
      </c>
      <c r="AF48" s="145">
        <v>0</v>
      </c>
      <c r="AG48" s="145">
        <v>0</v>
      </c>
      <c r="AH48" s="145">
        <v>0</v>
      </c>
      <c r="AI48" s="142">
        <f t="shared" si="3"/>
        <v>0</v>
      </c>
      <c r="AJ48" s="141"/>
      <c r="AK48" s="67"/>
      <c r="AL48" s="67"/>
      <c r="AM48" s="24"/>
      <c r="AN48" s="24"/>
      <c r="AO48" s="24"/>
      <c r="AP48" s="71"/>
      <c r="AQ48" s="69"/>
      <c r="AR48" s="141">
        <v>12</v>
      </c>
      <c r="AS48" s="141" t="s">
        <v>812</v>
      </c>
      <c r="AT48" s="141"/>
      <c r="AU48" s="141">
        <v>100</v>
      </c>
      <c r="AV48" s="86">
        <v>45901</v>
      </c>
      <c r="AW48" s="141" t="s">
        <v>757</v>
      </c>
      <c r="AX48" s="141" t="s">
        <v>757</v>
      </c>
      <c r="AY48" s="141"/>
      <c r="AZ48" s="141" t="s">
        <v>757</v>
      </c>
      <c r="BA48" s="141"/>
    </row>
    <row r="49" spans="1:53" ht="45" customHeight="1">
      <c r="A49" s="153">
        <f t="shared" si="4"/>
        <v>46</v>
      </c>
      <c r="B49" s="153" t="s">
        <v>57</v>
      </c>
      <c r="C49" s="153" t="s">
        <v>65</v>
      </c>
      <c r="D49" s="28" t="s">
        <v>690</v>
      </c>
      <c r="E49" s="69"/>
      <c r="F49" s="39">
        <v>3</v>
      </c>
      <c r="G49" s="141" t="s">
        <v>123</v>
      </c>
      <c r="H49" s="141" t="s">
        <v>816</v>
      </c>
      <c r="I49" s="141"/>
      <c r="J49" s="141" t="s">
        <v>26</v>
      </c>
      <c r="K49" s="141" t="s">
        <v>48</v>
      </c>
      <c r="L49" s="69"/>
      <c r="M49" s="141"/>
      <c r="N49" s="59">
        <v>4</v>
      </c>
      <c r="O49" s="59">
        <v>4</v>
      </c>
      <c r="P49" s="105" t="s">
        <v>34</v>
      </c>
      <c r="Q49" s="105" t="s">
        <v>34</v>
      </c>
      <c r="R49" s="105"/>
      <c r="S49" s="105" t="s">
        <v>1084</v>
      </c>
      <c r="T49" s="105" t="s">
        <v>1085</v>
      </c>
      <c r="U49" s="90">
        <v>45958</v>
      </c>
      <c r="V49" s="90">
        <v>45993</v>
      </c>
      <c r="W49" s="90">
        <v>45993</v>
      </c>
      <c r="X49" s="90"/>
      <c r="Y49" s="93" t="s">
        <v>1212</v>
      </c>
      <c r="Z49" s="96" t="s">
        <v>1213</v>
      </c>
      <c r="AA49" s="96"/>
      <c r="AB49" s="29">
        <v>0</v>
      </c>
      <c r="AC49" s="145">
        <v>0</v>
      </c>
      <c r="AD49" s="145">
        <v>0</v>
      </c>
      <c r="AE49" s="145">
        <v>0</v>
      </c>
      <c r="AF49" s="145">
        <v>0</v>
      </c>
      <c r="AG49" s="145">
        <v>0</v>
      </c>
      <c r="AH49" s="145">
        <v>0</v>
      </c>
      <c r="AI49" s="142">
        <f t="shared" si="3"/>
        <v>0</v>
      </c>
      <c r="AJ49" s="141"/>
      <c r="AK49" s="67"/>
      <c r="AL49" s="67"/>
      <c r="AM49" s="24"/>
      <c r="AN49" s="24"/>
      <c r="AO49" s="24"/>
      <c r="AP49" s="71"/>
      <c r="AQ49" s="69" t="s">
        <v>817</v>
      </c>
      <c r="AR49" s="141">
        <v>35</v>
      </c>
      <c r="AS49" s="141" t="s">
        <v>756</v>
      </c>
      <c r="AT49" s="141"/>
      <c r="AU49" s="141"/>
      <c r="AV49" s="141"/>
      <c r="AW49" s="141"/>
      <c r="AX49" s="141" t="s">
        <v>757</v>
      </c>
      <c r="AY49" s="141"/>
      <c r="AZ49" s="141"/>
      <c r="BA49" s="141" t="s">
        <v>757</v>
      </c>
    </row>
    <row r="50" spans="1:53" ht="105.75" customHeight="1">
      <c r="A50" s="153">
        <f t="shared" si="4"/>
        <v>47</v>
      </c>
      <c r="B50" s="153" t="s">
        <v>57</v>
      </c>
      <c r="C50" s="153" t="s">
        <v>65</v>
      </c>
      <c r="D50" s="28" t="s">
        <v>909</v>
      </c>
      <c r="E50" s="69" t="s">
        <v>910</v>
      </c>
      <c r="F50" s="39">
        <v>1</v>
      </c>
      <c r="G50" s="141" t="s">
        <v>123</v>
      </c>
      <c r="H50" s="141" t="s">
        <v>911</v>
      </c>
      <c r="I50" s="141"/>
      <c r="J50" s="141" t="s">
        <v>10</v>
      </c>
      <c r="K50" s="141"/>
      <c r="L50" s="69"/>
      <c r="M50" s="141"/>
      <c r="N50" s="59"/>
      <c r="O50" s="59"/>
      <c r="P50" s="105"/>
      <c r="Q50" s="105" t="s">
        <v>31</v>
      </c>
      <c r="R50" s="105"/>
      <c r="S50" s="105" t="s">
        <v>1214</v>
      </c>
      <c r="T50" s="105" t="s">
        <v>911</v>
      </c>
      <c r="U50" s="90">
        <v>45957</v>
      </c>
      <c r="V50" s="90" t="s">
        <v>1013</v>
      </c>
      <c r="W50" s="90">
        <v>45982</v>
      </c>
      <c r="X50" s="90"/>
      <c r="Y50" s="93" t="s">
        <v>1215</v>
      </c>
      <c r="Z50" s="96"/>
      <c r="AA50" s="96" t="s">
        <v>1015</v>
      </c>
      <c r="AB50" s="29"/>
      <c r="AC50" s="145"/>
      <c r="AD50" s="145"/>
      <c r="AE50" s="145"/>
      <c r="AF50" s="145"/>
      <c r="AG50" s="145"/>
      <c r="AH50" s="145"/>
      <c r="AI50" s="142"/>
      <c r="AJ50" s="141"/>
      <c r="AK50" s="67"/>
      <c r="AL50" s="67"/>
      <c r="AM50" s="24"/>
      <c r="AN50" s="24"/>
      <c r="AO50" s="24"/>
      <c r="AP50" s="71"/>
      <c r="AQ50" s="69" t="s">
        <v>914</v>
      </c>
      <c r="AR50" s="141"/>
      <c r="AS50" s="141"/>
      <c r="AT50" s="141"/>
      <c r="AU50" s="141"/>
      <c r="AV50" s="86"/>
      <c r="AW50" s="141"/>
      <c r="AX50" s="141"/>
      <c r="AY50" s="141"/>
      <c r="AZ50" s="141"/>
      <c r="BA50" s="141"/>
    </row>
    <row r="51" spans="1:53" ht="45" customHeight="1">
      <c r="A51" s="153">
        <f t="shared" si="4"/>
        <v>48</v>
      </c>
      <c r="B51" s="153" t="s">
        <v>57</v>
      </c>
      <c r="C51" s="153" t="s">
        <v>65</v>
      </c>
      <c r="D51" s="28" t="s">
        <v>624</v>
      </c>
      <c r="E51" s="69"/>
      <c r="F51" s="39">
        <v>2</v>
      </c>
      <c r="G51" s="141" t="s">
        <v>123</v>
      </c>
      <c r="H51" s="141" t="s">
        <v>797</v>
      </c>
      <c r="I51" s="141"/>
      <c r="J51" s="141" t="s">
        <v>26</v>
      </c>
      <c r="K51" s="141"/>
      <c r="L51" s="69"/>
      <c r="M51" s="141" t="s">
        <v>1216</v>
      </c>
      <c r="N51" s="59">
        <v>4</v>
      </c>
      <c r="O51" s="59">
        <v>4</v>
      </c>
      <c r="P51" s="105" t="s">
        <v>34</v>
      </c>
      <c r="Q51" s="105" t="s">
        <v>31</v>
      </c>
      <c r="R51" s="105" t="s">
        <v>987</v>
      </c>
      <c r="S51" s="105" t="s">
        <v>988</v>
      </c>
      <c r="T51" s="105" t="s">
        <v>123</v>
      </c>
      <c r="U51" s="90">
        <v>45965</v>
      </c>
      <c r="V51" s="90">
        <v>45986</v>
      </c>
      <c r="W51" s="90">
        <v>45986</v>
      </c>
      <c r="X51" s="90"/>
      <c r="Y51" s="93" t="s">
        <v>1217</v>
      </c>
      <c r="Z51" s="96" t="s">
        <v>990</v>
      </c>
      <c r="AA51" s="96" t="s">
        <v>991</v>
      </c>
      <c r="AB51" s="29">
        <v>0</v>
      </c>
      <c r="AC51" s="145">
        <v>0</v>
      </c>
      <c r="AD51" s="145">
        <v>0</v>
      </c>
      <c r="AE51" s="145">
        <v>0</v>
      </c>
      <c r="AF51" s="145">
        <v>0</v>
      </c>
      <c r="AG51" s="145">
        <v>0</v>
      </c>
      <c r="AH51" s="145">
        <v>0</v>
      </c>
      <c r="AI51" s="142">
        <f>AVERAGE(AB51:AH51)</f>
        <v>0</v>
      </c>
      <c r="AJ51" s="141"/>
      <c r="AK51" s="67"/>
      <c r="AL51" s="67"/>
      <c r="AM51" s="24"/>
      <c r="AN51" s="24"/>
      <c r="AO51" s="24"/>
      <c r="AP51" s="71"/>
      <c r="AQ51" s="69" t="s">
        <v>809</v>
      </c>
      <c r="AR51" s="141">
        <v>16</v>
      </c>
      <c r="AS51" s="141" t="s">
        <v>761</v>
      </c>
      <c r="AT51" s="141"/>
      <c r="AU51" s="141"/>
      <c r="AV51" s="141"/>
      <c r="AW51" s="141"/>
      <c r="AX51" s="141" t="s">
        <v>757</v>
      </c>
      <c r="AY51" s="141"/>
      <c r="AZ51" s="141"/>
      <c r="BA51" s="141"/>
    </row>
    <row r="52" spans="1:53" ht="82.5" customHeight="1">
      <c r="A52" s="153">
        <f t="shared" si="4"/>
        <v>49</v>
      </c>
      <c r="B52" s="153" t="s">
        <v>57</v>
      </c>
      <c r="C52" s="153" t="s">
        <v>65</v>
      </c>
      <c r="D52" s="28" t="s">
        <v>665</v>
      </c>
      <c r="E52" s="69"/>
      <c r="F52" s="39">
        <v>1</v>
      </c>
      <c r="G52" s="141" t="s">
        <v>123</v>
      </c>
      <c r="H52" s="141" t="s">
        <v>797</v>
      </c>
      <c r="I52" s="141"/>
      <c r="J52" s="141" t="s">
        <v>14</v>
      </c>
      <c r="K52" s="141" t="s">
        <v>48</v>
      </c>
      <c r="L52" s="69"/>
      <c r="M52" s="141"/>
      <c r="N52" s="59">
        <v>0</v>
      </c>
      <c r="O52" s="59">
        <v>0</v>
      </c>
      <c r="P52" s="105" t="s">
        <v>34</v>
      </c>
      <c r="Q52" s="105" t="s">
        <v>32</v>
      </c>
      <c r="R52" s="105" t="s">
        <v>977</v>
      </c>
      <c r="S52" s="105" t="s">
        <v>1116</v>
      </c>
      <c r="T52" s="105" t="s">
        <v>123</v>
      </c>
      <c r="U52" s="90">
        <v>45979</v>
      </c>
      <c r="V52" s="90">
        <v>45982</v>
      </c>
      <c r="W52" s="90">
        <v>45982</v>
      </c>
      <c r="X52" s="90"/>
      <c r="Y52" s="93" t="s">
        <v>1218</v>
      </c>
      <c r="Z52" s="96" t="s">
        <v>1118</v>
      </c>
      <c r="AA52" s="96" t="s">
        <v>980</v>
      </c>
      <c r="AB52" s="29">
        <v>0</v>
      </c>
      <c r="AC52" s="145">
        <v>0</v>
      </c>
      <c r="AD52" s="145">
        <v>0</v>
      </c>
      <c r="AE52" s="145">
        <v>0</v>
      </c>
      <c r="AF52" s="145">
        <v>0</v>
      </c>
      <c r="AG52" s="145">
        <v>0</v>
      </c>
      <c r="AH52" s="145">
        <v>0</v>
      </c>
      <c r="AI52" s="142">
        <f>AVERAGE(AB52:AH52)</f>
        <v>0</v>
      </c>
      <c r="AJ52" s="141"/>
      <c r="AK52" s="67"/>
      <c r="AL52" s="67"/>
      <c r="AM52" s="24"/>
      <c r="AN52" s="24"/>
      <c r="AO52" s="24"/>
      <c r="AP52" s="71"/>
      <c r="AQ52" s="69" t="s">
        <v>814</v>
      </c>
      <c r="AR52" s="141">
        <v>70</v>
      </c>
      <c r="AS52" s="141" t="s">
        <v>812</v>
      </c>
      <c r="AT52" s="141"/>
      <c r="AU52" s="141"/>
      <c r="AV52" s="141"/>
      <c r="AW52" s="141" t="s">
        <v>757</v>
      </c>
      <c r="AX52" s="141" t="s">
        <v>757</v>
      </c>
      <c r="AY52" s="141"/>
      <c r="AZ52" s="141" t="s">
        <v>757</v>
      </c>
      <c r="BA52" s="141" t="s">
        <v>757</v>
      </c>
    </row>
    <row r="53" spans="1:53" ht="45" customHeight="1">
      <c r="A53" s="153">
        <f t="shared" si="4"/>
        <v>50</v>
      </c>
      <c r="B53" s="153" t="s">
        <v>57</v>
      </c>
      <c r="C53" s="153" t="s">
        <v>65</v>
      </c>
      <c r="D53" s="28" t="s">
        <v>688</v>
      </c>
      <c r="E53" s="69" t="s">
        <v>832</v>
      </c>
      <c r="F53" s="39">
        <v>1</v>
      </c>
      <c r="G53" s="141" t="s">
        <v>123</v>
      </c>
      <c r="H53" s="141" t="s">
        <v>805</v>
      </c>
      <c r="I53" s="141"/>
      <c r="J53" s="141" t="s">
        <v>6</v>
      </c>
      <c r="K53" s="141"/>
      <c r="L53" s="69"/>
      <c r="M53" s="141"/>
      <c r="N53" s="59"/>
      <c r="O53" s="59"/>
      <c r="P53" s="105"/>
      <c r="Q53" s="105"/>
      <c r="R53" s="105"/>
      <c r="S53" s="105" t="s">
        <v>1010</v>
      </c>
      <c r="T53" s="105" t="s">
        <v>123</v>
      </c>
      <c r="U53" s="90">
        <v>45936</v>
      </c>
      <c r="V53" s="90">
        <v>45992</v>
      </c>
      <c r="W53" s="90">
        <v>45992</v>
      </c>
      <c r="X53" s="90"/>
      <c r="Y53" s="93" t="s">
        <v>689</v>
      </c>
      <c r="Z53" s="96"/>
      <c r="AA53" s="96"/>
      <c r="AB53" s="29">
        <v>0</v>
      </c>
      <c r="AC53" s="145">
        <v>0</v>
      </c>
      <c r="AD53" s="145">
        <v>0</v>
      </c>
      <c r="AE53" s="145">
        <v>0</v>
      </c>
      <c r="AF53" s="145">
        <v>0</v>
      </c>
      <c r="AG53" s="145">
        <v>0</v>
      </c>
      <c r="AH53" s="145">
        <v>0</v>
      </c>
      <c r="AI53" s="142">
        <f>AVERAGE(AB53:AH53)</f>
        <v>0</v>
      </c>
      <c r="AJ53" s="141"/>
      <c r="AK53" s="67"/>
      <c r="AL53" s="67"/>
      <c r="AM53" s="24"/>
      <c r="AN53" s="24"/>
      <c r="AO53" s="24"/>
      <c r="AP53" s="71"/>
      <c r="AQ53" s="69" t="s">
        <v>833</v>
      </c>
      <c r="AR53" s="141"/>
      <c r="AS53" s="141"/>
      <c r="AT53" s="141"/>
      <c r="AU53" s="141">
        <v>400</v>
      </c>
      <c r="AV53" s="86">
        <v>45931</v>
      </c>
      <c r="AW53" s="141" t="s">
        <v>757</v>
      </c>
      <c r="AX53" s="141" t="s">
        <v>757</v>
      </c>
      <c r="AY53" s="141"/>
      <c r="AZ53" s="141"/>
      <c r="BA53" s="141" t="s">
        <v>757</v>
      </c>
    </row>
    <row r="54" spans="1:53" ht="45" customHeight="1">
      <c r="A54" s="153">
        <f t="shared" si="4"/>
        <v>51</v>
      </c>
      <c r="B54" s="153" t="s">
        <v>57</v>
      </c>
      <c r="C54" s="153" t="s">
        <v>65</v>
      </c>
      <c r="D54" s="28" t="s">
        <v>915</v>
      </c>
      <c r="E54" s="69" t="s">
        <v>916</v>
      </c>
      <c r="F54" s="39"/>
      <c r="G54" s="141" t="s">
        <v>123</v>
      </c>
      <c r="H54" s="141" t="s">
        <v>759</v>
      </c>
      <c r="I54" s="141"/>
      <c r="J54" s="141" t="s">
        <v>6</v>
      </c>
      <c r="K54" s="141"/>
      <c r="L54" s="69"/>
      <c r="M54" s="141"/>
      <c r="N54" s="59"/>
      <c r="O54" s="59"/>
      <c r="P54" s="105"/>
      <c r="Q54" s="105"/>
      <c r="R54" s="105"/>
      <c r="S54" s="105" t="s">
        <v>1219</v>
      </c>
      <c r="T54" s="105" t="s">
        <v>1137</v>
      </c>
      <c r="U54" s="90">
        <v>45966</v>
      </c>
      <c r="V54" s="90">
        <v>45982</v>
      </c>
      <c r="W54" s="90">
        <v>45982</v>
      </c>
      <c r="X54" s="90"/>
      <c r="Y54" s="93" t="s">
        <v>1220</v>
      </c>
      <c r="Z54" s="96" t="s">
        <v>1139</v>
      </c>
      <c r="AA54" s="96"/>
      <c r="AB54" s="29"/>
      <c r="AC54" s="145"/>
      <c r="AD54" s="145"/>
      <c r="AE54" s="145"/>
      <c r="AF54" s="145"/>
      <c r="AG54" s="145"/>
      <c r="AH54" s="145"/>
      <c r="AI54" s="142"/>
      <c r="AJ54" s="141"/>
      <c r="AK54" s="67"/>
      <c r="AL54" s="67"/>
      <c r="AM54" s="24"/>
      <c r="AN54" s="24"/>
      <c r="AO54" s="24"/>
      <c r="AP54" s="71"/>
      <c r="AQ54" s="69" t="s">
        <v>919</v>
      </c>
      <c r="AR54" s="141"/>
      <c r="AS54" s="141"/>
      <c r="AT54" s="141"/>
      <c r="AU54" s="141"/>
      <c r="AV54" s="86"/>
      <c r="AW54" s="141"/>
      <c r="AX54" s="141"/>
      <c r="AY54" s="141"/>
      <c r="AZ54" s="141"/>
      <c r="BA54" s="141"/>
    </row>
    <row r="55" spans="1:53" ht="45" customHeight="1">
      <c r="A55" s="153">
        <f t="shared" si="4"/>
        <v>52</v>
      </c>
      <c r="B55" s="153" t="s">
        <v>57</v>
      </c>
      <c r="C55" s="153"/>
      <c r="D55" s="28"/>
      <c r="E55" s="69"/>
      <c r="F55" s="39">
        <v>0</v>
      </c>
      <c r="G55" s="141"/>
      <c r="H55" s="141"/>
      <c r="I55" s="141"/>
      <c r="J55" s="141"/>
      <c r="K55" s="141"/>
      <c r="L55" s="69"/>
      <c r="M55" s="141"/>
      <c r="N55" s="59"/>
      <c r="O55" s="59"/>
      <c r="P55" s="105"/>
      <c r="Q55" s="105"/>
      <c r="R55" s="105"/>
      <c r="S55" s="105"/>
      <c r="T55" s="105"/>
      <c r="U55" s="90"/>
      <c r="V55" s="90"/>
      <c r="W55" s="90"/>
      <c r="X55" s="90"/>
      <c r="Y55" s="93"/>
      <c r="Z55" s="96"/>
      <c r="AA55" s="96"/>
      <c r="AB55" s="29">
        <v>0</v>
      </c>
      <c r="AC55" s="145">
        <v>0</v>
      </c>
      <c r="AD55" s="145">
        <v>0</v>
      </c>
      <c r="AE55" s="145">
        <v>0</v>
      </c>
      <c r="AF55" s="145">
        <v>0</v>
      </c>
      <c r="AG55" s="145">
        <v>0</v>
      </c>
      <c r="AH55" s="145">
        <v>0</v>
      </c>
      <c r="AI55" s="142">
        <f t="shared" ref="AI55:AI86" si="5">AVERAGE(AB55:AH55)</f>
        <v>0</v>
      </c>
      <c r="AJ55" s="141"/>
      <c r="AK55" s="67"/>
      <c r="AL55" s="67"/>
      <c r="AM55" s="24"/>
      <c r="AN55" s="24"/>
      <c r="AO55" s="24"/>
      <c r="AP55" s="71"/>
      <c r="AQ55" s="69"/>
      <c r="AR55" s="141"/>
      <c r="AS55" s="141"/>
      <c r="AT55" s="141"/>
      <c r="AU55" s="141"/>
      <c r="AV55" s="141"/>
      <c r="AW55" s="141"/>
      <c r="AX55" s="141"/>
      <c r="AY55" s="141"/>
      <c r="AZ55" s="141"/>
      <c r="BA55" s="141"/>
    </row>
    <row r="56" spans="1:53" ht="45" customHeight="1">
      <c r="A56" s="153">
        <f t="shared" si="4"/>
        <v>53</v>
      </c>
      <c r="B56" s="153" t="s">
        <v>57</v>
      </c>
      <c r="C56" s="153"/>
      <c r="D56" s="28"/>
      <c r="E56" s="69"/>
      <c r="F56" s="39">
        <v>0</v>
      </c>
      <c r="G56" s="141"/>
      <c r="H56" s="141"/>
      <c r="I56" s="141"/>
      <c r="J56" s="141"/>
      <c r="K56" s="141"/>
      <c r="L56" s="69"/>
      <c r="M56" s="141"/>
      <c r="N56" s="59"/>
      <c r="O56" s="59"/>
      <c r="P56" s="105"/>
      <c r="Q56" s="105"/>
      <c r="R56" s="105"/>
      <c r="S56" s="105"/>
      <c r="T56" s="105"/>
      <c r="U56" s="90"/>
      <c r="V56" s="90"/>
      <c r="W56" s="90"/>
      <c r="X56" s="90"/>
      <c r="Y56" s="93"/>
      <c r="Z56" s="96"/>
      <c r="AA56" s="96"/>
      <c r="AB56" s="29">
        <v>0</v>
      </c>
      <c r="AC56" s="145">
        <v>0</v>
      </c>
      <c r="AD56" s="145">
        <v>0</v>
      </c>
      <c r="AE56" s="145">
        <v>0</v>
      </c>
      <c r="AF56" s="145">
        <v>0</v>
      </c>
      <c r="AG56" s="145">
        <v>0</v>
      </c>
      <c r="AH56" s="145">
        <v>0</v>
      </c>
      <c r="AI56" s="142">
        <f t="shared" si="5"/>
        <v>0</v>
      </c>
      <c r="AJ56" s="141"/>
      <c r="AK56" s="67"/>
      <c r="AL56" s="67"/>
      <c r="AM56" s="24"/>
      <c r="AN56" s="24"/>
      <c r="AO56" s="24"/>
      <c r="AP56" s="71"/>
      <c r="AQ56" s="69"/>
      <c r="AR56" s="141"/>
      <c r="AS56" s="141"/>
      <c r="AT56" s="141"/>
      <c r="AU56" s="141"/>
      <c r="AV56" s="141"/>
      <c r="AW56" s="141"/>
      <c r="AX56" s="141"/>
      <c r="AY56" s="141"/>
      <c r="AZ56" s="141"/>
      <c r="BA56" s="141"/>
    </row>
    <row r="57" spans="1:53" ht="45" customHeight="1">
      <c r="A57" s="153">
        <f t="shared" si="4"/>
        <v>54</v>
      </c>
      <c r="B57" s="153" t="s">
        <v>57</v>
      </c>
      <c r="C57" s="153"/>
      <c r="D57" s="28"/>
      <c r="E57" s="69"/>
      <c r="F57" s="39">
        <v>0</v>
      </c>
      <c r="G57" s="141"/>
      <c r="H57" s="141"/>
      <c r="I57" s="141"/>
      <c r="J57" s="141"/>
      <c r="K57" s="141"/>
      <c r="L57" s="69"/>
      <c r="M57" s="141"/>
      <c r="N57" s="59"/>
      <c r="O57" s="59"/>
      <c r="P57" s="105"/>
      <c r="Q57" s="105"/>
      <c r="R57" s="105"/>
      <c r="S57" s="105"/>
      <c r="T57" s="105"/>
      <c r="U57" s="90"/>
      <c r="V57" s="90"/>
      <c r="W57" s="90"/>
      <c r="X57" s="90"/>
      <c r="Y57" s="93"/>
      <c r="Z57" s="96"/>
      <c r="AA57" s="96"/>
      <c r="AB57" s="29">
        <v>0</v>
      </c>
      <c r="AC57" s="145">
        <v>0</v>
      </c>
      <c r="AD57" s="145">
        <v>0</v>
      </c>
      <c r="AE57" s="145">
        <v>0</v>
      </c>
      <c r="AF57" s="145">
        <v>0</v>
      </c>
      <c r="AG57" s="145">
        <v>0</v>
      </c>
      <c r="AH57" s="145">
        <v>0</v>
      </c>
      <c r="AI57" s="142">
        <f t="shared" si="5"/>
        <v>0</v>
      </c>
      <c r="AJ57" s="141"/>
      <c r="AK57" s="67"/>
      <c r="AL57" s="67"/>
      <c r="AM57" s="24"/>
      <c r="AN57" s="24"/>
      <c r="AO57" s="24"/>
      <c r="AP57" s="71"/>
      <c r="AQ57" s="69"/>
      <c r="AR57" s="141"/>
      <c r="AS57" s="141"/>
      <c r="AT57" s="141"/>
      <c r="AU57" s="141"/>
      <c r="AV57" s="141"/>
      <c r="AW57" s="141"/>
      <c r="AX57" s="141"/>
      <c r="AY57" s="141"/>
      <c r="AZ57" s="141"/>
      <c r="BA57" s="141"/>
    </row>
    <row r="58" spans="1:53" ht="45" customHeight="1">
      <c r="A58" s="153">
        <f t="shared" si="4"/>
        <v>55</v>
      </c>
      <c r="B58" s="153" t="s">
        <v>57</v>
      </c>
      <c r="C58" s="153"/>
      <c r="D58" s="28"/>
      <c r="E58" s="69"/>
      <c r="F58" s="39">
        <v>0</v>
      </c>
      <c r="G58" s="141"/>
      <c r="H58" s="141"/>
      <c r="I58" s="141"/>
      <c r="J58" s="141"/>
      <c r="K58" s="141"/>
      <c r="L58" s="69"/>
      <c r="M58" s="141"/>
      <c r="N58" s="59"/>
      <c r="O58" s="59"/>
      <c r="P58" s="105"/>
      <c r="Q58" s="105"/>
      <c r="R58" s="105"/>
      <c r="S58" s="105"/>
      <c r="T58" s="105"/>
      <c r="U58" s="90"/>
      <c r="V58" s="90"/>
      <c r="W58" s="90"/>
      <c r="X58" s="90"/>
      <c r="Y58" s="93"/>
      <c r="Z58" s="96"/>
      <c r="AA58" s="96"/>
      <c r="AB58" s="29">
        <v>0</v>
      </c>
      <c r="AC58" s="145">
        <v>0</v>
      </c>
      <c r="AD58" s="145">
        <v>0</v>
      </c>
      <c r="AE58" s="145">
        <v>0</v>
      </c>
      <c r="AF58" s="145">
        <v>0</v>
      </c>
      <c r="AG58" s="145">
        <v>0</v>
      </c>
      <c r="AH58" s="145">
        <v>0</v>
      </c>
      <c r="AI58" s="142">
        <f t="shared" si="5"/>
        <v>0</v>
      </c>
      <c r="AJ58" s="141"/>
      <c r="AK58" s="67"/>
      <c r="AL58" s="67"/>
      <c r="AM58" s="24"/>
      <c r="AN58" s="24"/>
      <c r="AO58" s="24"/>
      <c r="AP58" s="71"/>
      <c r="AQ58" s="69"/>
      <c r="AR58" s="141"/>
      <c r="AS58" s="141"/>
      <c r="AT58" s="141"/>
      <c r="AU58" s="141"/>
      <c r="AV58" s="141"/>
      <c r="AW58" s="141"/>
      <c r="AX58" s="141"/>
      <c r="AY58" s="141"/>
      <c r="AZ58" s="141"/>
      <c r="BA58" s="141"/>
    </row>
    <row r="59" spans="1:53" ht="45" customHeight="1">
      <c r="A59" s="153">
        <f t="shared" si="4"/>
        <v>56</v>
      </c>
      <c r="B59" s="153" t="s">
        <v>57</v>
      </c>
      <c r="C59" s="153"/>
      <c r="D59" s="28"/>
      <c r="E59" s="69"/>
      <c r="F59" s="39">
        <v>0</v>
      </c>
      <c r="G59" s="141"/>
      <c r="H59" s="141"/>
      <c r="I59" s="141"/>
      <c r="J59" s="141"/>
      <c r="K59" s="141"/>
      <c r="L59" s="69"/>
      <c r="M59" s="141"/>
      <c r="N59" s="59"/>
      <c r="O59" s="59"/>
      <c r="P59" s="105"/>
      <c r="Q59" s="105"/>
      <c r="R59" s="105"/>
      <c r="S59" s="105"/>
      <c r="T59" s="105"/>
      <c r="U59" s="90"/>
      <c r="V59" s="90"/>
      <c r="W59" s="90"/>
      <c r="X59" s="90"/>
      <c r="Y59" s="93"/>
      <c r="Z59" s="96"/>
      <c r="AA59" s="96"/>
      <c r="AB59" s="29">
        <v>0</v>
      </c>
      <c r="AC59" s="145">
        <v>0</v>
      </c>
      <c r="AD59" s="145">
        <v>0</v>
      </c>
      <c r="AE59" s="145">
        <v>0</v>
      </c>
      <c r="AF59" s="145">
        <v>0</v>
      </c>
      <c r="AG59" s="145">
        <v>0</v>
      </c>
      <c r="AH59" s="145">
        <v>0</v>
      </c>
      <c r="AI59" s="142">
        <f t="shared" si="5"/>
        <v>0</v>
      </c>
      <c r="AJ59" s="141"/>
      <c r="AK59" s="67"/>
      <c r="AL59" s="67"/>
      <c r="AM59" s="24"/>
      <c r="AN59" s="24"/>
      <c r="AO59" s="24"/>
      <c r="AP59" s="71"/>
      <c r="AQ59" s="69"/>
      <c r="AR59" s="141"/>
      <c r="AS59" s="141"/>
      <c r="AT59" s="141"/>
      <c r="AU59" s="141"/>
      <c r="AV59" s="141"/>
      <c r="AW59" s="141"/>
      <c r="AX59" s="141"/>
      <c r="AY59" s="141"/>
      <c r="AZ59" s="141"/>
      <c r="BA59" s="141"/>
    </row>
    <row r="60" spans="1:53" ht="45" customHeight="1">
      <c r="A60" s="153">
        <f t="shared" si="4"/>
        <v>57</v>
      </c>
      <c r="B60" s="153" t="s">
        <v>57</v>
      </c>
      <c r="C60" s="153"/>
      <c r="D60" s="28"/>
      <c r="E60" s="69"/>
      <c r="F60" s="39">
        <v>0</v>
      </c>
      <c r="G60" s="141"/>
      <c r="H60" s="141"/>
      <c r="I60" s="141"/>
      <c r="J60" s="141"/>
      <c r="K60" s="141"/>
      <c r="L60" s="69"/>
      <c r="M60" s="141"/>
      <c r="N60" s="59"/>
      <c r="O60" s="59"/>
      <c r="P60" s="105"/>
      <c r="Q60" s="105"/>
      <c r="R60" s="105"/>
      <c r="S60" s="105"/>
      <c r="T60" s="105"/>
      <c r="U60" s="90"/>
      <c r="V60" s="90"/>
      <c r="W60" s="90"/>
      <c r="X60" s="90"/>
      <c r="Y60" s="93"/>
      <c r="Z60" s="94"/>
      <c r="AA60" s="94"/>
      <c r="AB60" s="29">
        <v>0</v>
      </c>
      <c r="AC60" s="145">
        <v>0</v>
      </c>
      <c r="AD60" s="145">
        <v>0</v>
      </c>
      <c r="AE60" s="145">
        <v>0</v>
      </c>
      <c r="AF60" s="145">
        <v>0</v>
      </c>
      <c r="AG60" s="145">
        <v>0</v>
      </c>
      <c r="AH60" s="145">
        <v>0</v>
      </c>
      <c r="AI60" s="142">
        <f t="shared" si="5"/>
        <v>0</v>
      </c>
      <c r="AJ60" s="141"/>
      <c r="AK60" s="67"/>
      <c r="AL60" s="67"/>
      <c r="AM60" s="24"/>
      <c r="AN60" s="24"/>
      <c r="AO60" s="24"/>
      <c r="AP60" s="71"/>
      <c r="AQ60" s="69"/>
      <c r="AR60" s="141"/>
      <c r="AS60" s="141"/>
      <c r="AT60" s="141"/>
      <c r="AU60" s="141"/>
      <c r="AV60" s="141"/>
      <c r="AW60" s="141"/>
      <c r="AX60" s="141"/>
      <c r="AY60" s="141"/>
      <c r="AZ60" s="141"/>
      <c r="BA60" s="141"/>
    </row>
    <row r="61" spans="1:53" ht="45" customHeight="1">
      <c r="A61" s="153">
        <f t="shared" si="4"/>
        <v>58</v>
      </c>
      <c r="B61" s="153" t="s">
        <v>57</v>
      </c>
      <c r="C61" s="153"/>
      <c r="D61" s="28"/>
      <c r="E61" s="69"/>
      <c r="F61" s="39">
        <v>0</v>
      </c>
      <c r="G61" s="141"/>
      <c r="H61" s="141"/>
      <c r="I61" s="141"/>
      <c r="J61" s="141"/>
      <c r="K61" s="141"/>
      <c r="L61" s="69"/>
      <c r="M61" s="141"/>
      <c r="N61" s="59"/>
      <c r="O61" s="59"/>
      <c r="P61" s="105"/>
      <c r="Q61" s="105"/>
      <c r="R61" s="105"/>
      <c r="S61" s="105"/>
      <c r="T61" s="105"/>
      <c r="U61" s="90"/>
      <c r="V61" s="90"/>
      <c r="W61" s="90"/>
      <c r="X61" s="90"/>
      <c r="Y61" s="93"/>
      <c r="Z61" s="96"/>
      <c r="AA61" s="96"/>
      <c r="AB61" s="29">
        <v>0</v>
      </c>
      <c r="AC61" s="145">
        <v>0</v>
      </c>
      <c r="AD61" s="145">
        <v>0</v>
      </c>
      <c r="AE61" s="145">
        <v>0</v>
      </c>
      <c r="AF61" s="145">
        <v>0</v>
      </c>
      <c r="AG61" s="145">
        <v>0</v>
      </c>
      <c r="AH61" s="145">
        <v>0</v>
      </c>
      <c r="AI61" s="142">
        <f t="shared" si="5"/>
        <v>0</v>
      </c>
      <c r="AJ61" s="141"/>
      <c r="AK61" s="67"/>
      <c r="AL61" s="67"/>
      <c r="AM61" s="24"/>
      <c r="AN61" s="24"/>
      <c r="AO61" s="24"/>
      <c r="AP61" s="71"/>
      <c r="AQ61" s="69"/>
      <c r="AR61" s="141"/>
      <c r="AS61" s="141"/>
      <c r="AT61" s="141"/>
      <c r="AU61" s="141"/>
      <c r="AV61" s="141"/>
      <c r="AW61" s="141"/>
      <c r="AX61" s="141"/>
      <c r="AY61" s="141"/>
      <c r="AZ61" s="141"/>
      <c r="BA61" s="141"/>
    </row>
    <row r="62" spans="1:53" ht="45" customHeight="1">
      <c r="A62" s="153">
        <f t="shared" si="4"/>
        <v>59</v>
      </c>
      <c r="B62" s="153" t="s">
        <v>57</v>
      </c>
      <c r="C62" s="28"/>
      <c r="D62" s="28"/>
      <c r="E62" s="69"/>
      <c r="F62" s="39">
        <v>0</v>
      </c>
      <c r="G62" s="141"/>
      <c r="H62" s="141"/>
      <c r="I62" s="141"/>
      <c r="J62" s="141"/>
      <c r="K62" s="141"/>
      <c r="L62" s="69"/>
      <c r="M62" s="141"/>
      <c r="N62" s="59"/>
      <c r="O62" s="59"/>
      <c r="P62" s="105"/>
      <c r="Q62" s="105"/>
      <c r="R62" s="105"/>
      <c r="S62" s="105"/>
      <c r="T62" s="105"/>
      <c r="U62" s="90"/>
      <c r="V62" s="90"/>
      <c r="W62" s="90"/>
      <c r="X62" s="90"/>
      <c r="Y62" s="93"/>
      <c r="Z62" s="96"/>
      <c r="AA62" s="96"/>
      <c r="AB62" s="29">
        <v>0</v>
      </c>
      <c r="AC62" s="145">
        <v>0</v>
      </c>
      <c r="AD62" s="145">
        <v>0</v>
      </c>
      <c r="AE62" s="145">
        <v>0</v>
      </c>
      <c r="AF62" s="145">
        <v>0</v>
      </c>
      <c r="AG62" s="145">
        <v>0</v>
      </c>
      <c r="AH62" s="145">
        <v>0</v>
      </c>
      <c r="AI62" s="142">
        <f t="shared" si="5"/>
        <v>0</v>
      </c>
      <c r="AJ62" s="141"/>
      <c r="AK62" s="67"/>
      <c r="AL62" s="67"/>
      <c r="AM62" s="24"/>
      <c r="AN62" s="24"/>
      <c r="AO62" s="24"/>
      <c r="AP62" s="71"/>
      <c r="AQ62" s="69"/>
      <c r="AR62" s="141"/>
      <c r="AS62" s="141"/>
      <c r="AT62" s="141"/>
      <c r="AU62" s="141"/>
      <c r="AV62" s="141"/>
      <c r="AW62" s="141"/>
      <c r="AX62" s="141"/>
      <c r="AY62" s="141"/>
      <c r="AZ62" s="141"/>
      <c r="BA62" s="141"/>
    </row>
    <row r="63" spans="1:53" ht="45" customHeight="1">
      <c r="A63" s="153">
        <f t="shared" si="4"/>
        <v>60</v>
      </c>
      <c r="B63" s="153" t="s">
        <v>57</v>
      </c>
      <c r="C63" s="140"/>
      <c r="D63" s="28"/>
      <c r="E63" s="69"/>
      <c r="F63" s="39">
        <v>0</v>
      </c>
      <c r="G63" s="141"/>
      <c r="H63" s="141"/>
      <c r="I63" s="141"/>
      <c r="J63" s="141"/>
      <c r="K63" s="141"/>
      <c r="L63" s="69"/>
      <c r="M63" s="141"/>
      <c r="N63" s="59"/>
      <c r="O63" s="59"/>
      <c r="P63" s="105"/>
      <c r="Q63" s="105"/>
      <c r="R63" s="105"/>
      <c r="S63" s="105"/>
      <c r="T63" s="105"/>
      <c r="U63" s="90"/>
      <c r="V63" s="90"/>
      <c r="W63" s="90"/>
      <c r="X63" s="90"/>
      <c r="Y63" s="93"/>
      <c r="Z63" s="96"/>
      <c r="AA63" s="96"/>
      <c r="AB63" s="29">
        <v>0</v>
      </c>
      <c r="AC63" s="145">
        <v>0</v>
      </c>
      <c r="AD63" s="145">
        <v>0</v>
      </c>
      <c r="AE63" s="145">
        <v>0</v>
      </c>
      <c r="AF63" s="145">
        <v>0</v>
      </c>
      <c r="AG63" s="145">
        <v>0</v>
      </c>
      <c r="AH63" s="145">
        <v>0</v>
      </c>
      <c r="AI63" s="142">
        <f t="shared" si="5"/>
        <v>0</v>
      </c>
      <c r="AJ63" s="141"/>
      <c r="AK63" s="67"/>
      <c r="AL63" s="67"/>
      <c r="AM63" s="24"/>
      <c r="AN63" s="24"/>
      <c r="AO63" s="24"/>
      <c r="AP63" s="71"/>
      <c r="AQ63" s="69"/>
      <c r="AR63" s="141"/>
      <c r="AS63" s="141"/>
      <c r="AT63" s="141"/>
      <c r="AU63" s="141"/>
      <c r="AV63" s="141"/>
      <c r="AW63" s="141"/>
      <c r="AX63" s="141"/>
      <c r="AY63" s="141"/>
      <c r="AZ63" s="141"/>
      <c r="BA63" s="141"/>
    </row>
    <row r="64" spans="1:53" ht="45" customHeight="1">
      <c r="A64" s="153">
        <f t="shared" si="4"/>
        <v>61</v>
      </c>
      <c r="B64" s="153" t="s">
        <v>57</v>
      </c>
      <c r="C64" s="140"/>
      <c r="D64" s="28"/>
      <c r="E64" s="69"/>
      <c r="F64" s="39">
        <v>0</v>
      </c>
      <c r="G64" s="141"/>
      <c r="H64" s="141"/>
      <c r="I64" s="141"/>
      <c r="J64" s="141"/>
      <c r="K64" s="21"/>
      <c r="L64" s="69"/>
      <c r="M64" s="141"/>
      <c r="N64" s="59"/>
      <c r="O64" s="59"/>
      <c r="P64" s="105"/>
      <c r="Q64" s="105"/>
      <c r="R64" s="105"/>
      <c r="S64" s="105"/>
      <c r="T64" s="105"/>
      <c r="U64" s="90"/>
      <c r="V64" s="90"/>
      <c r="W64" s="90"/>
      <c r="X64" s="90"/>
      <c r="Y64" s="93"/>
      <c r="Z64" s="96"/>
      <c r="AA64" s="96"/>
      <c r="AB64" s="29">
        <v>0</v>
      </c>
      <c r="AC64" s="145">
        <v>0</v>
      </c>
      <c r="AD64" s="145">
        <v>0</v>
      </c>
      <c r="AE64" s="145">
        <v>0</v>
      </c>
      <c r="AF64" s="145">
        <v>0</v>
      </c>
      <c r="AG64" s="145">
        <v>0</v>
      </c>
      <c r="AH64" s="145">
        <v>0</v>
      </c>
      <c r="AI64" s="142">
        <f t="shared" si="5"/>
        <v>0</v>
      </c>
      <c r="AJ64" s="141"/>
      <c r="AK64" s="67"/>
      <c r="AL64" s="67"/>
      <c r="AM64" s="24"/>
      <c r="AN64" s="24"/>
      <c r="AO64" s="24"/>
      <c r="AP64" s="71"/>
      <c r="AQ64" s="69"/>
      <c r="AR64" s="141"/>
      <c r="AS64" s="141"/>
      <c r="AT64" s="141"/>
      <c r="AU64" s="141"/>
      <c r="AV64" s="141"/>
      <c r="AW64" s="141"/>
      <c r="AX64" s="141"/>
      <c r="AY64" s="141"/>
      <c r="AZ64" s="141"/>
      <c r="BA64" s="141"/>
    </row>
    <row r="65" spans="1:53" ht="45" customHeight="1">
      <c r="A65" s="153">
        <f t="shared" si="4"/>
        <v>62</v>
      </c>
      <c r="B65" s="153" t="s">
        <v>57</v>
      </c>
      <c r="C65" s="140"/>
      <c r="D65" s="28"/>
      <c r="E65" s="69"/>
      <c r="F65" s="39">
        <v>0</v>
      </c>
      <c r="G65" s="141"/>
      <c r="H65" s="141"/>
      <c r="I65" s="141"/>
      <c r="J65" s="141"/>
      <c r="K65" s="141"/>
      <c r="L65" s="69"/>
      <c r="M65" s="141"/>
      <c r="N65" s="59"/>
      <c r="O65" s="59"/>
      <c r="P65" s="105"/>
      <c r="Q65" s="105"/>
      <c r="R65" s="105"/>
      <c r="S65" s="105"/>
      <c r="T65" s="105"/>
      <c r="U65" s="90"/>
      <c r="V65" s="90"/>
      <c r="W65" s="90"/>
      <c r="X65" s="90"/>
      <c r="Y65" s="93"/>
      <c r="Z65" s="96"/>
      <c r="AA65" s="96"/>
      <c r="AB65" s="29">
        <v>0</v>
      </c>
      <c r="AC65" s="145">
        <v>0</v>
      </c>
      <c r="AD65" s="145">
        <v>0</v>
      </c>
      <c r="AE65" s="145">
        <v>0</v>
      </c>
      <c r="AF65" s="145">
        <v>0</v>
      </c>
      <c r="AG65" s="145">
        <v>0</v>
      </c>
      <c r="AH65" s="145">
        <v>0</v>
      </c>
      <c r="AI65" s="142">
        <f t="shared" si="5"/>
        <v>0</v>
      </c>
      <c r="AJ65" s="141"/>
      <c r="AK65" s="67"/>
      <c r="AL65" s="67"/>
      <c r="AM65" s="24"/>
      <c r="AN65" s="24"/>
      <c r="AO65" s="24"/>
      <c r="AP65" s="71"/>
      <c r="AQ65" s="69"/>
      <c r="AR65" s="141"/>
      <c r="AS65" s="141"/>
      <c r="AT65" s="141"/>
      <c r="AU65" s="141"/>
      <c r="AV65" s="141"/>
      <c r="AW65" s="141"/>
      <c r="AX65" s="141"/>
      <c r="AY65" s="141"/>
      <c r="AZ65" s="141"/>
      <c r="BA65" s="141"/>
    </row>
    <row r="66" spans="1:53" ht="45" customHeight="1">
      <c r="A66" s="153">
        <f t="shared" si="4"/>
        <v>63</v>
      </c>
      <c r="B66" s="153" t="s">
        <v>57</v>
      </c>
      <c r="C66" s="140"/>
      <c r="D66" s="28"/>
      <c r="E66" s="69"/>
      <c r="F66" s="39">
        <v>0</v>
      </c>
      <c r="G66" s="141"/>
      <c r="H66" s="141"/>
      <c r="I66" s="141"/>
      <c r="J66" s="141"/>
      <c r="K66" s="141"/>
      <c r="L66" s="69"/>
      <c r="M66" s="141"/>
      <c r="N66" s="59"/>
      <c r="O66" s="59"/>
      <c r="P66" s="105"/>
      <c r="Q66" s="105"/>
      <c r="R66" s="105"/>
      <c r="S66" s="105"/>
      <c r="T66" s="105"/>
      <c r="U66" s="90"/>
      <c r="V66" s="90"/>
      <c r="W66" s="90"/>
      <c r="X66" s="90"/>
      <c r="Y66" s="93"/>
      <c r="Z66" s="96"/>
      <c r="AA66" s="96"/>
      <c r="AB66" s="29">
        <v>0</v>
      </c>
      <c r="AC66" s="145">
        <v>0</v>
      </c>
      <c r="AD66" s="145">
        <v>0</v>
      </c>
      <c r="AE66" s="145">
        <v>0</v>
      </c>
      <c r="AF66" s="145">
        <v>0</v>
      </c>
      <c r="AG66" s="145">
        <v>0</v>
      </c>
      <c r="AH66" s="145">
        <v>0</v>
      </c>
      <c r="AI66" s="142">
        <f t="shared" si="5"/>
        <v>0</v>
      </c>
      <c r="AJ66" s="141"/>
      <c r="AK66" s="67"/>
      <c r="AL66" s="67"/>
      <c r="AM66" s="24"/>
      <c r="AN66" s="24"/>
      <c r="AO66" s="24"/>
      <c r="AP66" s="71"/>
      <c r="AQ66" s="69"/>
      <c r="AR66" s="141"/>
      <c r="AS66" s="141"/>
      <c r="AT66" s="141"/>
      <c r="AU66" s="141"/>
      <c r="AV66" s="141"/>
      <c r="AW66" s="141"/>
      <c r="AX66" s="141"/>
      <c r="AY66" s="141"/>
      <c r="AZ66" s="141"/>
      <c r="BA66" s="141"/>
    </row>
    <row r="67" spans="1:53" ht="45" customHeight="1">
      <c r="A67" s="153">
        <f t="shared" si="4"/>
        <v>64</v>
      </c>
      <c r="B67" s="153" t="s">
        <v>57</v>
      </c>
      <c r="C67" s="58"/>
      <c r="D67" s="28"/>
      <c r="E67" s="69"/>
      <c r="F67" s="39">
        <v>0</v>
      </c>
      <c r="G67" s="141"/>
      <c r="H67" s="141"/>
      <c r="I67" s="141"/>
      <c r="J67" s="141"/>
      <c r="K67" s="141"/>
      <c r="L67" s="69"/>
      <c r="M67" s="141"/>
      <c r="N67" s="59"/>
      <c r="O67" s="59"/>
      <c r="P67" s="105"/>
      <c r="Q67" s="105"/>
      <c r="R67" s="105"/>
      <c r="S67" s="105"/>
      <c r="T67" s="105"/>
      <c r="U67" s="90"/>
      <c r="V67" s="90"/>
      <c r="W67" s="90"/>
      <c r="X67" s="90"/>
      <c r="Y67" s="93"/>
      <c r="Z67" s="96"/>
      <c r="AA67" s="96"/>
      <c r="AB67" s="29">
        <v>0</v>
      </c>
      <c r="AC67" s="145">
        <v>0</v>
      </c>
      <c r="AD67" s="145">
        <v>0</v>
      </c>
      <c r="AE67" s="145">
        <v>0</v>
      </c>
      <c r="AF67" s="145">
        <v>0</v>
      </c>
      <c r="AG67" s="145">
        <v>0</v>
      </c>
      <c r="AH67" s="145">
        <v>0</v>
      </c>
      <c r="AI67" s="142">
        <f t="shared" si="5"/>
        <v>0</v>
      </c>
      <c r="AJ67" s="141"/>
      <c r="AK67" s="67"/>
      <c r="AL67" s="67"/>
      <c r="AM67" s="24"/>
      <c r="AN67" s="24"/>
      <c r="AO67" s="24"/>
      <c r="AP67" s="71"/>
      <c r="AQ67" s="69"/>
      <c r="AR67" s="141"/>
      <c r="AS67" s="141"/>
      <c r="AT67" s="141"/>
      <c r="AU67" s="141"/>
      <c r="AV67" s="141"/>
      <c r="AW67" s="141"/>
      <c r="AX67" s="141"/>
      <c r="AY67" s="141"/>
      <c r="AZ67" s="141"/>
      <c r="BA67" s="141"/>
    </row>
    <row r="68" spans="1:53" ht="45" customHeight="1">
      <c r="A68" s="153">
        <f t="shared" ref="A68:A99" si="6">A67+1</f>
        <v>65</v>
      </c>
      <c r="B68" s="153" t="s">
        <v>57</v>
      </c>
      <c r="C68" s="140"/>
      <c r="D68" s="28"/>
      <c r="E68" s="69"/>
      <c r="F68" s="39">
        <v>0</v>
      </c>
      <c r="G68" s="21"/>
      <c r="H68" s="21"/>
      <c r="I68" s="21"/>
      <c r="J68" s="141"/>
      <c r="K68" s="21"/>
      <c r="L68" s="69"/>
      <c r="M68" s="141"/>
      <c r="N68" s="59"/>
      <c r="O68" s="59"/>
      <c r="P68" s="105"/>
      <c r="Q68" s="105"/>
      <c r="R68" s="105"/>
      <c r="S68" s="105"/>
      <c r="T68" s="105"/>
      <c r="U68" s="90"/>
      <c r="V68" s="90"/>
      <c r="W68" s="90"/>
      <c r="X68" s="90"/>
      <c r="Y68" s="93"/>
      <c r="Z68" s="96"/>
      <c r="AA68" s="96"/>
      <c r="AB68" s="29">
        <v>0</v>
      </c>
      <c r="AC68" s="145">
        <v>0</v>
      </c>
      <c r="AD68" s="145">
        <v>0</v>
      </c>
      <c r="AE68" s="145">
        <v>0</v>
      </c>
      <c r="AF68" s="145">
        <v>0</v>
      </c>
      <c r="AG68" s="145">
        <v>0</v>
      </c>
      <c r="AH68" s="145">
        <v>0</v>
      </c>
      <c r="AI68" s="142">
        <f t="shared" si="5"/>
        <v>0</v>
      </c>
      <c r="AJ68" s="141"/>
      <c r="AK68" s="67"/>
      <c r="AL68" s="67"/>
      <c r="AM68" s="24"/>
      <c r="AN68" s="24"/>
      <c r="AO68" s="24"/>
      <c r="AP68" s="71"/>
      <c r="AQ68" s="69"/>
      <c r="AR68" s="141"/>
      <c r="AS68" s="141"/>
      <c r="AT68" s="141"/>
      <c r="AU68" s="141"/>
      <c r="AV68" s="141"/>
      <c r="AW68" s="141"/>
      <c r="AX68" s="141"/>
      <c r="AY68" s="141"/>
      <c r="AZ68" s="141"/>
      <c r="BA68" s="141"/>
    </row>
    <row r="69" spans="1:53" ht="45" customHeight="1">
      <c r="A69" s="153">
        <f t="shared" si="6"/>
        <v>66</v>
      </c>
      <c r="B69" s="153" t="s">
        <v>57</v>
      </c>
      <c r="C69" s="140"/>
      <c r="D69" s="28"/>
      <c r="E69" s="69"/>
      <c r="F69" s="39">
        <v>0</v>
      </c>
      <c r="G69" s="141"/>
      <c r="H69" s="141"/>
      <c r="I69" s="141"/>
      <c r="J69" s="141"/>
      <c r="K69" s="141"/>
      <c r="L69" s="69"/>
      <c r="M69" s="141"/>
      <c r="N69" s="59"/>
      <c r="O69" s="59"/>
      <c r="P69" s="105"/>
      <c r="Q69" s="105"/>
      <c r="R69" s="105"/>
      <c r="S69" s="105"/>
      <c r="T69" s="105"/>
      <c r="U69" s="90"/>
      <c r="V69" s="90"/>
      <c r="W69" s="90"/>
      <c r="X69" s="90"/>
      <c r="Y69" s="93"/>
      <c r="Z69" s="96"/>
      <c r="AA69" s="96"/>
      <c r="AB69" s="29">
        <v>0</v>
      </c>
      <c r="AC69" s="145">
        <v>0</v>
      </c>
      <c r="AD69" s="145">
        <v>0</v>
      </c>
      <c r="AE69" s="145">
        <v>0</v>
      </c>
      <c r="AF69" s="145">
        <v>0</v>
      </c>
      <c r="AG69" s="145">
        <v>0</v>
      </c>
      <c r="AH69" s="145">
        <v>0</v>
      </c>
      <c r="AI69" s="142">
        <f t="shared" si="5"/>
        <v>0</v>
      </c>
      <c r="AJ69" s="141"/>
      <c r="AK69" s="67"/>
      <c r="AL69" s="67"/>
      <c r="AM69" s="24"/>
      <c r="AN69" s="24"/>
      <c r="AO69" s="24"/>
      <c r="AP69" s="71"/>
      <c r="AQ69" s="69"/>
      <c r="AR69" s="141"/>
      <c r="AS69" s="141"/>
      <c r="AT69" s="141"/>
      <c r="AU69" s="141"/>
      <c r="AV69" s="141"/>
      <c r="AW69" s="141"/>
      <c r="AX69" s="141"/>
      <c r="AY69" s="141"/>
      <c r="AZ69" s="141"/>
      <c r="BA69" s="141"/>
    </row>
    <row r="70" spans="1:53" ht="45" customHeight="1">
      <c r="A70" s="153">
        <f t="shared" si="6"/>
        <v>67</v>
      </c>
      <c r="B70" s="153" t="s">
        <v>57</v>
      </c>
      <c r="C70" s="140"/>
      <c r="D70" s="28"/>
      <c r="E70" s="69"/>
      <c r="F70" s="39">
        <v>0</v>
      </c>
      <c r="G70" s="141"/>
      <c r="H70" s="141"/>
      <c r="I70" s="141"/>
      <c r="J70" s="141"/>
      <c r="K70" s="141"/>
      <c r="L70" s="69"/>
      <c r="M70" s="141"/>
      <c r="N70" s="59"/>
      <c r="O70" s="59"/>
      <c r="P70" s="105"/>
      <c r="Q70" s="105"/>
      <c r="R70" s="105"/>
      <c r="S70" s="105"/>
      <c r="T70" s="105"/>
      <c r="U70" s="90"/>
      <c r="V70" s="90"/>
      <c r="W70" s="90"/>
      <c r="X70" s="90"/>
      <c r="Y70" s="93"/>
      <c r="Z70" s="96"/>
      <c r="AA70" s="96"/>
      <c r="AB70" s="29">
        <v>0</v>
      </c>
      <c r="AC70" s="145">
        <v>0</v>
      </c>
      <c r="AD70" s="145">
        <v>0</v>
      </c>
      <c r="AE70" s="145">
        <v>0</v>
      </c>
      <c r="AF70" s="145">
        <v>0</v>
      </c>
      <c r="AG70" s="145">
        <v>0</v>
      </c>
      <c r="AH70" s="145">
        <v>0</v>
      </c>
      <c r="AI70" s="142">
        <f t="shared" si="5"/>
        <v>0</v>
      </c>
      <c r="AJ70" s="141"/>
      <c r="AK70" s="67"/>
      <c r="AL70" s="67"/>
      <c r="AM70" s="24"/>
      <c r="AN70" s="24"/>
      <c r="AO70" s="24"/>
      <c r="AP70" s="71"/>
      <c r="AQ70" s="69"/>
      <c r="AR70" s="141"/>
      <c r="AS70" s="141"/>
      <c r="AT70" s="141"/>
      <c r="AU70" s="141"/>
      <c r="AV70" s="141"/>
      <c r="AW70" s="141"/>
      <c r="AX70" s="141"/>
      <c r="AY70" s="141"/>
      <c r="AZ70" s="141"/>
      <c r="BA70" s="141"/>
    </row>
    <row r="71" spans="1:53" ht="45" customHeight="1">
      <c r="A71" s="153">
        <f t="shared" si="6"/>
        <v>68</v>
      </c>
      <c r="B71" s="153"/>
      <c r="C71" s="140"/>
      <c r="D71" s="28"/>
      <c r="E71" s="69"/>
      <c r="F71" s="39">
        <v>0</v>
      </c>
      <c r="G71" s="141"/>
      <c r="H71" s="141"/>
      <c r="I71" s="141"/>
      <c r="J71" s="141"/>
      <c r="K71" s="141"/>
      <c r="L71" s="69"/>
      <c r="M71" s="141"/>
      <c r="N71" s="59"/>
      <c r="O71" s="59"/>
      <c r="P71" s="105"/>
      <c r="Q71" s="105"/>
      <c r="R71" s="105"/>
      <c r="S71" s="105"/>
      <c r="T71" s="105"/>
      <c r="U71" s="90"/>
      <c r="V71" s="90"/>
      <c r="W71" s="90"/>
      <c r="X71" s="90"/>
      <c r="Y71" s="93"/>
      <c r="Z71" s="96"/>
      <c r="AA71" s="96"/>
      <c r="AB71" s="29">
        <v>0</v>
      </c>
      <c r="AC71" s="145">
        <v>0</v>
      </c>
      <c r="AD71" s="145">
        <v>0</v>
      </c>
      <c r="AE71" s="145">
        <v>0</v>
      </c>
      <c r="AF71" s="145">
        <v>0</v>
      </c>
      <c r="AG71" s="145">
        <v>0</v>
      </c>
      <c r="AH71" s="145">
        <v>0</v>
      </c>
      <c r="AI71" s="142">
        <f t="shared" si="5"/>
        <v>0</v>
      </c>
      <c r="AJ71" s="141"/>
      <c r="AK71" s="67"/>
      <c r="AL71" s="67"/>
      <c r="AM71" s="24"/>
      <c r="AN71" s="24"/>
      <c r="AO71" s="24"/>
      <c r="AP71" s="71"/>
      <c r="AQ71" s="69"/>
      <c r="AR71" s="141"/>
      <c r="AS71" s="141"/>
      <c r="AT71" s="141"/>
      <c r="AU71" s="141"/>
      <c r="AV71" s="141"/>
      <c r="AW71" s="141"/>
      <c r="AX71" s="141"/>
      <c r="AY71" s="141"/>
      <c r="AZ71" s="141"/>
      <c r="BA71" s="141"/>
    </row>
    <row r="72" spans="1:53" ht="45" customHeight="1">
      <c r="A72" s="153">
        <f t="shared" si="6"/>
        <v>69</v>
      </c>
      <c r="B72" s="153"/>
      <c r="C72" s="140"/>
      <c r="D72" s="28"/>
      <c r="E72" s="69"/>
      <c r="F72" s="39">
        <v>0</v>
      </c>
      <c r="G72" s="141"/>
      <c r="H72" s="141"/>
      <c r="I72" s="141"/>
      <c r="J72" s="141"/>
      <c r="K72" s="141"/>
      <c r="L72" s="69"/>
      <c r="M72" s="141"/>
      <c r="N72" s="59"/>
      <c r="O72" s="59"/>
      <c r="P72" s="105"/>
      <c r="Q72" s="105"/>
      <c r="R72" s="105"/>
      <c r="S72" s="105"/>
      <c r="T72" s="105"/>
      <c r="U72" s="90"/>
      <c r="V72" s="90"/>
      <c r="W72" s="90"/>
      <c r="X72" s="90"/>
      <c r="Y72" s="93"/>
      <c r="Z72" s="96"/>
      <c r="AA72" s="96"/>
      <c r="AB72" s="29">
        <v>0</v>
      </c>
      <c r="AC72" s="145">
        <v>0</v>
      </c>
      <c r="AD72" s="145">
        <v>0</v>
      </c>
      <c r="AE72" s="145">
        <v>0</v>
      </c>
      <c r="AF72" s="145">
        <v>0</v>
      </c>
      <c r="AG72" s="145">
        <v>0</v>
      </c>
      <c r="AH72" s="145">
        <v>0</v>
      </c>
      <c r="AI72" s="142">
        <f t="shared" si="5"/>
        <v>0</v>
      </c>
      <c r="AJ72" s="141"/>
      <c r="AK72" s="67"/>
      <c r="AL72" s="67"/>
      <c r="AM72" s="24"/>
      <c r="AN72" s="24"/>
      <c r="AO72" s="24"/>
      <c r="AP72" s="71"/>
      <c r="AQ72" s="69"/>
      <c r="AR72" s="141"/>
      <c r="AS72" s="141"/>
      <c r="AT72" s="141"/>
      <c r="AU72" s="141"/>
      <c r="AV72" s="141"/>
      <c r="AW72" s="141"/>
      <c r="AX72" s="141"/>
      <c r="AY72" s="141"/>
      <c r="AZ72" s="141"/>
      <c r="BA72" s="141"/>
    </row>
    <row r="73" spans="1:53" ht="45" customHeight="1">
      <c r="A73" s="153">
        <f t="shared" si="6"/>
        <v>70</v>
      </c>
      <c r="B73" s="153"/>
      <c r="C73" s="140"/>
      <c r="D73" s="28"/>
      <c r="E73" s="69"/>
      <c r="F73" s="39">
        <v>0</v>
      </c>
      <c r="G73" s="141"/>
      <c r="H73" s="141"/>
      <c r="I73" s="141"/>
      <c r="J73" s="141"/>
      <c r="K73" s="141"/>
      <c r="L73" s="69"/>
      <c r="M73" s="141"/>
      <c r="N73" s="59"/>
      <c r="O73" s="59"/>
      <c r="P73" s="105"/>
      <c r="Q73" s="105"/>
      <c r="R73" s="105"/>
      <c r="S73" s="105"/>
      <c r="T73" s="105"/>
      <c r="U73" s="90"/>
      <c r="V73" s="90"/>
      <c r="W73" s="90"/>
      <c r="X73" s="90"/>
      <c r="Y73" s="93"/>
      <c r="Z73" s="96"/>
      <c r="AA73" s="96"/>
      <c r="AB73" s="29">
        <v>0</v>
      </c>
      <c r="AC73" s="145">
        <v>0</v>
      </c>
      <c r="AD73" s="145">
        <v>0</v>
      </c>
      <c r="AE73" s="145">
        <v>0</v>
      </c>
      <c r="AF73" s="145">
        <v>0</v>
      </c>
      <c r="AG73" s="145">
        <v>0</v>
      </c>
      <c r="AH73" s="145">
        <v>0</v>
      </c>
      <c r="AI73" s="142">
        <f t="shared" si="5"/>
        <v>0</v>
      </c>
      <c r="AJ73" s="141"/>
      <c r="AK73" s="67"/>
      <c r="AL73" s="67"/>
      <c r="AM73" s="24"/>
      <c r="AN73" s="24"/>
      <c r="AO73" s="24"/>
      <c r="AP73" s="71"/>
      <c r="AQ73" s="69"/>
      <c r="AR73" s="141"/>
      <c r="AS73" s="141"/>
      <c r="AT73" s="141"/>
      <c r="AU73" s="141"/>
      <c r="AV73" s="141"/>
      <c r="AW73" s="141"/>
      <c r="AX73" s="141"/>
      <c r="AY73" s="141"/>
      <c r="AZ73" s="141"/>
      <c r="BA73" s="141"/>
    </row>
    <row r="74" spans="1:53" ht="45" customHeight="1">
      <c r="A74" s="153">
        <f t="shared" si="6"/>
        <v>71</v>
      </c>
      <c r="B74" s="153"/>
      <c r="C74" s="140"/>
      <c r="D74" s="28"/>
      <c r="E74" s="69"/>
      <c r="F74" s="39">
        <v>0</v>
      </c>
      <c r="G74" s="141"/>
      <c r="H74" s="141"/>
      <c r="I74" s="141"/>
      <c r="J74" s="141"/>
      <c r="K74" s="141"/>
      <c r="L74" s="69"/>
      <c r="M74" s="141"/>
      <c r="N74" s="59"/>
      <c r="O74" s="59"/>
      <c r="P74" s="105"/>
      <c r="Q74" s="105"/>
      <c r="R74" s="105"/>
      <c r="S74" s="105"/>
      <c r="T74" s="105"/>
      <c r="U74" s="90"/>
      <c r="V74" s="90"/>
      <c r="W74" s="90"/>
      <c r="X74" s="90"/>
      <c r="Y74" s="93"/>
      <c r="Z74" s="96"/>
      <c r="AA74" s="96"/>
      <c r="AB74" s="29">
        <v>0</v>
      </c>
      <c r="AC74" s="145">
        <v>0</v>
      </c>
      <c r="AD74" s="145">
        <v>0</v>
      </c>
      <c r="AE74" s="145">
        <v>0</v>
      </c>
      <c r="AF74" s="145">
        <v>0</v>
      </c>
      <c r="AG74" s="145">
        <v>0</v>
      </c>
      <c r="AH74" s="145">
        <v>0</v>
      </c>
      <c r="AI74" s="142">
        <f t="shared" si="5"/>
        <v>0</v>
      </c>
      <c r="AJ74" s="141"/>
      <c r="AK74" s="67"/>
      <c r="AL74" s="67"/>
      <c r="AM74" s="24"/>
      <c r="AN74" s="24"/>
      <c r="AO74" s="24"/>
      <c r="AP74" s="71"/>
      <c r="AQ74" s="69"/>
      <c r="AR74" s="141"/>
      <c r="AS74" s="141"/>
      <c r="AT74" s="141"/>
      <c r="AU74" s="141"/>
      <c r="AV74" s="141"/>
      <c r="AW74" s="141"/>
      <c r="AX74" s="141"/>
      <c r="AY74" s="141"/>
      <c r="AZ74" s="141"/>
      <c r="BA74" s="141"/>
    </row>
    <row r="75" spans="1:53" ht="45" customHeight="1">
      <c r="A75" s="153">
        <f t="shared" si="6"/>
        <v>72</v>
      </c>
      <c r="B75" s="153"/>
      <c r="C75" s="140"/>
      <c r="D75" s="28"/>
      <c r="E75" s="69"/>
      <c r="F75" s="39">
        <v>0</v>
      </c>
      <c r="G75" s="141"/>
      <c r="H75" s="35"/>
      <c r="I75" s="35"/>
      <c r="J75" s="35"/>
      <c r="K75" s="65"/>
      <c r="L75" s="69"/>
      <c r="M75" s="141"/>
      <c r="N75" s="59"/>
      <c r="O75" s="59"/>
      <c r="P75" s="105"/>
      <c r="Q75" s="105"/>
      <c r="R75" s="105"/>
      <c r="S75" s="105"/>
      <c r="T75" s="105"/>
      <c r="U75" s="90"/>
      <c r="V75" s="90"/>
      <c r="W75" s="90"/>
      <c r="X75" s="90"/>
      <c r="Y75" s="93"/>
      <c r="Z75" s="95"/>
      <c r="AA75" s="95"/>
      <c r="AB75" s="29">
        <v>0</v>
      </c>
      <c r="AC75" s="145">
        <v>0</v>
      </c>
      <c r="AD75" s="145">
        <v>0</v>
      </c>
      <c r="AE75" s="145">
        <v>0</v>
      </c>
      <c r="AF75" s="145">
        <v>0</v>
      </c>
      <c r="AG75" s="145">
        <v>0</v>
      </c>
      <c r="AH75" s="145">
        <v>0</v>
      </c>
      <c r="AI75" s="142">
        <f t="shared" si="5"/>
        <v>0</v>
      </c>
      <c r="AJ75" s="141"/>
      <c r="AK75" s="67"/>
      <c r="AL75" s="67"/>
      <c r="AM75" s="24"/>
      <c r="AN75" s="24"/>
      <c r="AO75" s="24"/>
      <c r="AP75" s="71"/>
      <c r="AQ75" s="69"/>
      <c r="AR75" s="141"/>
      <c r="AS75" s="141"/>
      <c r="AT75" s="141"/>
      <c r="AU75" s="141"/>
      <c r="AV75" s="141"/>
      <c r="AW75" s="141"/>
      <c r="AX75" s="141"/>
      <c r="AY75" s="141"/>
      <c r="AZ75" s="141"/>
      <c r="BA75" s="141"/>
    </row>
    <row r="76" spans="1:53" ht="45" customHeight="1">
      <c r="A76" s="153">
        <f t="shared" si="6"/>
        <v>73</v>
      </c>
      <c r="B76" s="153"/>
      <c r="C76" s="140"/>
      <c r="D76" s="28"/>
      <c r="E76" s="69"/>
      <c r="F76" s="39">
        <v>0</v>
      </c>
      <c r="G76" s="141"/>
      <c r="H76" s="141"/>
      <c r="I76" s="141"/>
      <c r="J76" s="141"/>
      <c r="K76" s="141"/>
      <c r="L76" s="69"/>
      <c r="M76" s="141"/>
      <c r="N76" s="59"/>
      <c r="O76" s="59"/>
      <c r="P76" s="105"/>
      <c r="Q76" s="105"/>
      <c r="R76" s="105"/>
      <c r="S76" s="105"/>
      <c r="T76" s="105"/>
      <c r="U76" s="90"/>
      <c r="V76" s="90"/>
      <c r="W76" s="90"/>
      <c r="X76" s="90"/>
      <c r="Y76" s="93"/>
      <c r="Z76" s="93"/>
      <c r="AA76" s="93"/>
      <c r="AB76" s="29">
        <v>0</v>
      </c>
      <c r="AC76" s="145">
        <v>0</v>
      </c>
      <c r="AD76" s="145">
        <v>0</v>
      </c>
      <c r="AE76" s="145">
        <v>0</v>
      </c>
      <c r="AF76" s="145">
        <v>0</v>
      </c>
      <c r="AG76" s="145">
        <v>0</v>
      </c>
      <c r="AH76" s="145">
        <v>0</v>
      </c>
      <c r="AI76" s="142">
        <f t="shared" si="5"/>
        <v>0</v>
      </c>
      <c r="AJ76" s="141"/>
      <c r="AK76" s="67"/>
      <c r="AL76" s="67"/>
      <c r="AM76" s="24"/>
      <c r="AN76" s="24"/>
      <c r="AO76" s="24"/>
      <c r="AP76" s="71"/>
      <c r="AQ76" s="69"/>
      <c r="AR76" s="141"/>
      <c r="AS76" s="141"/>
      <c r="AT76" s="141"/>
      <c r="AU76" s="141"/>
      <c r="AV76" s="141"/>
      <c r="AW76" s="141"/>
      <c r="AX76" s="141"/>
      <c r="AY76" s="141"/>
      <c r="AZ76" s="141"/>
      <c r="BA76" s="141"/>
    </row>
    <row r="77" spans="1:53" ht="45" customHeight="1">
      <c r="A77" s="153">
        <f t="shared" si="6"/>
        <v>74</v>
      </c>
      <c r="B77" s="153"/>
      <c r="C77" s="140"/>
      <c r="D77" s="28"/>
      <c r="E77" s="69"/>
      <c r="F77" s="39">
        <v>0</v>
      </c>
      <c r="G77" s="141"/>
      <c r="H77" s="141"/>
      <c r="I77" s="141"/>
      <c r="J77" s="141"/>
      <c r="K77" s="141"/>
      <c r="L77" s="69"/>
      <c r="M77" s="141"/>
      <c r="N77" s="59"/>
      <c r="O77" s="59"/>
      <c r="P77" s="105"/>
      <c r="Q77" s="105"/>
      <c r="R77" s="105"/>
      <c r="S77" s="105"/>
      <c r="T77" s="105"/>
      <c r="U77" s="90"/>
      <c r="V77" s="90"/>
      <c r="W77" s="90"/>
      <c r="X77" s="90"/>
      <c r="Y77" s="93"/>
      <c r="Z77" s="93"/>
      <c r="AA77" s="93"/>
      <c r="AB77" s="29">
        <v>0</v>
      </c>
      <c r="AC77" s="145">
        <v>0</v>
      </c>
      <c r="AD77" s="145">
        <v>0</v>
      </c>
      <c r="AE77" s="145">
        <v>0</v>
      </c>
      <c r="AF77" s="145">
        <v>0</v>
      </c>
      <c r="AG77" s="145">
        <v>0</v>
      </c>
      <c r="AH77" s="145">
        <v>0</v>
      </c>
      <c r="AI77" s="142">
        <f t="shared" si="5"/>
        <v>0</v>
      </c>
      <c r="AJ77" s="141"/>
      <c r="AK77" s="67"/>
      <c r="AL77" s="67"/>
      <c r="AM77" s="24"/>
      <c r="AN77" s="24"/>
      <c r="AO77" s="24"/>
      <c r="AP77" s="71"/>
      <c r="AQ77" s="69"/>
      <c r="AR77" s="141"/>
      <c r="AS77" s="141"/>
      <c r="AT77" s="141"/>
      <c r="AU77" s="141"/>
      <c r="AV77" s="141"/>
      <c r="AW77" s="141"/>
      <c r="AX77" s="141"/>
      <c r="AY77" s="141"/>
      <c r="AZ77" s="141"/>
      <c r="BA77" s="141"/>
    </row>
    <row r="78" spans="1:53" ht="45" customHeight="1">
      <c r="A78" s="153">
        <f t="shared" si="6"/>
        <v>75</v>
      </c>
      <c r="B78" s="153"/>
      <c r="C78" s="140"/>
      <c r="D78" s="28"/>
      <c r="E78" s="69"/>
      <c r="F78" s="39">
        <v>0</v>
      </c>
      <c r="G78" s="141"/>
      <c r="H78" s="141"/>
      <c r="I78" s="141"/>
      <c r="J78" s="141"/>
      <c r="K78" s="141"/>
      <c r="L78" s="69"/>
      <c r="M78" s="141"/>
      <c r="N78" s="59"/>
      <c r="O78" s="59"/>
      <c r="P78" s="105"/>
      <c r="Q78" s="105"/>
      <c r="R78" s="105"/>
      <c r="S78" s="105"/>
      <c r="T78" s="105"/>
      <c r="U78" s="90"/>
      <c r="V78" s="90"/>
      <c r="W78" s="90"/>
      <c r="X78" s="90"/>
      <c r="Y78" s="93"/>
      <c r="Z78" s="93"/>
      <c r="AA78" s="93"/>
      <c r="AB78" s="29">
        <v>0</v>
      </c>
      <c r="AC78" s="145">
        <v>0</v>
      </c>
      <c r="AD78" s="145">
        <v>0</v>
      </c>
      <c r="AE78" s="145">
        <v>0</v>
      </c>
      <c r="AF78" s="145">
        <v>0</v>
      </c>
      <c r="AG78" s="145">
        <v>0</v>
      </c>
      <c r="AH78" s="145">
        <v>0</v>
      </c>
      <c r="AI78" s="142">
        <f t="shared" si="5"/>
        <v>0</v>
      </c>
      <c r="AJ78" s="141"/>
      <c r="AK78" s="67"/>
      <c r="AL78" s="67"/>
      <c r="AM78" s="24"/>
      <c r="AN78" s="24"/>
      <c r="AO78" s="24"/>
      <c r="AP78" s="71"/>
      <c r="AQ78" s="69"/>
      <c r="AR78" s="141"/>
      <c r="AS78" s="141"/>
      <c r="AT78" s="141"/>
      <c r="AU78" s="141"/>
      <c r="AV78" s="141"/>
      <c r="AW78" s="141"/>
      <c r="AX78" s="141"/>
      <c r="AY78" s="141"/>
      <c r="AZ78" s="141"/>
      <c r="BA78" s="141"/>
    </row>
    <row r="79" spans="1:53" ht="45" customHeight="1">
      <c r="A79" s="153">
        <f t="shared" si="6"/>
        <v>76</v>
      </c>
      <c r="B79" s="153"/>
      <c r="C79" s="140"/>
      <c r="D79" s="28"/>
      <c r="E79" s="69"/>
      <c r="F79" s="39">
        <v>0</v>
      </c>
      <c r="G79" s="141"/>
      <c r="H79" s="141"/>
      <c r="I79" s="141"/>
      <c r="J79" s="141"/>
      <c r="K79" s="141"/>
      <c r="L79" s="69"/>
      <c r="M79" s="141"/>
      <c r="N79" s="59"/>
      <c r="O79" s="59"/>
      <c r="P79" s="105"/>
      <c r="Q79" s="105"/>
      <c r="R79" s="105"/>
      <c r="S79" s="105"/>
      <c r="T79" s="105"/>
      <c r="U79" s="90"/>
      <c r="V79" s="90"/>
      <c r="W79" s="90"/>
      <c r="X79" s="90"/>
      <c r="Y79" s="93"/>
      <c r="Z79" s="93"/>
      <c r="AA79" s="93"/>
      <c r="AB79" s="29">
        <v>0</v>
      </c>
      <c r="AC79" s="145">
        <v>0</v>
      </c>
      <c r="AD79" s="145">
        <v>0</v>
      </c>
      <c r="AE79" s="145">
        <v>0</v>
      </c>
      <c r="AF79" s="145">
        <v>0</v>
      </c>
      <c r="AG79" s="145">
        <v>0</v>
      </c>
      <c r="AH79" s="145">
        <v>0</v>
      </c>
      <c r="AI79" s="142">
        <f t="shared" si="5"/>
        <v>0</v>
      </c>
      <c r="AJ79" s="141"/>
      <c r="AK79" s="67"/>
      <c r="AL79" s="67"/>
      <c r="AM79" s="24"/>
      <c r="AN79" s="24"/>
      <c r="AO79" s="24"/>
      <c r="AP79" s="71"/>
      <c r="AQ79" s="69"/>
      <c r="AR79" s="141"/>
      <c r="AS79" s="141"/>
      <c r="AT79" s="141"/>
      <c r="AU79" s="141"/>
      <c r="AV79" s="141"/>
      <c r="AW79" s="141"/>
      <c r="AX79" s="141"/>
      <c r="AY79" s="141"/>
      <c r="AZ79" s="141"/>
      <c r="BA79" s="141"/>
    </row>
    <row r="80" spans="1:53" ht="45" customHeight="1">
      <c r="A80" s="153">
        <f t="shared" si="6"/>
        <v>77</v>
      </c>
      <c r="B80" s="153"/>
      <c r="C80" s="140"/>
      <c r="D80" s="28"/>
      <c r="E80" s="69"/>
      <c r="F80" s="39">
        <v>0</v>
      </c>
      <c r="G80" s="141"/>
      <c r="H80" s="141"/>
      <c r="I80" s="141"/>
      <c r="J80" s="141"/>
      <c r="K80" s="141"/>
      <c r="L80" s="69"/>
      <c r="M80" s="141"/>
      <c r="N80" s="59"/>
      <c r="O80" s="59"/>
      <c r="P80" s="105"/>
      <c r="Q80" s="105"/>
      <c r="R80" s="105"/>
      <c r="S80" s="105"/>
      <c r="T80" s="105"/>
      <c r="U80" s="90"/>
      <c r="V80" s="90"/>
      <c r="W80" s="90"/>
      <c r="X80" s="90"/>
      <c r="Y80" s="93"/>
      <c r="Z80" s="93"/>
      <c r="AA80" s="93"/>
      <c r="AB80" s="29">
        <v>0</v>
      </c>
      <c r="AC80" s="145">
        <v>0</v>
      </c>
      <c r="AD80" s="145">
        <v>0</v>
      </c>
      <c r="AE80" s="145">
        <v>0</v>
      </c>
      <c r="AF80" s="145">
        <v>0</v>
      </c>
      <c r="AG80" s="145">
        <v>0</v>
      </c>
      <c r="AH80" s="145">
        <v>0</v>
      </c>
      <c r="AI80" s="142">
        <f t="shared" si="5"/>
        <v>0</v>
      </c>
      <c r="AJ80" s="141"/>
      <c r="AK80" s="67"/>
      <c r="AL80" s="67"/>
      <c r="AM80" s="24"/>
      <c r="AN80" s="24"/>
      <c r="AO80" s="24"/>
      <c r="AP80" s="71"/>
      <c r="AQ80" s="69"/>
      <c r="AR80" s="141"/>
      <c r="AS80" s="141"/>
      <c r="AT80" s="141"/>
      <c r="AU80" s="141"/>
      <c r="AV80" s="141"/>
      <c r="AW80" s="141"/>
      <c r="AX80" s="141"/>
      <c r="AY80" s="141"/>
      <c r="AZ80" s="141"/>
      <c r="BA80" s="141"/>
    </row>
    <row r="81" spans="1:53" ht="45" customHeight="1">
      <c r="A81" s="153">
        <f t="shared" si="6"/>
        <v>78</v>
      </c>
      <c r="B81" s="153"/>
      <c r="C81" s="140"/>
      <c r="D81" s="28"/>
      <c r="E81" s="69"/>
      <c r="F81" s="39">
        <v>0</v>
      </c>
      <c r="G81" s="21"/>
      <c r="H81" s="21"/>
      <c r="I81" s="21"/>
      <c r="J81" s="141"/>
      <c r="K81" s="21"/>
      <c r="L81" s="69"/>
      <c r="M81" s="141"/>
      <c r="N81" s="59"/>
      <c r="O81" s="59"/>
      <c r="P81" s="105"/>
      <c r="Q81" s="105"/>
      <c r="R81" s="105"/>
      <c r="S81" s="105"/>
      <c r="T81" s="105"/>
      <c r="U81" s="90"/>
      <c r="V81" s="90"/>
      <c r="W81" s="90"/>
      <c r="X81" s="90"/>
      <c r="Y81" s="93"/>
      <c r="Z81" s="93"/>
      <c r="AA81" s="93"/>
      <c r="AB81" s="29">
        <v>0</v>
      </c>
      <c r="AC81" s="145">
        <v>0</v>
      </c>
      <c r="AD81" s="145">
        <v>0</v>
      </c>
      <c r="AE81" s="145">
        <v>0</v>
      </c>
      <c r="AF81" s="145">
        <v>0</v>
      </c>
      <c r="AG81" s="145">
        <v>0</v>
      </c>
      <c r="AH81" s="145">
        <v>0</v>
      </c>
      <c r="AI81" s="142">
        <f t="shared" si="5"/>
        <v>0</v>
      </c>
      <c r="AJ81" s="141"/>
      <c r="AK81" s="67"/>
      <c r="AL81" s="67"/>
      <c r="AM81" s="24"/>
      <c r="AN81" s="24"/>
      <c r="AO81" s="24"/>
      <c r="AP81" s="71"/>
      <c r="AQ81" s="69"/>
      <c r="AR81" s="141"/>
      <c r="AS81" s="141"/>
      <c r="AT81" s="141"/>
      <c r="AU81" s="141"/>
      <c r="AV81" s="141"/>
      <c r="AW81" s="141"/>
      <c r="AX81" s="141"/>
      <c r="AY81" s="141"/>
      <c r="AZ81" s="141"/>
      <c r="BA81" s="141"/>
    </row>
    <row r="82" spans="1:53" ht="45" customHeight="1">
      <c r="A82" s="153">
        <f t="shared" si="6"/>
        <v>79</v>
      </c>
      <c r="B82" s="153"/>
      <c r="C82" s="140"/>
      <c r="D82" s="28"/>
      <c r="E82" s="69"/>
      <c r="F82" s="39">
        <v>0</v>
      </c>
      <c r="G82" s="53"/>
      <c r="H82" s="53"/>
      <c r="I82" s="53"/>
      <c r="J82" s="141"/>
      <c r="K82" s="141"/>
      <c r="L82" s="69"/>
      <c r="M82" s="141"/>
      <c r="N82" s="59"/>
      <c r="O82" s="59"/>
      <c r="P82" s="105"/>
      <c r="Q82" s="105"/>
      <c r="R82" s="105"/>
      <c r="S82" s="105"/>
      <c r="T82" s="105"/>
      <c r="U82" s="90"/>
      <c r="V82" s="90"/>
      <c r="W82" s="90"/>
      <c r="X82" s="90"/>
      <c r="Y82" s="93"/>
      <c r="Z82" s="93"/>
      <c r="AA82" s="93"/>
      <c r="AB82" s="29">
        <v>0</v>
      </c>
      <c r="AC82" s="145">
        <v>0</v>
      </c>
      <c r="AD82" s="145">
        <v>0</v>
      </c>
      <c r="AE82" s="145">
        <v>0</v>
      </c>
      <c r="AF82" s="145">
        <v>0</v>
      </c>
      <c r="AG82" s="145">
        <v>0</v>
      </c>
      <c r="AH82" s="145">
        <v>0</v>
      </c>
      <c r="AI82" s="142">
        <f t="shared" si="5"/>
        <v>0</v>
      </c>
      <c r="AJ82" s="141"/>
      <c r="AK82" s="67"/>
      <c r="AL82" s="67"/>
      <c r="AM82" s="24"/>
      <c r="AN82" s="24"/>
      <c r="AO82" s="24"/>
      <c r="AP82" s="71"/>
      <c r="AQ82" s="69"/>
      <c r="AR82" s="141"/>
      <c r="AS82" s="141"/>
      <c r="AT82" s="141"/>
      <c r="AU82" s="141"/>
      <c r="AV82" s="141"/>
      <c r="AW82" s="141"/>
      <c r="AX82" s="141"/>
      <c r="AY82" s="141"/>
      <c r="AZ82" s="141"/>
      <c r="BA82" s="141"/>
    </row>
    <row r="83" spans="1:53" ht="45" customHeight="1">
      <c r="A83" s="153">
        <f t="shared" si="6"/>
        <v>80</v>
      </c>
      <c r="B83" s="153"/>
      <c r="C83" s="140"/>
      <c r="D83" s="28"/>
      <c r="E83" s="69"/>
      <c r="F83" s="39">
        <v>0</v>
      </c>
      <c r="G83" s="141"/>
      <c r="H83" s="141"/>
      <c r="I83" s="141"/>
      <c r="J83" s="141"/>
      <c r="K83" s="141"/>
      <c r="L83" s="69"/>
      <c r="M83" s="141"/>
      <c r="N83" s="59"/>
      <c r="O83" s="59"/>
      <c r="P83" s="105"/>
      <c r="Q83" s="105"/>
      <c r="R83" s="105"/>
      <c r="S83" s="105"/>
      <c r="T83" s="105"/>
      <c r="U83" s="90"/>
      <c r="V83" s="90"/>
      <c r="W83" s="90"/>
      <c r="X83" s="90"/>
      <c r="Y83" s="93"/>
      <c r="Z83" s="93"/>
      <c r="AA83" s="93"/>
      <c r="AB83" s="29">
        <v>0</v>
      </c>
      <c r="AC83" s="145">
        <v>0</v>
      </c>
      <c r="AD83" s="145">
        <v>0</v>
      </c>
      <c r="AE83" s="145">
        <v>0</v>
      </c>
      <c r="AF83" s="145">
        <v>0</v>
      </c>
      <c r="AG83" s="145">
        <v>0</v>
      </c>
      <c r="AH83" s="145">
        <v>0</v>
      </c>
      <c r="AI83" s="142">
        <f t="shared" si="5"/>
        <v>0</v>
      </c>
      <c r="AJ83" s="141"/>
      <c r="AK83" s="67"/>
      <c r="AL83" s="67"/>
      <c r="AM83" s="24"/>
      <c r="AN83" s="24"/>
      <c r="AO83" s="24"/>
      <c r="AP83" s="71"/>
      <c r="AQ83" s="69"/>
      <c r="AR83" s="141"/>
      <c r="AS83" s="141"/>
      <c r="AT83" s="141"/>
      <c r="AU83" s="141"/>
      <c r="AV83" s="141"/>
      <c r="AW83" s="141"/>
      <c r="AX83" s="141"/>
      <c r="AY83" s="141"/>
      <c r="AZ83" s="141"/>
      <c r="BA83" s="141"/>
    </row>
    <row r="84" spans="1:53" ht="45" customHeight="1">
      <c r="A84" s="153">
        <f t="shared" si="6"/>
        <v>81</v>
      </c>
      <c r="B84" s="153"/>
      <c r="C84" s="140"/>
      <c r="D84" s="28"/>
      <c r="E84" s="69"/>
      <c r="F84" s="39">
        <v>0</v>
      </c>
      <c r="G84" s="141"/>
      <c r="H84" s="141"/>
      <c r="I84" s="141"/>
      <c r="J84" s="141"/>
      <c r="K84" s="141"/>
      <c r="L84" s="69"/>
      <c r="M84" s="141"/>
      <c r="N84" s="59"/>
      <c r="O84" s="59"/>
      <c r="P84" s="105"/>
      <c r="Q84" s="105"/>
      <c r="R84" s="105"/>
      <c r="S84" s="105"/>
      <c r="T84" s="105"/>
      <c r="U84" s="90"/>
      <c r="V84" s="90"/>
      <c r="W84" s="90"/>
      <c r="X84" s="90"/>
      <c r="Y84" s="93"/>
      <c r="Z84" s="93"/>
      <c r="AA84" s="93"/>
      <c r="AB84" s="29">
        <v>0</v>
      </c>
      <c r="AC84" s="145">
        <v>0</v>
      </c>
      <c r="AD84" s="145">
        <v>0</v>
      </c>
      <c r="AE84" s="145">
        <v>0</v>
      </c>
      <c r="AF84" s="145">
        <v>0</v>
      </c>
      <c r="AG84" s="145">
        <v>0</v>
      </c>
      <c r="AH84" s="145">
        <v>0</v>
      </c>
      <c r="AI84" s="142">
        <f t="shared" si="5"/>
        <v>0</v>
      </c>
      <c r="AJ84" s="141"/>
      <c r="AK84" s="67"/>
      <c r="AL84" s="67"/>
      <c r="AM84" s="24"/>
      <c r="AN84" s="24"/>
      <c r="AO84" s="24"/>
      <c r="AP84" s="71"/>
      <c r="AQ84" s="69"/>
      <c r="AR84" s="141"/>
      <c r="AS84" s="141"/>
      <c r="AT84" s="141"/>
      <c r="AU84" s="141"/>
      <c r="AV84" s="141"/>
      <c r="AW84" s="141"/>
      <c r="AX84" s="141"/>
      <c r="AY84" s="141"/>
      <c r="AZ84" s="141"/>
      <c r="BA84" s="141"/>
    </row>
    <row r="85" spans="1:53" ht="45" customHeight="1">
      <c r="A85" s="153">
        <f t="shared" si="6"/>
        <v>82</v>
      </c>
      <c r="B85" s="153"/>
      <c r="C85" s="140"/>
      <c r="D85" s="28"/>
      <c r="E85" s="69"/>
      <c r="F85" s="39">
        <v>0</v>
      </c>
      <c r="G85" s="141"/>
      <c r="H85" s="141"/>
      <c r="I85" s="141"/>
      <c r="J85" s="141"/>
      <c r="K85" s="141"/>
      <c r="L85" s="69"/>
      <c r="M85" s="141"/>
      <c r="N85" s="59"/>
      <c r="O85" s="59"/>
      <c r="P85" s="105"/>
      <c r="Q85" s="105"/>
      <c r="R85" s="105"/>
      <c r="S85" s="105"/>
      <c r="T85" s="105"/>
      <c r="U85" s="90"/>
      <c r="V85" s="90"/>
      <c r="W85" s="90"/>
      <c r="X85" s="90"/>
      <c r="Y85" s="93"/>
      <c r="Z85" s="96"/>
      <c r="AA85" s="96"/>
      <c r="AB85" s="29">
        <v>0</v>
      </c>
      <c r="AC85" s="145">
        <v>0</v>
      </c>
      <c r="AD85" s="145">
        <v>0</v>
      </c>
      <c r="AE85" s="145">
        <v>0</v>
      </c>
      <c r="AF85" s="145">
        <v>0</v>
      </c>
      <c r="AG85" s="145">
        <v>0</v>
      </c>
      <c r="AH85" s="145">
        <v>0</v>
      </c>
      <c r="AI85" s="142">
        <f t="shared" si="5"/>
        <v>0</v>
      </c>
      <c r="AJ85" s="141"/>
      <c r="AK85" s="67"/>
      <c r="AL85" s="67"/>
      <c r="AM85" s="24"/>
      <c r="AN85" s="24"/>
      <c r="AO85" s="24"/>
      <c r="AP85" s="71"/>
      <c r="AQ85" s="69"/>
      <c r="AR85" s="141"/>
      <c r="AS85" s="141"/>
      <c r="AT85" s="141"/>
      <c r="AU85" s="141"/>
      <c r="AV85" s="141"/>
      <c r="AW85" s="141"/>
      <c r="AX85" s="141"/>
      <c r="AY85" s="141"/>
      <c r="AZ85" s="141"/>
      <c r="BA85" s="141"/>
    </row>
    <row r="86" spans="1:53" ht="45" customHeight="1">
      <c r="A86" s="153">
        <f t="shared" si="6"/>
        <v>83</v>
      </c>
      <c r="B86" s="153"/>
      <c r="C86" s="140"/>
      <c r="D86" s="28"/>
      <c r="E86" s="69"/>
      <c r="F86" s="39">
        <v>0</v>
      </c>
      <c r="G86" s="141"/>
      <c r="H86" s="141"/>
      <c r="I86" s="141"/>
      <c r="J86" s="141"/>
      <c r="K86" s="21"/>
      <c r="L86" s="69"/>
      <c r="M86" s="141"/>
      <c r="N86" s="59"/>
      <c r="O86" s="59"/>
      <c r="P86" s="105"/>
      <c r="Q86" s="105"/>
      <c r="R86" s="105"/>
      <c r="S86" s="105"/>
      <c r="T86" s="105"/>
      <c r="U86" s="90"/>
      <c r="V86" s="90"/>
      <c r="W86" s="90"/>
      <c r="X86" s="90"/>
      <c r="Y86" s="93"/>
      <c r="Z86" s="93"/>
      <c r="AA86" s="93"/>
      <c r="AB86" s="29">
        <v>0</v>
      </c>
      <c r="AC86" s="145">
        <v>0</v>
      </c>
      <c r="AD86" s="145">
        <v>0</v>
      </c>
      <c r="AE86" s="145">
        <v>0</v>
      </c>
      <c r="AF86" s="145">
        <v>0</v>
      </c>
      <c r="AG86" s="145">
        <v>0</v>
      </c>
      <c r="AH86" s="145">
        <v>0</v>
      </c>
      <c r="AI86" s="142">
        <f t="shared" si="5"/>
        <v>0</v>
      </c>
      <c r="AJ86" s="141"/>
      <c r="AK86" s="67"/>
      <c r="AL86" s="67"/>
      <c r="AM86" s="24"/>
      <c r="AN86" s="24"/>
      <c r="AO86" s="24"/>
      <c r="AP86" s="71"/>
      <c r="AQ86" s="69"/>
      <c r="AR86" s="141"/>
      <c r="AS86" s="141"/>
      <c r="AT86" s="141"/>
      <c r="AU86" s="141"/>
      <c r="AV86" s="141"/>
      <c r="AW86" s="141"/>
      <c r="AX86" s="141"/>
      <c r="AY86" s="141"/>
      <c r="AZ86" s="141"/>
      <c r="BA86" s="141"/>
    </row>
    <row r="87" spans="1:53" ht="45" customHeight="1">
      <c r="A87" s="153">
        <f t="shared" si="6"/>
        <v>84</v>
      </c>
      <c r="B87" s="153"/>
      <c r="C87" s="140"/>
      <c r="D87" s="28"/>
      <c r="E87" s="69"/>
      <c r="F87" s="39">
        <v>0</v>
      </c>
      <c r="G87" s="21"/>
      <c r="H87" s="21"/>
      <c r="I87" s="21"/>
      <c r="J87" s="141"/>
      <c r="K87" s="21"/>
      <c r="L87" s="69"/>
      <c r="M87" s="141"/>
      <c r="N87" s="59"/>
      <c r="O87" s="59"/>
      <c r="P87" s="105"/>
      <c r="Q87" s="105"/>
      <c r="R87" s="105"/>
      <c r="S87" s="105"/>
      <c r="T87" s="105"/>
      <c r="U87" s="90"/>
      <c r="V87" s="90"/>
      <c r="W87" s="90"/>
      <c r="X87" s="90"/>
      <c r="Y87" s="93"/>
      <c r="Z87" s="93"/>
      <c r="AA87" s="93"/>
      <c r="AB87" s="29">
        <v>0</v>
      </c>
      <c r="AC87" s="145">
        <v>0</v>
      </c>
      <c r="AD87" s="145">
        <v>0</v>
      </c>
      <c r="AE87" s="145">
        <v>0</v>
      </c>
      <c r="AF87" s="145">
        <v>0</v>
      </c>
      <c r="AG87" s="145">
        <v>0</v>
      </c>
      <c r="AH87" s="145">
        <v>0</v>
      </c>
      <c r="AI87" s="142">
        <f t="shared" ref="AI87:AI118" si="7">AVERAGE(AB87:AH87)</f>
        <v>0</v>
      </c>
      <c r="AJ87" s="141"/>
      <c r="AK87" s="67"/>
      <c r="AL87" s="67"/>
      <c r="AM87" s="24"/>
      <c r="AN87" s="24"/>
      <c r="AO87" s="24"/>
      <c r="AP87" s="71"/>
      <c r="AQ87" s="69"/>
      <c r="AR87" s="141"/>
      <c r="AS87" s="141"/>
      <c r="AT87" s="141"/>
      <c r="AU87" s="141"/>
      <c r="AV87" s="141"/>
      <c r="AW87" s="141"/>
      <c r="AX87" s="141"/>
      <c r="AY87" s="141"/>
      <c r="AZ87" s="141"/>
      <c r="BA87" s="141"/>
    </row>
    <row r="88" spans="1:53" ht="45" customHeight="1">
      <c r="A88" s="153">
        <f t="shared" si="6"/>
        <v>85</v>
      </c>
      <c r="B88" s="153"/>
      <c r="C88" s="140"/>
      <c r="D88" s="140"/>
      <c r="E88" s="69"/>
      <c r="F88" s="39">
        <v>0</v>
      </c>
      <c r="G88" s="21"/>
      <c r="H88" s="21"/>
      <c r="I88" s="21"/>
      <c r="J88" s="141"/>
      <c r="K88" s="21"/>
      <c r="L88" s="69"/>
      <c r="M88" s="141"/>
      <c r="N88" s="59"/>
      <c r="O88" s="59"/>
      <c r="P88" s="105"/>
      <c r="Q88" s="105"/>
      <c r="R88" s="105"/>
      <c r="S88" s="105"/>
      <c r="T88" s="105"/>
      <c r="U88" s="90"/>
      <c r="V88" s="90"/>
      <c r="W88" s="90"/>
      <c r="X88" s="90"/>
      <c r="Y88" s="93"/>
      <c r="Z88" s="93"/>
      <c r="AA88" s="93"/>
      <c r="AB88" s="29">
        <v>0</v>
      </c>
      <c r="AC88" s="145">
        <v>0</v>
      </c>
      <c r="AD88" s="145">
        <v>0</v>
      </c>
      <c r="AE88" s="145">
        <v>0</v>
      </c>
      <c r="AF88" s="145">
        <v>0</v>
      </c>
      <c r="AG88" s="145">
        <v>0</v>
      </c>
      <c r="AH88" s="145">
        <v>0</v>
      </c>
      <c r="AI88" s="142">
        <f t="shared" si="7"/>
        <v>0</v>
      </c>
      <c r="AJ88" s="141"/>
      <c r="AK88" s="67"/>
      <c r="AL88" s="67"/>
      <c r="AM88" s="24"/>
      <c r="AN88" s="24"/>
      <c r="AO88" s="24"/>
      <c r="AP88" s="71"/>
      <c r="AQ88" s="69"/>
      <c r="AR88" s="141"/>
      <c r="AS88" s="141"/>
      <c r="AT88" s="141"/>
      <c r="AU88" s="141"/>
      <c r="AV88" s="141"/>
      <c r="AW88" s="141"/>
      <c r="AX88" s="141"/>
      <c r="AY88" s="141"/>
      <c r="AZ88" s="141"/>
      <c r="BA88" s="141"/>
    </row>
    <row r="89" spans="1:53" ht="45" customHeight="1">
      <c r="A89" s="153">
        <f t="shared" si="6"/>
        <v>86</v>
      </c>
      <c r="B89" s="153"/>
      <c r="C89" s="140"/>
      <c r="D89" s="28"/>
      <c r="E89" s="69"/>
      <c r="F89" s="39">
        <v>0</v>
      </c>
      <c r="G89" s="21"/>
      <c r="H89" s="21"/>
      <c r="I89" s="21"/>
      <c r="J89" s="141"/>
      <c r="K89" s="21"/>
      <c r="L89" s="69"/>
      <c r="M89" s="141"/>
      <c r="N89" s="59"/>
      <c r="O89" s="59"/>
      <c r="P89" s="105"/>
      <c r="Q89" s="105"/>
      <c r="R89" s="105"/>
      <c r="S89" s="105"/>
      <c r="T89" s="105"/>
      <c r="U89" s="90"/>
      <c r="V89" s="90"/>
      <c r="W89" s="90"/>
      <c r="X89" s="90"/>
      <c r="Y89" s="93"/>
      <c r="Z89" s="93"/>
      <c r="AA89" s="93"/>
      <c r="AB89" s="29">
        <v>0</v>
      </c>
      <c r="AC89" s="145">
        <v>0</v>
      </c>
      <c r="AD89" s="145">
        <v>0</v>
      </c>
      <c r="AE89" s="145">
        <v>0</v>
      </c>
      <c r="AF89" s="145">
        <v>0</v>
      </c>
      <c r="AG89" s="145">
        <v>0</v>
      </c>
      <c r="AH89" s="145">
        <v>0</v>
      </c>
      <c r="AI89" s="142">
        <f t="shared" si="7"/>
        <v>0</v>
      </c>
      <c r="AJ89" s="141"/>
      <c r="AK89" s="67"/>
      <c r="AL89" s="67"/>
      <c r="AM89" s="24"/>
      <c r="AN89" s="24"/>
      <c r="AO89" s="24"/>
      <c r="AP89" s="71"/>
      <c r="AQ89" s="69"/>
      <c r="AR89" s="141"/>
      <c r="AS89" s="141"/>
      <c r="AT89" s="141"/>
      <c r="AU89" s="141"/>
      <c r="AV89" s="141"/>
      <c r="AW89" s="141"/>
      <c r="AX89" s="141"/>
      <c r="AY89" s="141"/>
      <c r="AZ89" s="141"/>
      <c r="BA89" s="141"/>
    </row>
    <row r="90" spans="1:53" ht="45" customHeight="1">
      <c r="A90" s="153">
        <f t="shared" si="6"/>
        <v>87</v>
      </c>
      <c r="B90" s="153"/>
      <c r="C90" s="140"/>
      <c r="D90" s="28"/>
      <c r="E90" s="69"/>
      <c r="F90" s="39">
        <v>0</v>
      </c>
      <c r="G90" s="21"/>
      <c r="H90" s="21"/>
      <c r="I90" s="21"/>
      <c r="J90" s="141"/>
      <c r="K90" s="21"/>
      <c r="L90" s="69"/>
      <c r="M90" s="141"/>
      <c r="N90" s="59"/>
      <c r="O90" s="59"/>
      <c r="P90" s="105"/>
      <c r="Q90" s="105"/>
      <c r="R90" s="105"/>
      <c r="S90" s="105"/>
      <c r="T90" s="105"/>
      <c r="U90" s="90"/>
      <c r="V90" s="90"/>
      <c r="W90" s="90"/>
      <c r="X90" s="90"/>
      <c r="Y90" s="93"/>
      <c r="Z90" s="93"/>
      <c r="AA90" s="93"/>
      <c r="AB90" s="29">
        <v>0</v>
      </c>
      <c r="AC90" s="145">
        <v>0</v>
      </c>
      <c r="AD90" s="145">
        <v>0</v>
      </c>
      <c r="AE90" s="145">
        <v>0</v>
      </c>
      <c r="AF90" s="145">
        <v>0</v>
      </c>
      <c r="AG90" s="145">
        <v>0</v>
      </c>
      <c r="AH90" s="145">
        <v>0</v>
      </c>
      <c r="AI90" s="142">
        <f t="shared" si="7"/>
        <v>0</v>
      </c>
      <c r="AJ90" s="141"/>
      <c r="AK90" s="67"/>
      <c r="AL90" s="67"/>
      <c r="AM90" s="24"/>
      <c r="AN90" s="24"/>
      <c r="AO90" s="24"/>
      <c r="AP90" s="71"/>
      <c r="AQ90" s="69"/>
      <c r="AR90" s="141"/>
      <c r="AS90" s="141"/>
      <c r="AT90" s="141"/>
      <c r="AU90" s="141"/>
      <c r="AV90" s="141"/>
      <c r="AW90" s="141"/>
      <c r="AX90" s="141"/>
      <c r="AY90" s="141"/>
      <c r="AZ90" s="141"/>
      <c r="BA90" s="141"/>
    </row>
    <row r="91" spans="1:53" ht="45" customHeight="1">
      <c r="A91" s="153">
        <f t="shared" si="6"/>
        <v>88</v>
      </c>
      <c r="B91" s="153"/>
      <c r="C91" s="140"/>
      <c r="D91" s="28"/>
      <c r="E91" s="69"/>
      <c r="F91" s="39">
        <v>0</v>
      </c>
      <c r="G91" s="21"/>
      <c r="H91" s="21"/>
      <c r="I91" s="21"/>
      <c r="J91" s="141"/>
      <c r="K91" s="21"/>
      <c r="L91" s="69"/>
      <c r="M91" s="141"/>
      <c r="N91" s="59"/>
      <c r="O91" s="59"/>
      <c r="P91" s="105"/>
      <c r="Q91" s="105"/>
      <c r="R91" s="105"/>
      <c r="S91" s="105"/>
      <c r="T91" s="105"/>
      <c r="U91" s="90"/>
      <c r="V91" s="90"/>
      <c r="W91" s="90"/>
      <c r="X91" s="90"/>
      <c r="Y91" s="93"/>
      <c r="Z91" s="93"/>
      <c r="AA91" s="93"/>
      <c r="AB91" s="29">
        <v>0</v>
      </c>
      <c r="AC91" s="145">
        <v>0</v>
      </c>
      <c r="AD91" s="145">
        <v>0</v>
      </c>
      <c r="AE91" s="145">
        <v>0</v>
      </c>
      <c r="AF91" s="145">
        <v>0</v>
      </c>
      <c r="AG91" s="145">
        <v>0</v>
      </c>
      <c r="AH91" s="145">
        <v>0</v>
      </c>
      <c r="AI91" s="142">
        <f t="shared" si="7"/>
        <v>0</v>
      </c>
      <c r="AJ91" s="141"/>
      <c r="AK91" s="67"/>
      <c r="AL91" s="67"/>
      <c r="AM91" s="24"/>
      <c r="AN91" s="24"/>
      <c r="AO91" s="24"/>
      <c r="AP91" s="71"/>
      <c r="AQ91" s="69"/>
      <c r="AR91" s="141"/>
      <c r="AS91" s="141"/>
      <c r="AT91" s="141"/>
      <c r="AU91" s="141"/>
      <c r="AV91" s="141"/>
      <c r="AW91" s="141"/>
      <c r="AX91" s="141"/>
      <c r="AY91" s="141"/>
      <c r="AZ91" s="141"/>
      <c r="BA91" s="141"/>
    </row>
    <row r="92" spans="1:53" ht="45" customHeight="1">
      <c r="A92" s="153">
        <f t="shared" si="6"/>
        <v>89</v>
      </c>
      <c r="B92" s="153"/>
      <c r="C92" s="140"/>
      <c r="D92" s="28"/>
      <c r="E92" s="69"/>
      <c r="F92" s="39">
        <v>0</v>
      </c>
      <c r="G92" s="21"/>
      <c r="H92" s="21"/>
      <c r="I92" s="21"/>
      <c r="J92" s="141"/>
      <c r="K92" s="21"/>
      <c r="L92" s="69"/>
      <c r="M92" s="141"/>
      <c r="N92" s="59"/>
      <c r="O92" s="59"/>
      <c r="P92" s="105"/>
      <c r="Q92" s="105"/>
      <c r="R92" s="105"/>
      <c r="S92" s="105"/>
      <c r="T92" s="105"/>
      <c r="U92" s="90"/>
      <c r="V92" s="90"/>
      <c r="W92" s="90"/>
      <c r="X92" s="90"/>
      <c r="Y92" s="93"/>
      <c r="Z92" s="93"/>
      <c r="AA92" s="93"/>
      <c r="AB92" s="29">
        <v>0</v>
      </c>
      <c r="AC92" s="145">
        <v>0</v>
      </c>
      <c r="AD92" s="145">
        <v>0</v>
      </c>
      <c r="AE92" s="145">
        <v>0</v>
      </c>
      <c r="AF92" s="145">
        <v>0</v>
      </c>
      <c r="AG92" s="145">
        <v>0</v>
      </c>
      <c r="AH92" s="145">
        <v>0</v>
      </c>
      <c r="AI92" s="142">
        <f t="shared" si="7"/>
        <v>0</v>
      </c>
      <c r="AJ92" s="141"/>
      <c r="AK92" s="67"/>
      <c r="AL92" s="67"/>
      <c r="AM92" s="24"/>
      <c r="AN92" s="24"/>
      <c r="AO92" s="24"/>
      <c r="AP92" s="71"/>
      <c r="AQ92" s="69"/>
      <c r="AR92" s="141"/>
      <c r="AS92" s="141"/>
      <c r="AT92" s="141"/>
      <c r="AU92" s="141"/>
      <c r="AV92" s="141"/>
      <c r="AW92" s="141"/>
      <c r="AX92" s="141"/>
      <c r="AY92" s="141"/>
      <c r="AZ92" s="141"/>
      <c r="BA92" s="141"/>
    </row>
    <row r="93" spans="1:53" ht="45" customHeight="1">
      <c r="A93" s="153">
        <f t="shared" si="6"/>
        <v>90</v>
      </c>
      <c r="B93" s="153"/>
      <c r="C93" s="140"/>
      <c r="D93" s="28"/>
      <c r="E93" s="69"/>
      <c r="F93" s="39">
        <v>0</v>
      </c>
      <c r="G93" s="21"/>
      <c r="H93" s="21"/>
      <c r="I93" s="21"/>
      <c r="J93" s="141"/>
      <c r="K93" s="21"/>
      <c r="L93" s="69"/>
      <c r="M93" s="141"/>
      <c r="N93" s="59"/>
      <c r="O93" s="59"/>
      <c r="P93" s="105"/>
      <c r="Q93" s="105"/>
      <c r="R93" s="105"/>
      <c r="S93" s="105"/>
      <c r="T93" s="105"/>
      <c r="U93" s="90"/>
      <c r="V93" s="90"/>
      <c r="W93" s="90"/>
      <c r="X93" s="90"/>
      <c r="Y93" s="93"/>
      <c r="Z93" s="93"/>
      <c r="AA93" s="93"/>
      <c r="AB93" s="29">
        <v>0</v>
      </c>
      <c r="AC93" s="145">
        <v>0</v>
      </c>
      <c r="AD93" s="145">
        <v>0</v>
      </c>
      <c r="AE93" s="145">
        <v>0</v>
      </c>
      <c r="AF93" s="145">
        <v>0</v>
      </c>
      <c r="AG93" s="145">
        <v>0</v>
      </c>
      <c r="AH93" s="145">
        <v>0</v>
      </c>
      <c r="AI93" s="142">
        <f t="shared" si="7"/>
        <v>0</v>
      </c>
      <c r="AJ93" s="141"/>
      <c r="AK93" s="67"/>
      <c r="AL93" s="67"/>
      <c r="AM93" s="24"/>
      <c r="AN93" s="24"/>
      <c r="AO93" s="24"/>
      <c r="AP93" s="71"/>
      <c r="AQ93" s="69"/>
      <c r="AR93" s="141"/>
      <c r="AS93" s="141"/>
      <c r="AT93" s="141"/>
      <c r="AU93" s="141"/>
      <c r="AV93" s="141"/>
      <c r="AW93" s="141"/>
      <c r="AX93" s="141"/>
      <c r="AY93" s="141"/>
      <c r="AZ93" s="141"/>
      <c r="BA93" s="141"/>
    </row>
    <row r="94" spans="1:53" ht="45" customHeight="1">
      <c r="A94" s="153">
        <f t="shared" si="6"/>
        <v>91</v>
      </c>
      <c r="B94" s="153"/>
      <c r="C94" s="140"/>
      <c r="D94" s="28"/>
      <c r="E94" s="69"/>
      <c r="F94" s="39">
        <v>0</v>
      </c>
      <c r="G94" s="21"/>
      <c r="H94" s="21"/>
      <c r="I94" s="21"/>
      <c r="J94" s="141"/>
      <c r="K94" s="21"/>
      <c r="L94" s="69"/>
      <c r="M94" s="141"/>
      <c r="N94" s="59"/>
      <c r="O94" s="59"/>
      <c r="P94" s="105"/>
      <c r="Q94" s="105"/>
      <c r="R94" s="105"/>
      <c r="S94" s="105"/>
      <c r="T94" s="105"/>
      <c r="U94" s="90"/>
      <c r="V94" s="90"/>
      <c r="W94" s="90"/>
      <c r="X94" s="90"/>
      <c r="Y94" s="93"/>
      <c r="Z94" s="93"/>
      <c r="AA94" s="93"/>
      <c r="AB94" s="29">
        <v>0</v>
      </c>
      <c r="AC94" s="145">
        <v>0</v>
      </c>
      <c r="AD94" s="145">
        <v>0</v>
      </c>
      <c r="AE94" s="145">
        <v>0</v>
      </c>
      <c r="AF94" s="145">
        <v>0</v>
      </c>
      <c r="AG94" s="145">
        <v>0</v>
      </c>
      <c r="AH94" s="145">
        <v>0</v>
      </c>
      <c r="AI94" s="142">
        <f t="shared" si="7"/>
        <v>0</v>
      </c>
      <c r="AJ94" s="141"/>
      <c r="AK94" s="67"/>
      <c r="AL94" s="67"/>
      <c r="AM94" s="24"/>
      <c r="AN94" s="24"/>
      <c r="AO94" s="24"/>
      <c r="AP94" s="71"/>
      <c r="AQ94" s="69"/>
      <c r="AR94" s="141"/>
      <c r="AS94" s="141"/>
      <c r="AT94" s="141"/>
      <c r="AU94" s="141"/>
      <c r="AV94" s="141"/>
      <c r="AW94" s="141"/>
      <c r="AX94" s="141"/>
      <c r="AY94" s="141"/>
      <c r="AZ94" s="141"/>
      <c r="BA94" s="141"/>
    </row>
    <row r="95" spans="1:53" ht="45" customHeight="1">
      <c r="A95" s="153">
        <f t="shared" si="6"/>
        <v>92</v>
      </c>
      <c r="B95" s="153"/>
      <c r="C95" s="140"/>
      <c r="D95" s="28"/>
      <c r="E95" s="69"/>
      <c r="F95" s="39">
        <v>0</v>
      </c>
      <c r="G95" s="21"/>
      <c r="H95" s="21"/>
      <c r="I95" s="21"/>
      <c r="J95" s="141"/>
      <c r="K95" s="21"/>
      <c r="L95" s="69"/>
      <c r="M95" s="141"/>
      <c r="N95" s="59"/>
      <c r="O95" s="59"/>
      <c r="P95" s="105"/>
      <c r="Q95" s="105"/>
      <c r="R95" s="105"/>
      <c r="S95" s="105"/>
      <c r="T95" s="105"/>
      <c r="U95" s="90"/>
      <c r="V95" s="90"/>
      <c r="W95" s="90"/>
      <c r="X95" s="90"/>
      <c r="Y95" s="93"/>
      <c r="Z95" s="93"/>
      <c r="AA95" s="93"/>
      <c r="AB95" s="29">
        <v>0</v>
      </c>
      <c r="AC95" s="145">
        <v>0</v>
      </c>
      <c r="AD95" s="145">
        <v>0</v>
      </c>
      <c r="AE95" s="145">
        <v>0</v>
      </c>
      <c r="AF95" s="145">
        <v>0</v>
      </c>
      <c r="AG95" s="145">
        <v>0</v>
      </c>
      <c r="AH95" s="145">
        <v>0</v>
      </c>
      <c r="AI95" s="142">
        <f t="shared" si="7"/>
        <v>0</v>
      </c>
      <c r="AJ95" s="141"/>
      <c r="AK95" s="67"/>
      <c r="AL95" s="67"/>
      <c r="AM95" s="24"/>
      <c r="AN95" s="24"/>
      <c r="AO95" s="24"/>
      <c r="AP95" s="71"/>
      <c r="AQ95" s="69"/>
      <c r="AR95" s="141"/>
      <c r="AS95" s="141"/>
      <c r="AT95" s="141"/>
      <c r="AU95" s="141"/>
      <c r="AV95" s="141"/>
      <c r="AW95" s="141"/>
      <c r="AX95" s="141"/>
      <c r="AY95" s="141"/>
      <c r="AZ95" s="141"/>
      <c r="BA95" s="141"/>
    </row>
    <row r="96" spans="1:53" ht="45" customHeight="1">
      <c r="A96" s="153">
        <f t="shared" si="6"/>
        <v>93</v>
      </c>
      <c r="B96" s="153"/>
      <c r="C96" s="140"/>
      <c r="D96" s="28"/>
      <c r="E96" s="69"/>
      <c r="F96" s="39">
        <v>0</v>
      </c>
      <c r="G96" s="21"/>
      <c r="H96" s="21"/>
      <c r="I96" s="21"/>
      <c r="J96" s="141"/>
      <c r="K96" s="21"/>
      <c r="L96" s="69"/>
      <c r="M96" s="141"/>
      <c r="N96" s="59"/>
      <c r="O96" s="59"/>
      <c r="P96" s="105"/>
      <c r="Q96" s="105"/>
      <c r="R96" s="105"/>
      <c r="S96" s="105"/>
      <c r="T96" s="105"/>
      <c r="U96" s="90"/>
      <c r="V96" s="90"/>
      <c r="W96" s="90"/>
      <c r="X96" s="90"/>
      <c r="Y96" s="93"/>
      <c r="Z96" s="93"/>
      <c r="AA96" s="93"/>
      <c r="AB96" s="29">
        <v>0</v>
      </c>
      <c r="AC96" s="145">
        <v>0</v>
      </c>
      <c r="AD96" s="145">
        <v>0</v>
      </c>
      <c r="AE96" s="145">
        <v>0</v>
      </c>
      <c r="AF96" s="145">
        <v>0</v>
      </c>
      <c r="AG96" s="145">
        <v>0</v>
      </c>
      <c r="AH96" s="145">
        <v>0</v>
      </c>
      <c r="AI96" s="142">
        <f t="shared" si="7"/>
        <v>0</v>
      </c>
      <c r="AJ96" s="141"/>
      <c r="AK96" s="67"/>
      <c r="AL96" s="67"/>
      <c r="AM96" s="24"/>
      <c r="AN96" s="24"/>
      <c r="AO96" s="24"/>
      <c r="AP96" s="71"/>
      <c r="AQ96" s="69"/>
      <c r="AR96" s="141"/>
      <c r="AS96" s="141"/>
      <c r="AT96" s="141"/>
      <c r="AU96" s="141"/>
      <c r="AV96" s="141"/>
      <c r="AW96" s="141"/>
      <c r="AX96" s="141"/>
      <c r="AY96" s="141"/>
      <c r="AZ96" s="141"/>
      <c r="BA96" s="141"/>
    </row>
    <row r="97" spans="1:53" ht="45" customHeight="1">
      <c r="A97" s="153">
        <f t="shared" si="6"/>
        <v>94</v>
      </c>
      <c r="B97" s="153"/>
      <c r="C97" s="140"/>
      <c r="D97" s="28"/>
      <c r="E97" s="69"/>
      <c r="F97" s="39">
        <v>0</v>
      </c>
      <c r="G97" s="21"/>
      <c r="H97" s="21"/>
      <c r="I97" s="21"/>
      <c r="J97" s="141"/>
      <c r="K97" s="21"/>
      <c r="L97" s="69"/>
      <c r="M97" s="141"/>
      <c r="N97" s="59"/>
      <c r="O97" s="59"/>
      <c r="P97" s="105"/>
      <c r="Q97" s="105"/>
      <c r="R97" s="105"/>
      <c r="S97" s="105"/>
      <c r="T97" s="105"/>
      <c r="U97" s="90"/>
      <c r="V97" s="90"/>
      <c r="W97" s="90"/>
      <c r="X97" s="90"/>
      <c r="Y97" s="93"/>
      <c r="Z97" s="93"/>
      <c r="AA97" s="93"/>
      <c r="AB97" s="29">
        <v>0</v>
      </c>
      <c r="AC97" s="145">
        <v>0</v>
      </c>
      <c r="AD97" s="145">
        <v>0</v>
      </c>
      <c r="AE97" s="145">
        <v>0</v>
      </c>
      <c r="AF97" s="145">
        <v>0</v>
      </c>
      <c r="AG97" s="145">
        <v>0</v>
      </c>
      <c r="AH97" s="145">
        <v>0</v>
      </c>
      <c r="AI97" s="142">
        <f t="shared" si="7"/>
        <v>0</v>
      </c>
      <c r="AJ97" s="141"/>
      <c r="AK97" s="67"/>
      <c r="AL97" s="67"/>
      <c r="AM97" s="24"/>
      <c r="AN97" s="24"/>
      <c r="AO97" s="24"/>
      <c r="AP97" s="71"/>
      <c r="AQ97" s="69"/>
      <c r="AR97" s="141"/>
      <c r="AS97" s="141"/>
      <c r="AT97" s="141"/>
      <c r="AU97" s="141"/>
      <c r="AV97" s="141"/>
      <c r="AW97" s="141"/>
      <c r="AX97" s="141"/>
      <c r="AY97" s="141"/>
      <c r="AZ97" s="141"/>
      <c r="BA97" s="141"/>
    </row>
    <row r="98" spans="1:53" ht="45" customHeight="1">
      <c r="A98" s="153">
        <f t="shared" si="6"/>
        <v>95</v>
      </c>
      <c r="B98" s="153"/>
      <c r="C98" s="140"/>
      <c r="D98" s="28"/>
      <c r="E98" s="69"/>
      <c r="F98" s="39">
        <v>0</v>
      </c>
      <c r="G98" s="21"/>
      <c r="H98" s="21"/>
      <c r="I98" s="21"/>
      <c r="J98" s="141"/>
      <c r="K98" s="21"/>
      <c r="L98" s="69"/>
      <c r="M98" s="141"/>
      <c r="N98" s="59"/>
      <c r="O98" s="59"/>
      <c r="P98" s="105"/>
      <c r="Q98" s="105"/>
      <c r="R98" s="105"/>
      <c r="S98" s="105"/>
      <c r="T98" s="105"/>
      <c r="U98" s="90"/>
      <c r="V98" s="90"/>
      <c r="W98" s="90"/>
      <c r="X98" s="90"/>
      <c r="Y98" s="93"/>
      <c r="Z98" s="93"/>
      <c r="AA98" s="93"/>
      <c r="AB98" s="29">
        <v>0</v>
      </c>
      <c r="AC98" s="145">
        <v>0</v>
      </c>
      <c r="AD98" s="145">
        <v>0</v>
      </c>
      <c r="AE98" s="145">
        <v>0</v>
      </c>
      <c r="AF98" s="145">
        <v>0</v>
      </c>
      <c r="AG98" s="145">
        <v>0</v>
      </c>
      <c r="AH98" s="145">
        <v>0</v>
      </c>
      <c r="AI98" s="142">
        <f t="shared" si="7"/>
        <v>0</v>
      </c>
      <c r="AJ98" s="141"/>
      <c r="AK98" s="67"/>
      <c r="AL98" s="67"/>
      <c r="AM98" s="24"/>
      <c r="AN98" s="24"/>
      <c r="AO98" s="24"/>
      <c r="AP98" s="71"/>
      <c r="AQ98" s="69"/>
      <c r="AR98" s="141"/>
      <c r="AS98" s="141"/>
      <c r="AT98" s="141"/>
      <c r="AU98" s="141"/>
      <c r="AV98" s="141"/>
      <c r="AW98" s="141"/>
      <c r="AX98" s="141"/>
      <c r="AY98" s="141"/>
      <c r="AZ98" s="141"/>
      <c r="BA98" s="141"/>
    </row>
    <row r="99" spans="1:53" ht="45" customHeight="1">
      <c r="A99" s="153">
        <f t="shared" si="6"/>
        <v>96</v>
      </c>
      <c r="B99" s="153"/>
      <c r="C99" s="140"/>
      <c r="D99" s="28"/>
      <c r="E99" s="69"/>
      <c r="F99" s="39">
        <v>0</v>
      </c>
      <c r="G99" s="21"/>
      <c r="H99" s="21"/>
      <c r="I99" s="21"/>
      <c r="J99" s="141"/>
      <c r="K99" s="21"/>
      <c r="L99" s="69"/>
      <c r="M99" s="141"/>
      <c r="N99" s="59"/>
      <c r="O99" s="59"/>
      <c r="P99" s="105"/>
      <c r="Q99" s="105"/>
      <c r="R99" s="105"/>
      <c r="S99" s="105"/>
      <c r="T99" s="105"/>
      <c r="U99" s="90"/>
      <c r="V99" s="90"/>
      <c r="W99" s="90"/>
      <c r="X99" s="90"/>
      <c r="Y99" s="93"/>
      <c r="Z99" s="93"/>
      <c r="AA99" s="93"/>
      <c r="AB99" s="29">
        <v>0</v>
      </c>
      <c r="AC99" s="145">
        <v>0</v>
      </c>
      <c r="AD99" s="145">
        <v>0</v>
      </c>
      <c r="AE99" s="145">
        <v>0</v>
      </c>
      <c r="AF99" s="145">
        <v>0</v>
      </c>
      <c r="AG99" s="145">
        <v>0</v>
      </c>
      <c r="AH99" s="145">
        <v>0</v>
      </c>
      <c r="AI99" s="142">
        <f t="shared" si="7"/>
        <v>0</v>
      </c>
      <c r="AJ99" s="141"/>
      <c r="AK99" s="67"/>
      <c r="AL99" s="67"/>
      <c r="AM99" s="24"/>
      <c r="AN99" s="24"/>
      <c r="AO99" s="24"/>
      <c r="AP99" s="71"/>
      <c r="AQ99" s="69"/>
      <c r="AR99" s="141"/>
      <c r="AS99" s="141"/>
      <c r="AT99" s="141"/>
      <c r="AU99" s="141"/>
      <c r="AV99" s="141"/>
      <c r="AW99" s="141"/>
      <c r="AX99" s="141"/>
      <c r="AY99" s="141"/>
      <c r="AZ99" s="141"/>
      <c r="BA99" s="141"/>
    </row>
    <row r="100" spans="1:53" ht="45" customHeight="1">
      <c r="A100" s="153">
        <f t="shared" ref="A100:A131" si="8">A99+1</f>
        <v>97</v>
      </c>
      <c r="B100" s="153"/>
      <c r="C100" s="140"/>
      <c r="D100" s="28"/>
      <c r="E100" s="69"/>
      <c r="F100" s="39">
        <v>0</v>
      </c>
      <c r="G100" s="21"/>
      <c r="H100" s="21"/>
      <c r="I100" s="21"/>
      <c r="J100" s="141"/>
      <c r="K100" s="21"/>
      <c r="L100" s="69"/>
      <c r="M100" s="141"/>
      <c r="N100" s="59"/>
      <c r="O100" s="59"/>
      <c r="P100" s="105"/>
      <c r="Q100" s="105"/>
      <c r="R100" s="105"/>
      <c r="S100" s="105"/>
      <c r="T100" s="105"/>
      <c r="U100" s="90"/>
      <c r="V100" s="90"/>
      <c r="W100" s="90"/>
      <c r="X100" s="90"/>
      <c r="Y100" s="93"/>
      <c r="Z100" s="93"/>
      <c r="AA100" s="93"/>
      <c r="AB100" s="29">
        <v>0</v>
      </c>
      <c r="AC100" s="145">
        <v>0</v>
      </c>
      <c r="AD100" s="145">
        <v>0</v>
      </c>
      <c r="AE100" s="145">
        <v>0</v>
      </c>
      <c r="AF100" s="145">
        <v>0</v>
      </c>
      <c r="AG100" s="145">
        <v>0</v>
      </c>
      <c r="AH100" s="145">
        <v>0</v>
      </c>
      <c r="AI100" s="142">
        <f t="shared" si="7"/>
        <v>0</v>
      </c>
      <c r="AJ100" s="141"/>
      <c r="AK100" s="67"/>
      <c r="AL100" s="67"/>
      <c r="AM100" s="24"/>
      <c r="AN100" s="24"/>
      <c r="AO100" s="24"/>
      <c r="AP100" s="71"/>
      <c r="AQ100" s="69"/>
      <c r="AR100" s="141"/>
      <c r="AS100" s="141"/>
      <c r="AT100" s="141"/>
      <c r="AU100" s="141"/>
      <c r="AV100" s="141"/>
      <c r="AW100" s="141"/>
      <c r="AX100" s="141"/>
      <c r="AY100" s="141"/>
      <c r="AZ100" s="141"/>
      <c r="BA100" s="141"/>
    </row>
    <row r="101" spans="1:53" ht="45" customHeight="1">
      <c r="A101" s="153">
        <f t="shared" si="8"/>
        <v>98</v>
      </c>
      <c r="B101" s="153"/>
      <c r="C101" s="140"/>
      <c r="D101" s="28"/>
      <c r="E101" s="69"/>
      <c r="F101" s="39">
        <v>0</v>
      </c>
      <c r="G101" s="21"/>
      <c r="H101" s="21"/>
      <c r="I101" s="21"/>
      <c r="J101" s="141"/>
      <c r="K101" s="21"/>
      <c r="L101" s="69"/>
      <c r="M101" s="141"/>
      <c r="N101" s="59"/>
      <c r="O101" s="59"/>
      <c r="P101" s="105"/>
      <c r="Q101" s="105"/>
      <c r="R101" s="105"/>
      <c r="S101" s="105"/>
      <c r="T101" s="105"/>
      <c r="U101" s="90"/>
      <c r="V101" s="90"/>
      <c r="W101" s="90"/>
      <c r="X101" s="90"/>
      <c r="Y101" s="93"/>
      <c r="Z101" s="93"/>
      <c r="AA101" s="93"/>
      <c r="AB101" s="29">
        <v>0</v>
      </c>
      <c r="AC101" s="145">
        <v>0</v>
      </c>
      <c r="AD101" s="145">
        <v>0</v>
      </c>
      <c r="AE101" s="145">
        <v>0</v>
      </c>
      <c r="AF101" s="145">
        <v>0</v>
      </c>
      <c r="AG101" s="145">
        <v>0</v>
      </c>
      <c r="AH101" s="145">
        <v>0</v>
      </c>
      <c r="AI101" s="142">
        <f t="shared" si="7"/>
        <v>0</v>
      </c>
      <c r="AJ101" s="141"/>
      <c r="AK101" s="67"/>
      <c r="AL101" s="67"/>
      <c r="AM101" s="24"/>
      <c r="AN101" s="24"/>
      <c r="AO101" s="24"/>
      <c r="AP101" s="71"/>
      <c r="AQ101" s="69"/>
      <c r="AR101" s="141"/>
      <c r="AS101" s="141"/>
      <c r="AT101" s="141"/>
      <c r="AU101" s="141"/>
      <c r="AV101" s="141"/>
      <c r="AW101" s="141"/>
      <c r="AX101" s="141"/>
      <c r="AY101" s="141"/>
      <c r="AZ101" s="141"/>
      <c r="BA101" s="141"/>
    </row>
    <row r="102" spans="1:53" ht="45" customHeight="1">
      <c r="A102" s="153">
        <f t="shared" si="8"/>
        <v>99</v>
      </c>
      <c r="B102" s="153"/>
      <c r="C102" s="140"/>
      <c r="D102" s="28"/>
      <c r="E102" s="69"/>
      <c r="F102" s="39">
        <v>0</v>
      </c>
      <c r="G102" s="21"/>
      <c r="H102" s="21"/>
      <c r="I102" s="21"/>
      <c r="J102" s="141"/>
      <c r="K102" s="21"/>
      <c r="L102" s="69"/>
      <c r="M102" s="141"/>
      <c r="N102" s="59"/>
      <c r="O102" s="59"/>
      <c r="P102" s="105"/>
      <c r="Q102" s="105"/>
      <c r="R102" s="105"/>
      <c r="S102" s="105"/>
      <c r="T102" s="105"/>
      <c r="U102" s="90"/>
      <c r="V102" s="90"/>
      <c r="W102" s="90"/>
      <c r="X102" s="90"/>
      <c r="Y102" s="93"/>
      <c r="Z102" s="93"/>
      <c r="AA102" s="93"/>
      <c r="AB102" s="29">
        <v>0</v>
      </c>
      <c r="AC102" s="145">
        <v>0</v>
      </c>
      <c r="AD102" s="145">
        <v>0</v>
      </c>
      <c r="AE102" s="145">
        <v>0</v>
      </c>
      <c r="AF102" s="145">
        <v>0</v>
      </c>
      <c r="AG102" s="145">
        <v>0</v>
      </c>
      <c r="AH102" s="145">
        <v>0</v>
      </c>
      <c r="AI102" s="142">
        <f t="shared" si="7"/>
        <v>0</v>
      </c>
      <c r="AJ102" s="141"/>
      <c r="AK102" s="67"/>
      <c r="AL102" s="67"/>
      <c r="AM102" s="24"/>
      <c r="AN102" s="24"/>
      <c r="AO102" s="24"/>
      <c r="AP102" s="71"/>
      <c r="AQ102" s="69"/>
      <c r="AR102" s="141"/>
      <c r="AS102" s="141"/>
      <c r="AT102" s="141"/>
      <c r="AU102" s="141"/>
      <c r="AV102" s="141"/>
      <c r="AW102" s="141"/>
      <c r="AX102" s="141"/>
      <c r="AY102" s="141"/>
      <c r="AZ102" s="141"/>
      <c r="BA102" s="141"/>
    </row>
    <row r="103" spans="1:53" ht="45" customHeight="1">
      <c r="A103" s="153">
        <f t="shared" si="8"/>
        <v>100</v>
      </c>
      <c r="B103" s="153"/>
      <c r="C103" s="140"/>
      <c r="D103" s="28"/>
      <c r="E103" s="69"/>
      <c r="F103" s="39">
        <v>0</v>
      </c>
      <c r="G103" s="21"/>
      <c r="H103" s="21"/>
      <c r="I103" s="21"/>
      <c r="J103" s="141"/>
      <c r="K103" s="21"/>
      <c r="L103" s="69"/>
      <c r="M103" s="141"/>
      <c r="N103" s="59"/>
      <c r="O103" s="59"/>
      <c r="P103" s="105"/>
      <c r="Q103" s="105"/>
      <c r="R103" s="105"/>
      <c r="S103" s="105"/>
      <c r="T103" s="105"/>
      <c r="U103" s="90"/>
      <c r="V103" s="90"/>
      <c r="W103" s="90"/>
      <c r="X103" s="90"/>
      <c r="Y103" s="93"/>
      <c r="Z103" s="93"/>
      <c r="AA103" s="93"/>
      <c r="AB103" s="29">
        <v>0</v>
      </c>
      <c r="AC103" s="145">
        <v>0</v>
      </c>
      <c r="AD103" s="145">
        <v>0</v>
      </c>
      <c r="AE103" s="145">
        <v>0</v>
      </c>
      <c r="AF103" s="145">
        <v>0</v>
      </c>
      <c r="AG103" s="145">
        <v>0</v>
      </c>
      <c r="AH103" s="145">
        <v>0</v>
      </c>
      <c r="AI103" s="142">
        <f t="shared" si="7"/>
        <v>0</v>
      </c>
      <c r="AJ103" s="141"/>
      <c r="AK103" s="67"/>
      <c r="AL103" s="67"/>
      <c r="AM103" s="24"/>
      <c r="AN103" s="24"/>
      <c r="AO103" s="24"/>
      <c r="AP103" s="71"/>
      <c r="AQ103" s="69"/>
      <c r="AR103" s="141"/>
      <c r="AS103" s="141"/>
      <c r="AT103" s="141"/>
      <c r="AU103" s="141"/>
      <c r="AV103" s="141"/>
      <c r="AW103" s="141"/>
      <c r="AX103" s="141"/>
      <c r="AY103" s="141"/>
      <c r="AZ103" s="141"/>
      <c r="BA103" s="141"/>
    </row>
    <row r="104" spans="1:53" ht="45" customHeight="1">
      <c r="A104" s="153">
        <f t="shared" si="8"/>
        <v>101</v>
      </c>
      <c r="B104" s="153"/>
      <c r="C104" s="140"/>
      <c r="D104" s="28"/>
      <c r="E104" s="69"/>
      <c r="F104" s="39">
        <v>0</v>
      </c>
      <c r="G104" s="21"/>
      <c r="H104" s="21"/>
      <c r="I104" s="21"/>
      <c r="J104" s="141"/>
      <c r="K104" s="21"/>
      <c r="L104" s="69"/>
      <c r="M104" s="141"/>
      <c r="N104" s="59"/>
      <c r="O104" s="59"/>
      <c r="P104" s="105"/>
      <c r="Q104" s="105"/>
      <c r="R104" s="105"/>
      <c r="S104" s="105"/>
      <c r="T104" s="105"/>
      <c r="U104" s="90"/>
      <c r="V104" s="90"/>
      <c r="W104" s="90"/>
      <c r="X104" s="90"/>
      <c r="Y104" s="93"/>
      <c r="Z104" s="93"/>
      <c r="AA104" s="93"/>
      <c r="AB104" s="29">
        <v>0</v>
      </c>
      <c r="AC104" s="145">
        <v>0</v>
      </c>
      <c r="AD104" s="145">
        <v>0</v>
      </c>
      <c r="AE104" s="145">
        <v>0</v>
      </c>
      <c r="AF104" s="145">
        <v>0</v>
      </c>
      <c r="AG104" s="145">
        <v>0</v>
      </c>
      <c r="AH104" s="145">
        <v>0</v>
      </c>
      <c r="AI104" s="142">
        <f t="shared" si="7"/>
        <v>0</v>
      </c>
      <c r="AJ104" s="141"/>
      <c r="AK104" s="67"/>
      <c r="AL104" s="67"/>
      <c r="AM104" s="24"/>
      <c r="AN104" s="24"/>
      <c r="AO104" s="24"/>
      <c r="AP104" s="71"/>
      <c r="AQ104" s="69"/>
      <c r="AR104" s="141"/>
      <c r="AS104" s="141"/>
      <c r="AT104" s="141"/>
      <c r="AU104" s="141"/>
      <c r="AV104" s="141"/>
      <c r="AW104" s="141"/>
      <c r="AX104" s="141"/>
      <c r="AY104" s="141"/>
      <c r="AZ104" s="141"/>
      <c r="BA104" s="141"/>
    </row>
    <row r="105" spans="1:53" ht="45" customHeight="1">
      <c r="A105" s="153">
        <f t="shared" si="8"/>
        <v>102</v>
      </c>
      <c r="B105" s="153"/>
      <c r="C105" s="140"/>
      <c r="D105" s="28"/>
      <c r="E105" s="69"/>
      <c r="F105" s="39">
        <v>0</v>
      </c>
      <c r="G105" s="21"/>
      <c r="H105" s="21"/>
      <c r="I105" s="21"/>
      <c r="J105" s="141"/>
      <c r="K105" s="21"/>
      <c r="L105" s="69"/>
      <c r="M105" s="141"/>
      <c r="N105" s="59"/>
      <c r="O105" s="59"/>
      <c r="P105" s="105"/>
      <c r="Q105" s="105"/>
      <c r="R105" s="105"/>
      <c r="S105" s="105"/>
      <c r="T105" s="105"/>
      <c r="U105" s="90"/>
      <c r="V105" s="90"/>
      <c r="W105" s="90"/>
      <c r="X105" s="90"/>
      <c r="Y105" s="93"/>
      <c r="Z105" s="93"/>
      <c r="AA105" s="93"/>
      <c r="AB105" s="29">
        <v>0</v>
      </c>
      <c r="AC105" s="145">
        <v>0</v>
      </c>
      <c r="AD105" s="145">
        <v>0</v>
      </c>
      <c r="AE105" s="145">
        <v>0</v>
      </c>
      <c r="AF105" s="145">
        <v>0</v>
      </c>
      <c r="AG105" s="145">
        <v>0</v>
      </c>
      <c r="AH105" s="145">
        <v>0</v>
      </c>
      <c r="AI105" s="142">
        <f t="shared" si="7"/>
        <v>0</v>
      </c>
      <c r="AJ105" s="141"/>
      <c r="AK105" s="67"/>
      <c r="AL105" s="67"/>
      <c r="AM105" s="24"/>
      <c r="AN105" s="24"/>
      <c r="AO105" s="24"/>
      <c r="AP105" s="71"/>
      <c r="AQ105" s="69"/>
      <c r="AR105" s="141"/>
      <c r="AS105" s="141"/>
      <c r="AT105" s="141"/>
      <c r="AU105" s="141"/>
      <c r="AV105" s="141"/>
      <c r="AW105" s="141"/>
      <c r="AX105" s="141"/>
      <c r="AY105" s="141"/>
      <c r="AZ105" s="141"/>
      <c r="BA105" s="141"/>
    </row>
    <row r="106" spans="1:53" ht="45" customHeight="1">
      <c r="A106" s="153">
        <f t="shared" si="8"/>
        <v>103</v>
      </c>
      <c r="B106" s="153"/>
      <c r="C106" s="140"/>
      <c r="D106" s="28"/>
      <c r="E106" s="69"/>
      <c r="F106" s="39">
        <v>0</v>
      </c>
      <c r="G106" s="21"/>
      <c r="H106" s="21"/>
      <c r="I106" s="21"/>
      <c r="J106" s="141"/>
      <c r="K106" s="21"/>
      <c r="L106" s="69"/>
      <c r="M106" s="141"/>
      <c r="N106" s="59"/>
      <c r="O106" s="59"/>
      <c r="P106" s="105"/>
      <c r="Q106" s="105"/>
      <c r="R106" s="105"/>
      <c r="S106" s="105"/>
      <c r="T106" s="105"/>
      <c r="U106" s="90"/>
      <c r="V106" s="90"/>
      <c r="W106" s="90"/>
      <c r="X106" s="90"/>
      <c r="Y106" s="93"/>
      <c r="Z106" s="93"/>
      <c r="AA106" s="93"/>
      <c r="AB106" s="29">
        <v>0</v>
      </c>
      <c r="AC106" s="145">
        <v>0</v>
      </c>
      <c r="AD106" s="145">
        <v>0</v>
      </c>
      <c r="AE106" s="145">
        <v>0</v>
      </c>
      <c r="AF106" s="145">
        <v>0</v>
      </c>
      <c r="AG106" s="145">
        <v>0</v>
      </c>
      <c r="AH106" s="145">
        <v>0</v>
      </c>
      <c r="AI106" s="142">
        <f t="shared" si="7"/>
        <v>0</v>
      </c>
      <c r="AJ106" s="141"/>
      <c r="AK106" s="67"/>
      <c r="AL106" s="67"/>
      <c r="AM106" s="24"/>
      <c r="AN106" s="24"/>
      <c r="AO106" s="24"/>
      <c r="AP106" s="71"/>
      <c r="AQ106" s="69"/>
      <c r="AR106" s="141"/>
      <c r="AS106" s="141"/>
      <c r="AT106" s="141"/>
      <c r="AU106" s="141"/>
      <c r="AV106" s="141"/>
      <c r="AW106" s="141"/>
      <c r="AX106" s="141"/>
      <c r="AY106" s="141"/>
      <c r="AZ106" s="141"/>
      <c r="BA106" s="141"/>
    </row>
    <row r="107" spans="1:53" ht="45" customHeight="1">
      <c r="A107" s="153">
        <f t="shared" si="8"/>
        <v>104</v>
      </c>
      <c r="B107" s="153"/>
      <c r="C107" s="140"/>
      <c r="D107" s="28"/>
      <c r="E107" s="69"/>
      <c r="F107" s="39">
        <v>0</v>
      </c>
      <c r="G107" s="21"/>
      <c r="H107" s="21"/>
      <c r="I107" s="21"/>
      <c r="J107" s="141"/>
      <c r="K107" s="21"/>
      <c r="L107" s="69"/>
      <c r="M107" s="141"/>
      <c r="N107" s="59"/>
      <c r="O107" s="59"/>
      <c r="P107" s="105"/>
      <c r="Q107" s="105"/>
      <c r="R107" s="105"/>
      <c r="S107" s="105"/>
      <c r="T107" s="105"/>
      <c r="U107" s="90"/>
      <c r="V107" s="90"/>
      <c r="W107" s="90"/>
      <c r="X107" s="90"/>
      <c r="Y107" s="93"/>
      <c r="Z107" s="93"/>
      <c r="AA107" s="93"/>
      <c r="AB107" s="29">
        <v>0</v>
      </c>
      <c r="AC107" s="145">
        <v>0</v>
      </c>
      <c r="AD107" s="145">
        <v>0</v>
      </c>
      <c r="AE107" s="145">
        <v>0</v>
      </c>
      <c r="AF107" s="145">
        <v>0</v>
      </c>
      <c r="AG107" s="145">
        <v>0</v>
      </c>
      <c r="AH107" s="145">
        <v>0</v>
      </c>
      <c r="AI107" s="142">
        <f t="shared" si="7"/>
        <v>0</v>
      </c>
      <c r="AJ107" s="141"/>
      <c r="AK107" s="67"/>
      <c r="AL107" s="67"/>
      <c r="AM107" s="24"/>
      <c r="AN107" s="24"/>
      <c r="AO107" s="24"/>
      <c r="AP107" s="71"/>
      <c r="AQ107" s="69"/>
      <c r="AR107" s="141"/>
      <c r="AS107" s="141"/>
      <c r="AT107" s="141"/>
      <c r="AU107" s="141"/>
      <c r="AV107" s="141"/>
      <c r="AW107" s="141"/>
      <c r="AX107" s="141"/>
      <c r="AY107" s="141"/>
      <c r="AZ107" s="141"/>
      <c r="BA107" s="141"/>
    </row>
    <row r="108" spans="1:53" ht="45" customHeight="1">
      <c r="A108" s="153">
        <f t="shared" si="8"/>
        <v>105</v>
      </c>
      <c r="B108" s="153"/>
      <c r="C108" s="140"/>
      <c r="D108" s="28"/>
      <c r="E108" s="69"/>
      <c r="F108" s="39">
        <v>0</v>
      </c>
      <c r="G108" s="21"/>
      <c r="H108" s="21"/>
      <c r="I108" s="21"/>
      <c r="J108" s="141"/>
      <c r="K108" s="21"/>
      <c r="L108" s="69"/>
      <c r="M108" s="141"/>
      <c r="N108" s="59"/>
      <c r="O108" s="59"/>
      <c r="P108" s="105"/>
      <c r="Q108" s="105"/>
      <c r="R108" s="105"/>
      <c r="S108" s="105"/>
      <c r="T108" s="105"/>
      <c r="U108" s="90"/>
      <c r="V108" s="90"/>
      <c r="W108" s="90"/>
      <c r="X108" s="90"/>
      <c r="Y108" s="93"/>
      <c r="Z108" s="93"/>
      <c r="AA108" s="93"/>
      <c r="AB108" s="29">
        <v>0</v>
      </c>
      <c r="AC108" s="145">
        <v>0</v>
      </c>
      <c r="AD108" s="145">
        <v>0</v>
      </c>
      <c r="AE108" s="145">
        <v>0</v>
      </c>
      <c r="AF108" s="145">
        <v>0</v>
      </c>
      <c r="AG108" s="145">
        <v>0</v>
      </c>
      <c r="AH108" s="145">
        <v>0</v>
      </c>
      <c r="AI108" s="142">
        <f t="shared" si="7"/>
        <v>0</v>
      </c>
      <c r="AJ108" s="141"/>
      <c r="AK108" s="67"/>
      <c r="AL108" s="67"/>
      <c r="AM108" s="24"/>
      <c r="AN108" s="24"/>
      <c r="AO108" s="24"/>
      <c r="AP108" s="71"/>
      <c r="AQ108" s="69"/>
      <c r="AR108" s="141"/>
      <c r="AS108" s="141"/>
      <c r="AT108" s="141"/>
      <c r="AU108" s="141"/>
      <c r="AV108" s="141"/>
      <c r="AW108" s="141"/>
      <c r="AX108" s="141"/>
      <c r="AY108" s="141"/>
      <c r="AZ108" s="141"/>
      <c r="BA108" s="141"/>
    </row>
    <row r="109" spans="1:53" ht="45" customHeight="1">
      <c r="A109" s="153">
        <f t="shared" si="8"/>
        <v>106</v>
      </c>
      <c r="B109" s="153"/>
      <c r="C109" s="140"/>
      <c r="D109" s="28"/>
      <c r="E109" s="69"/>
      <c r="F109" s="39">
        <v>0</v>
      </c>
      <c r="G109" s="21"/>
      <c r="H109" s="21"/>
      <c r="I109" s="21"/>
      <c r="J109" s="141"/>
      <c r="K109" s="21"/>
      <c r="L109" s="69"/>
      <c r="M109" s="141"/>
      <c r="N109" s="59"/>
      <c r="O109" s="59"/>
      <c r="P109" s="105"/>
      <c r="Q109" s="105"/>
      <c r="R109" s="105"/>
      <c r="S109" s="105"/>
      <c r="T109" s="105"/>
      <c r="U109" s="90"/>
      <c r="V109" s="90"/>
      <c r="W109" s="90"/>
      <c r="X109" s="90"/>
      <c r="Y109" s="93"/>
      <c r="Z109" s="93"/>
      <c r="AA109" s="93"/>
      <c r="AB109" s="29">
        <v>0</v>
      </c>
      <c r="AC109" s="145">
        <v>0</v>
      </c>
      <c r="AD109" s="145">
        <v>0</v>
      </c>
      <c r="AE109" s="145">
        <v>0</v>
      </c>
      <c r="AF109" s="145">
        <v>0</v>
      </c>
      <c r="AG109" s="145">
        <v>0</v>
      </c>
      <c r="AH109" s="145">
        <v>0</v>
      </c>
      <c r="AI109" s="142">
        <f t="shared" si="7"/>
        <v>0</v>
      </c>
      <c r="AJ109" s="141"/>
      <c r="AK109" s="67"/>
      <c r="AL109" s="67"/>
      <c r="AM109" s="24"/>
      <c r="AN109" s="24"/>
      <c r="AO109" s="24"/>
      <c r="AP109" s="71"/>
      <c r="AQ109" s="69"/>
      <c r="AR109" s="141"/>
      <c r="AS109" s="141"/>
      <c r="AT109" s="141"/>
      <c r="AU109" s="141"/>
      <c r="AV109" s="141"/>
      <c r="AW109" s="141"/>
      <c r="AX109" s="141"/>
      <c r="AY109" s="141"/>
      <c r="AZ109" s="141"/>
      <c r="BA109" s="141"/>
    </row>
    <row r="110" spans="1:53" ht="45" customHeight="1">
      <c r="A110" s="153">
        <f t="shared" si="8"/>
        <v>107</v>
      </c>
      <c r="B110" s="153"/>
      <c r="C110" s="140"/>
      <c r="D110" s="28"/>
      <c r="E110" s="69"/>
      <c r="F110" s="39">
        <v>0</v>
      </c>
      <c r="G110" s="21"/>
      <c r="H110" s="21"/>
      <c r="I110" s="21"/>
      <c r="J110" s="141"/>
      <c r="K110" s="21"/>
      <c r="L110" s="69"/>
      <c r="M110" s="141"/>
      <c r="N110" s="59"/>
      <c r="O110" s="59"/>
      <c r="P110" s="105"/>
      <c r="Q110" s="105"/>
      <c r="R110" s="105"/>
      <c r="S110" s="105"/>
      <c r="T110" s="105"/>
      <c r="U110" s="90"/>
      <c r="V110" s="90"/>
      <c r="W110" s="90"/>
      <c r="X110" s="90"/>
      <c r="Y110" s="93"/>
      <c r="Z110" s="93"/>
      <c r="AA110" s="93"/>
      <c r="AB110" s="29">
        <v>0</v>
      </c>
      <c r="AC110" s="145">
        <v>0</v>
      </c>
      <c r="AD110" s="145">
        <v>0</v>
      </c>
      <c r="AE110" s="145">
        <v>0</v>
      </c>
      <c r="AF110" s="145">
        <v>0</v>
      </c>
      <c r="AG110" s="145">
        <v>0</v>
      </c>
      <c r="AH110" s="145">
        <v>0</v>
      </c>
      <c r="AI110" s="142">
        <f t="shared" si="7"/>
        <v>0</v>
      </c>
      <c r="AJ110" s="141"/>
      <c r="AK110" s="67"/>
      <c r="AL110" s="67"/>
      <c r="AM110" s="24"/>
      <c r="AN110" s="24"/>
      <c r="AO110" s="24"/>
      <c r="AP110" s="71"/>
      <c r="AQ110" s="69"/>
      <c r="AR110" s="141"/>
      <c r="AS110" s="141"/>
      <c r="AT110" s="141"/>
      <c r="AU110" s="141"/>
      <c r="AV110" s="141"/>
      <c r="AW110" s="141"/>
      <c r="AX110" s="141"/>
      <c r="AY110" s="141"/>
      <c r="AZ110" s="141"/>
      <c r="BA110" s="141"/>
    </row>
    <row r="111" spans="1:53" ht="45" customHeight="1">
      <c r="A111" s="153">
        <f t="shared" si="8"/>
        <v>108</v>
      </c>
      <c r="B111" s="153"/>
      <c r="C111" s="140"/>
      <c r="D111" s="28"/>
      <c r="E111" s="69"/>
      <c r="F111" s="39">
        <v>0</v>
      </c>
      <c r="G111" s="21"/>
      <c r="H111" s="21"/>
      <c r="I111" s="21"/>
      <c r="J111" s="141"/>
      <c r="K111" s="21"/>
      <c r="L111" s="69"/>
      <c r="M111" s="141"/>
      <c r="N111" s="59"/>
      <c r="O111" s="59"/>
      <c r="P111" s="105"/>
      <c r="Q111" s="105"/>
      <c r="R111" s="105"/>
      <c r="S111" s="105"/>
      <c r="T111" s="105"/>
      <c r="U111" s="90"/>
      <c r="V111" s="90"/>
      <c r="W111" s="90"/>
      <c r="X111" s="90"/>
      <c r="Y111" s="93"/>
      <c r="Z111" s="93"/>
      <c r="AA111" s="93"/>
      <c r="AB111" s="29">
        <v>0</v>
      </c>
      <c r="AC111" s="145">
        <v>0</v>
      </c>
      <c r="AD111" s="145">
        <v>0</v>
      </c>
      <c r="AE111" s="145">
        <v>0</v>
      </c>
      <c r="AF111" s="145">
        <v>0</v>
      </c>
      <c r="AG111" s="145">
        <v>0</v>
      </c>
      <c r="AH111" s="145">
        <v>0</v>
      </c>
      <c r="AI111" s="142">
        <f t="shared" si="7"/>
        <v>0</v>
      </c>
      <c r="AJ111" s="141"/>
      <c r="AK111" s="67"/>
      <c r="AL111" s="67"/>
      <c r="AM111" s="24"/>
      <c r="AN111" s="24"/>
      <c r="AO111" s="24"/>
      <c r="AP111" s="71"/>
      <c r="AQ111" s="69"/>
      <c r="AR111" s="141"/>
      <c r="AS111" s="141"/>
      <c r="AT111" s="141"/>
      <c r="AU111" s="141"/>
      <c r="AV111" s="141"/>
      <c r="AW111" s="141"/>
      <c r="AX111" s="141"/>
      <c r="AY111" s="141"/>
      <c r="AZ111" s="141"/>
      <c r="BA111" s="141"/>
    </row>
    <row r="112" spans="1:53" ht="45" customHeight="1">
      <c r="A112" s="153">
        <f t="shared" si="8"/>
        <v>109</v>
      </c>
      <c r="B112" s="153"/>
      <c r="C112" s="140"/>
      <c r="D112" s="28"/>
      <c r="E112" s="69"/>
      <c r="F112" s="39">
        <v>0</v>
      </c>
      <c r="G112" s="21"/>
      <c r="H112" s="21"/>
      <c r="I112" s="21"/>
      <c r="J112" s="141"/>
      <c r="K112" s="21"/>
      <c r="L112" s="69"/>
      <c r="M112" s="141"/>
      <c r="N112" s="59"/>
      <c r="O112" s="59"/>
      <c r="P112" s="105"/>
      <c r="Q112" s="105"/>
      <c r="R112" s="105"/>
      <c r="S112" s="105"/>
      <c r="T112" s="105"/>
      <c r="U112" s="90"/>
      <c r="V112" s="90"/>
      <c r="W112" s="90"/>
      <c r="X112" s="90"/>
      <c r="Y112" s="93"/>
      <c r="Z112" s="93"/>
      <c r="AA112" s="93"/>
      <c r="AB112" s="29">
        <v>0</v>
      </c>
      <c r="AC112" s="145">
        <v>0</v>
      </c>
      <c r="AD112" s="145">
        <v>0</v>
      </c>
      <c r="AE112" s="145">
        <v>0</v>
      </c>
      <c r="AF112" s="145">
        <v>0</v>
      </c>
      <c r="AG112" s="145">
        <v>0</v>
      </c>
      <c r="AH112" s="145">
        <v>0</v>
      </c>
      <c r="AI112" s="142">
        <f t="shared" si="7"/>
        <v>0</v>
      </c>
      <c r="AJ112" s="141"/>
      <c r="AK112" s="67"/>
      <c r="AL112" s="67"/>
      <c r="AM112" s="24"/>
      <c r="AN112" s="24"/>
      <c r="AO112" s="24"/>
      <c r="AP112" s="71"/>
      <c r="AQ112" s="69"/>
      <c r="AR112" s="141"/>
      <c r="AS112" s="141"/>
      <c r="AT112" s="141"/>
      <c r="AU112" s="141"/>
      <c r="AV112" s="141"/>
      <c r="AW112" s="141"/>
      <c r="AX112" s="141"/>
      <c r="AY112" s="141"/>
      <c r="AZ112" s="141"/>
      <c r="BA112" s="141"/>
    </row>
    <row r="113" spans="1:53" ht="45" customHeight="1">
      <c r="A113" s="153">
        <f t="shared" si="8"/>
        <v>110</v>
      </c>
      <c r="B113" s="153"/>
      <c r="C113" s="140"/>
      <c r="D113" s="28"/>
      <c r="E113" s="69"/>
      <c r="F113" s="39">
        <v>0</v>
      </c>
      <c r="G113" s="21"/>
      <c r="H113" s="21"/>
      <c r="I113" s="21"/>
      <c r="J113" s="141"/>
      <c r="K113" s="21"/>
      <c r="L113" s="69"/>
      <c r="M113" s="141"/>
      <c r="N113" s="59"/>
      <c r="O113" s="59"/>
      <c r="P113" s="105"/>
      <c r="Q113" s="105"/>
      <c r="R113" s="105"/>
      <c r="S113" s="105"/>
      <c r="T113" s="105"/>
      <c r="U113" s="90"/>
      <c r="V113" s="90"/>
      <c r="W113" s="90"/>
      <c r="X113" s="90"/>
      <c r="Y113" s="93"/>
      <c r="Z113" s="93"/>
      <c r="AA113" s="93"/>
      <c r="AB113" s="29">
        <v>0</v>
      </c>
      <c r="AC113" s="145">
        <v>0</v>
      </c>
      <c r="AD113" s="145">
        <v>0</v>
      </c>
      <c r="AE113" s="145">
        <v>0</v>
      </c>
      <c r="AF113" s="145">
        <v>0</v>
      </c>
      <c r="AG113" s="145">
        <v>0</v>
      </c>
      <c r="AH113" s="145">
        <v>0</v>
      </c>
      <c r="AI113" s="142">
        <f t="shared" si="7"/>
        <v>0</v>
      </c>
      <c r="AJ113" s="141"/>
      <c r="AK113" s="67"/>
      <c r="AL113" s="67"/>
      <c r="AM113" s="24"/>
      <c r="AN113" s="24"/>
      <c r="AO113" s="24"/>
      <c r="AP113" s="71"/>
      <c r="AQ113" s="69"/>
      <c r="AR113" s="141"/>
      <c r="AS113" s="141"/>
      <c r="AT113" s="141"/>
      <c r="AU113" s="141"/>
      <c r="AV113" s="141"/>
      <c r="AW113" s="141"/>
      <c r="AX113" s="141"/>
      <c r="AY113" s="141"/>
      <c r="AZ113" s="141"/>
      <c r="BA113" s="141"/>
    </row>
    <row r="114" spans="1:53" ht="45" customHeight="1">
      <c r="A114" s="153">
        <f t="shared" si="8"/>
        <v>111</v>
      </c>
      <c r="B114" s="153"/>
      <c r="C114" s="140"/>
      <c r="D114" s="28"/>
      <c r="E114" s="69"/>
      <c r="F114" s="39">
        <v>0</v>
      </c>
      <c r="G114" s="21"/>
      <c r="H114" s="21"/>
      <c r="I114" s="21"/>
      <c r="J114" s="141"/>
      <c r="K114" s="21"/>
      <c r="L114" s="69"/>
      <c r="M114" s="141"/>
      <c r="N114" s="59"/>
      <c r="O114" s="59"/>
      <c r="P114" s="105"/>
      <c r="Q114" s="105"/>
      <c r="R114" s="105"/>
      <c r="S114" s="105"/>
      <c r="T114" s="105"/>
      <c r="U114" s="90"/>
      <c r="V114" s="90"/>
      <c r="W114" s="90"/>
      <c r="X114" s="90"/>
      <c r="Y114" s="93"/>
      <c r="Z114" s="93"/>
      <c r="AA114" s="93"/>
      <c r="AB114" s="29">
        <v>0</v>
      </c>
      <c r="AC114" s="145">
        <v>0</v>
      </c>
      <c r="AD114" s="145">
        <v>0</v>
      </c>
      <c r="AE114" s="145">
        <v>0</v>
      </c>
      <c r="AF114" s="145">
        <v>0</v>
      </c>
      <c r="AG114" s="145">
        <v>0</v>
      </c>
      <c r="AH114" s="145">
        <v>0</v>
      </c>
      <c r="AI114" s="142">
        <f t="shared" si="7"/>
        <v>0</v>
      </c>
      <c r="AJ114" s="141"/>
      <c r="AK114" s="67"/>
      <c r="AL114" s="67"/>
      <c r="AM114" s="24"/>
      <c r="AN114" s="24"/>
      <c r="AO114" s="24"/>
      <c r="AP114" s="71"/>
      <c r="AQ114" s="69"/>
      <c r="AR114" s="141"/>
      <c r="AS114" s="141"/>
      <c r="AT114" s="141"/>
      <c r="AU114" s="141"/>
      <c r="AV114" s="141"/>
      <c r="AW114" s="141"/>
      <c r="AX114" s="141"/>
      <c r="AY114" s="141"/>
      <c r="AZ114" s="141"/>
      <c r="BA114" s="141"/>
    </row>
    <row r="115" spans="1:53" ht="45" customHeight="1">
      <c r="A115" s="153">
        <f t="shared" si="8"/>
        <v>112</v>
      </c>
      <c r="B115" s="153"/>
      <c r="C115" s="140"/>
      <c r="D115" s="28"/>
      <c r="E115" s="69"/>
      <c r="F115" s="39">
        <v>3</v>
      </c>
      <c r="G115" s="21"/>
      <c r="H115" s="21"/>
      <c r="I115" s="21"/>
      <c r="J115" s="141"/>
      <c r="K115" s="21"/>
      <c r="L115" s="69"/>
      <c r="M115" s="141"/>
      <c r="N115" s="59"/>
      <c r="O115" s="59"/>
      <c r="P115" s="105"/>
      <c r="Q115" s="105"/>
      <c r="R115" s="105"/>
      <c r="S115" s="105"/>
      <c r="T115" s="105"/>
      <c r="U115" s="90"/>
      <c r="V115" s="90"/>
      <c r="W115" s="90"/>
      <c r="X115" s="90"/>
      <c r="Y115" s="93"/>
      <c r="Z115" s="93"/>
      <c r="AA115" s="93"/>
      <c r="AB115" s="29">
        <v>0</v>
      </c>
      <c r="AC115" s="145">
        <v>0</v>
      </c>
      <c r="AD115" s="145">
        <v>0</v>
      </c>
      <c r="AE115" s="145">
        <v>0</v>
      </c>
      <c r="AF115" s="145">
        <v>0</v>
      </c>
      <c r="AG115" s="145">
        <v>0</v>
      </c>
      <c r="AH115" s="145">
        <v>0</v>
      </c>
      <c r="AI115" s="142">
        <f t="shared" si="7"/>
        <v>0</v>
      </c>
      <c r="AJ115" s="141"/>
      <c r="AK115" s="67"/>
      <c r="AL115" s="67"/>
      <c r="AM115" s="24"/>
      <c r="AN115" s="24"/>
      <c r="AO115" s="24"/>
      <c r="AP115" s="71"/>
      <c r="AQ115" s="69"/>
      <c r="AR115" s="141"/>
      <c r="AS115" s="141"/>
      <c r="AT115" s="141"/>
      <c r="AU115" s="141"/>
      <c r="AV115" s="141"/>
      <c r="AW115" s="141"/>
      <c r="AX115" s="141"/>
      <c r="AY115" s="141"/>
      <c r="AZ115" s="141"/>
      <c r="BA115" s="141"/>
    </row>
    <row r="116" spans="1:53" ht="45" customHeight="1">
      <c r="A116" s="153">
        <f t="shared" si="8"/>
        <v>113</v>
      </c>
      <c r="B116" s="153"/>
      <c r="C116" s="140"/>
      <c r="D116" s="28"/>
      <c r="E116" s="69"/>
      <c r="F116" s="39">
        <v>0</v>
      </c>
      <c r="G116" s="21"/>
      <c r="H116" s="21"/>
      <c r="I116" s="21"/>
      <c r="J116" s="141"/>
      <c r="K116" s="21"/>
      <c r="L116" s="69"/>
      <c r="M116" s="141"/>
      <c r="N116" s="59"/>
      <c r="O116" s="59"/>
      <c r="P116" s="105"/>
      <c r="Q116" s="105"/>
      <c r="R116" s="105"/>
      <c r="S116" s="105"/>
      <c r="T116" s="105"/>
      <c r="U116" s="90"/>
      <c r="V116" s="90"/>
      <c r="W116" s="90"/>
      <c r="X116" s="90"/>
      <c r="Y116" s="93"/>
      <c r="Z116" s="93"/>
      <c r="AA116" s="93"/>
      <c r="AB116" s="29">
        <v>0</v>
      </c>
      <c r="AC116" s="145">
        <v>0</v>
      </c>
      <c r="AD116" s="145">
        <v>0</v>
      </c>
      <c r="AE116" s="145">
        <v>0</v>
      </c>
      <c r="AF116" s="145">
        <v>0</v>
      </c>
      <c r="AG116" s="145">
        <v>0</v>
      </c>
      <c r="AH116" s="145">
        <v>0</v>
      </c>
      <c r="AI116" s="142">
        <f t="shared" si="7"/>
        <v>0</v>
      </c>
      <c r="AJ116" s="141"/>
      <c r="AK116" s="67"/>
      <c r="AL116" s="67"/>
      <c r="AM116" s="24"/>
      <c r="AN116" s="24"/>
      <c r="AO116" s="24"/>
      <c r="AP116" s="71"/>
      <c r="AQ116" s="69"/>
      <c r="AR116" s="141"/>
      <c r="AS116" s="141"/>
      <c r="AT116" s="141"/>
      <c r="AU116" s="141"/>
      <c r="AV116" s="141"/>
      <c r="AW116" s="141"/>
      <c r="AX116" s="141"/>
      <c r="AY116" s="141"/>
      <c r="AZ116" s="141"/>
      <c r="BA116" s="141"/>
    </row>
    <row r="117" spans="1:53" ht="45" customHeight="1">
      <c r="A117" s="153">
        <f t="shared" si="8"/>
        <v>114</v>
      </c>
      <c r="B117" s="153"/>
      <c r="C117" s="140"/>
      <c r="D117" s="28"/>
      <c r="E117" s="69"/>
      <c r="F117" s="39">
        <v>0</v>
      </c>
      <c r="G117" s="21"/>
      <c r="H117" s="21"/>
      <c r="I117" s="21"/>
      <c r="J117" s="141"/>
      <c r="K117" s="21"/>
      <c r="L117" s="69"/>
      <c r="M117" s="141"/>
      <c r="N117" s="59"/>
      <c r="O117" s="59"/>
      <c r="P117" s="105"/>
      <c r="Q117" s="105"/>
      <c r="R117" s="105"/>
      <c r="S117" s="105"/>
      <c r="T117" s="105"/>
      <c r="U117" s="90"/>
      <c r="V117" s="90"/>
      <c r="W117" s="90"/>
      <c r="X117" s="90"/>
      <c r="Y117" s="93"/>
      <c r="Z117" s="93"/>
      <c r="AA117" s="93"/>
      <c r="AB117" s="29">
        <v>0</v>
      </c>
      <c r="AC117" s="145">
        <v>0</v>
      </c>
      <c r="AD117" s="145">
        <v>0</v>
      </c>
      <c r="AE117" s="145">
        <v>0</v>
      </c>
      <c r="AF117" s="145">
        <v>0</v>
      </c>
      <c r="AG117" s="145">
        <v>0</v>
      </c>
      <c r="AH117" s="145">
        <v>0</v>
      </c>
      <c r="AI117" s="142">
        <f t="shared" si="7"/>
        <v>0</v>
      </c>
      <c r="AJ117" s="141"/>
      <c r="AK117" s="67"/>
      <c r="AL117" s="67"/>
      <c r="AM117" s="24"/>
      <c r="AN117" s="24"/>
      <c r="AO117" s="24"/>
      <c r="AP117" s="71"/>
      <c r="AQ117" s="69"/>
      <c r="AR117" s="141"/>
      <c r="AS117" s="141"/>
      <c r="AT117" s="141"/>
      <c r="AU117" s="141"/>
      <c r="AV117" s="141"/>
      <c r="AW117" s="141"/>
      <c r="AX117" s="141"/>
      <c r="AY117" s="141"/>
      <c r="AZ117" s="141"/>
      <c r="BA117" s="141"/>
    </row>
    <row r="118" spans="1:53" ht="45" customHeight="1">
      <c r="A118" s="153">
        <f t="shared" si="8"/>
        <v>115</v>
      </c>
      <c r="B118" s="153"/>
      <c r="C118" s="140"/>
      <c r="D118" s="28"/>
      <c r="E118" s="69"/>
      <c r="F118" s="39">
        <v>0</v>
      </c>
      <c r="G118" s="21"/>
      <c r="H118" s="21"/>
      <c r="I118" s="21"/>
      <c r="J118" s="141"/>
      <c r="K118" s="21"/>
      <c r="L118" s="69"/>
      <c r="M118" s="141"/>
      <c r="N118" s="59"/>
      <c r="O118" s="59"/>
      <c r="P118" s="105"/>
      <c r="Q118" s="105"/>
      <c r="R118" s="105"/>
      <c r="S118" s="105"/>
      <c r="T118" s="105"/>
      <c r="U118" s="90"/>
      <c r="V118" s="90"/>
      <c r="W118" s="90"/>
      <c r="X118" s="90"/>
      <c r="Y118" s="93"/>
      <c r="Z118" s="93"/>
      <c r="AA118" s="93"/>
      <c r="AB118" s="29">
        <v>0</v>
      </c>
      <c r="AC118" s="145">
        <v>0</v>
      </c>
      <c r="AD118" s="145">
        <v>0</v>
      </c>
      <c r="AE118" s="145">
        <v>0</v>
      </c>
      <c r="AF118" s="145">
        <v>0</v>
      </c>
      <c r="AG118" s="145">
        <v>0</v>
      </c>
      <c r="AH118" s="145">
        <v>0</v>
      </c>
      <c r="AI118" s="142">
        <f t="shared" si="7"/>
        <v>0</v>
      </c>
      <c r="AJ118" s="141"/>
      <c r="AK118" s="67"/>
      <c r="AL118" s="67"/>
      <c r="AM118" s="24"/>
      <c r="AN118" s="24"/>
      <c r="AO118" s="24"/>
      <c r="AP118" s="71"/>
      <c r="AQ118" s="69"/>
      <c r="AR118" s="141"/>
      <c r="AS118" s="141"/>
      <c r="AT118" s="141"/>
      <c r="AU118" s="141"/>
      <c r="AV118" s="141"/>
      <c r="AW118" s="141"/>
      <c r="AX118" s="141"/>
      <c r="AY118" s="141"/>
      <c r="AZ118" s="141"/>
      <c r="BA118" s="141"/>
    </row>
    <row r="119" spans="1:53" ht="45" customHeight="1">
      <c r="A119" s="153">
        <f t="shared" si="8"/>
        <v>116</v>
      </c>
      <c r="B119" s="153"/>
      <c r="C119" s="140"/>
      <c r="D119" s="28"/>
      <c r="E119" s="69"/>
      <c r="F119" s="39">
        <v>0</v>
      </c>
      <c r="G119" s="21"/>
      <c r="H119" s="21"/>
      <c r="I119" s="21"/>
      <c r="J119" s="141"/>
      <c r="K119" s="21"/>
      <c r="L119" s="69"/>
      <c r="M119" s="141"/>
      <c r="N119" s="59"/>
      <c r="O119" s="59"/>
      <c r="P119" s="105"/>
      <c r="Q119" s="105"/>
      <c r="R119" s="105"/>
      <c r="S119" s="105"/>
      <c r="T119" s="105"/>
      <c r="U119" s="90"/>
      <c r="V119" s="90"/>
      <c r="W119" s="90"/>
      <c r="X119" s="90"/>
      <c r="Y119" s="93"/>
      <c r="Z119" s="93"/>
      <c r="AA119" s="93"/>
      <c r="AB119" s="29">
        <v>0</v>
      </c>
      <c r="AC119" s="145">
        <v>0</v>
      </c>
      <c r="AD119" s="145">
        <v>0</v>
      </c>
      <c r="AE119" s="145">
        <v>0</v>
      </c>
      <c r="AF119" s="145">
        <v>0</v>
      </c>
      <c r="AG119" s="145">
        <v>0</v>
      </c>
      <c r="AH119" s="145">
        <v>0</v>
      </c>
      <c r="AI119" s="142">
        <f t="shared" ref="AI119:AI150" si="9">AVERAGE(AB119:AH119)</f>
        <v>0</v>
      </c>
      <c r="AJ119" s="141"/>
      <c r="AK119" s="67"/>
      <c r="AL119" s="67"/>
      <c r="AM119" s="24"/>
      <c r="AN119" s="24"/>
      <c r="AO119" s="24"/>
      <c r="AP119" s="71"/>
      <c r="AQ119" s="69"/>
      <c r="AR119" s="141"/>
      <c r="AS119" s="141"/>
      <c r="AT119" s="141"/>
      <c r="AU119" s="141"/>
      <c r="AV119" s="141"/>
      <c r="AW119" s="141"/>
      <c r="AX119" s="141"/>
      <c r="AY119" s="141"/>
      <c r="AZ119" s="141"/>
      <c r="BA119" s="141"/>
    </row>
    <row r="120" spans="1:53" ht="45" customHeight="1">
      <c r="A120" s="153">
        <f t="shared" si="8"/>
        <v>117</v>
      </c>
      <c r="B120" s="153"/>
      <c r="C120" s="140"/>
      <c r="D120" s="28"/>
      <c r="E120" s="69"/>
      <c r="F120" s="39">
        <v>0</v>
      </c>
      <c r="G120" s="21"/>
      <c r="H120" s="21"/>
      <c r="I120" s="21"/>
      <c r="J120" s="141"/>
      <c r="K120" s="21"/>
      <c r="L120" s="69"/>
      <c r="M120" s="141"/>
      <c r="N120" s="59"/>
      <c r="O120" s="59"/>
      <c r="P120" s="105"/>
      <c r="Q120" s="105"/>
      <c r="R120" s="105"/>
      <c r="S120" s="105"/>
      <c r="T120" s="105"/>
      <c r="U120" s="90"/>
      <c r="V120" s="90"/>
      <c r="W120" s="90"/>
      <c r="X120" s="90"/>
      <c r="Y120" s="93"/>
      <c r="Z120" s="93"/>
      <c r="AA120" s="93"/>
      <c r="AB120" s="29">
        <v>0</v>
      </c>
      <c r="AC120" s="145">
        <v>0</v>
      </c>
      <c r="AD120" s="145">
        <v>0</v>
      </c>
      <c r="AE120" s="145">
        <v>0</v>
      </c>
      <c r="AF120" s="145">
        <v>0</v>
      </c>
      <c r="AG120" s="145">
        <v>0</v>
      </c>
      <c r="AH120" s="145">
        <v>0</v>
      </c>
      <c r="AI120" s="142">
        <f t="shared" si="9"/>
        <v>0</v>
      </c>
      <c r="AJ120" s="141"/>
      <c r="AK120" s="67"/>
      <c r="AL120" s="67"/>
      <c r="AM120" s="24"/>
      <c r="AN120" s="24"/>
      <c r="AO120" s="24"/>
      <c r="AP120" s="71"/>
      <c r="AQ120" s="69"/>
      <c r="AR120" s="141"/>
      <c r="AS120" s="141"/>
      <c r="AT120" s="141"/>
      <c r="AU120" s="141"/>
      <c r="AV120" s="141"/>
      <c r="AW120" s="141"/>
      <c r="AX120" s="141"/>
      <c r="AY120" s="141"/>
      <c r="AZ120" s="141"/>
      <c r="BA120" s="141"/>
    </row>
    <row r="121" spans="1:53" ht="45" customHeight="1">
      <c r="A121" s="153">
        <f t="shared" si="8"/>
        <v>118</v>
      </c>
      <c r="B121" s="153"/>
      <c r="C121" s="140"/>
      <c r="D121" s="28"/>
      <c r="E121" s="69"/>
      <c r="F121" s="39">
        <v>0</v>
      </c>
      <c r="G121" s="21"/>
      <c r="H121" s="21"/>
      <c r="I121" s="21"/>
      <c r="J121" s="141"/>
      <c r="K121" s="21"/>
      <c r="L121" s="69"/>
      <c r="M121" s="141"/>
      <c r="N121" s="59"/>
      <c r="O121" s="59"/>
      <c r="P121" s="105"/>
      <c r="Q121" s="105"/>
      <c r="R121" s="105"/>
      <c r="S121" s="105"/>
      <c r="T121" s="105"/>
      <c r="U121" s="90"/>
      <c r="V121" s="90"/>
      <c r="W121" s="90"/>
      <c r="X121" s="90"/>
      <c r="Y121" s="93"/>
      <c r="Z121" s="93"/>
      <c r="AA121" s="93"/>
      <c r="AB121" s="29">
        <v>0</v>
      </c>
      <c r="AC121" s="145">
        <v>0</v>
      </c>
      <c r="AD121" s="145">
        <v>0</v>
      </c>
      <c r="AE121" s="145">
        <v>0</v>
      </c>
      <c r="AF121" s="145">
        <v>0</v>
      </c>
      <c r="AG121" s="145">
        <v>0</v>
      </c>
      <c r="AH121" s="145">
        <v>0</v>
      </c>
      <c r="AI121" s="142">
        <f t="shared" si="9"/>
        <v>0</v>
      </c>
      <c r="AJ121" s="141"/>
      <c r="AK121" s="67"/>
      <c r="AL121" s="67"/>
      <c r="AM121" s="24"/>
      <c r="AN121" s="24"/>
      <c r="AO121" s="24"/>
      <c r="AP121" s="71"/>
      <c r="AQ121" s="69"/>
      <c r="AR121" s="141"/>
      <c r="AS121" s="141"/>
      <c r="AT121" s="141"/>
      <c r="AU121" s="141"/>
      <c r="AV121" s="141"/>
      <c r="AW121" s="141"/>
      <c r="AX121" s="141"/>
      <c r="AY121" s="141"/>
      <c r="AZ121" s="141"/>
      <c r="BA121" s="141"/>
    </row>
    <row r="122" spans="1:53" ht="45" customHeight="1">
      <c r="A122" s="153">
        <f t="shared" si="8"/>
        <v>119</v>
      </c>
      <c r="B122" s="153"/>
      <c r="C122" s="140"/>
      <c r="D122" s="28"/>
      <c r="E122" s="69"/>
      <c r="F122" s="39">
        <v>0</v>
      </c>
      <c r="G122" s="21"/>
      <c r="H122" s="21"/>
      <c r="I122" s="21"/>
      <c r="J122" s="141"/>
      <c r="K122" s="21"/>
      <c r="L122" s="69"/>
      <c r="M122" s="141"/>
      <c r="N122" s="59"/>
      <c r="O122" s="59"/>
      <c r="P122" s="105"/>
      <c r="Q122" s="105"/>
      <c r="R122" s="105"/>
      <c r="S122" s="105"/>
      <c r="T122" s="105"/>
      <c r="U122" s="90"/>
      <c r="V122" s="90"/>
      <c r="W122" s="90"/>
      <c r="X122" s="90"/>
      <c r="Y122" s="93"/>
      <c r="Z122" s="93"/>
      <c r="AA122" s="93"/>
      <c r="AB122" s="29">
        <v>0</v>
      </c>
      <c r="AC122" s="145">
        <v>0</v>
      </c>
      <c r="AD122" s="145">
        <v>0</v>
      </c>
      <c r="AE122" s="145">
        <v>0</v>
      </c>
      <c r="AF122" s="145">
        <v>0</v>
      </c>
      <c r="AG122" s="145">
        <v>0</v>
      </c>
      <c r="AH122" s="145">
        <v>0</v>
      </c>
      <c r="AI122" s="142">
        <f t="shared" si="9"/>
        <v>0</v>
      </c>
      <c r="AJ122" s="141"/>
      <c r="AK122" s="67"/>
      <c r="AL122" s="67"/>
      <c r="AM122" s="24"/>
      <c r="AN122" s="24"/>
      <c r="AO122" s="24"/>
      <c r="AP122" s="71"/>
      <c r="AQ122" s="69"/>
      <c r="AR122" s="141"/>
      <c r="AS122" s="141"/>
      <c r="AT122" s="141"/>
      <c r="AU122" s="141"/>
      <c r="AV122" s="141"/>
      <c r="AW122" s="141"/>
      <c r="AX122" s="141"/>
      <c r="AY122" s="141"/>
      <c r="AZ122" s="141"/>
      <c r="BA122" s="141"/>
    </row>
    <row r="123" spans="1:53" ht="45" customHeight="1">
      <c r="A123" s="153">
        <f t="shared" si="8"/>
        <v>120</v>
      </c>
      <c r="B123" s="153"/>
      <c r="C123" s="140"/>
      <c r="D123" s="28"/>
      <c r="E123" s="69"/>
      <c r="F123" s="39">
        <v>0</v>
      </c>
      <c r="G123" s="21"/>
      <c r="H123" s="21"/>
      <c r="I123" s="21"/>
      <c r="J123" s="141"/>
      <c r="K123" s="21"/>
      <c r="L123" s="69"/>
      <c r="M123" s="141"/>
      <c r="N123" s="59"/>
      <c r="O123" s="59"/>
      <c r="P123" s="105"/>
      <c r="Q123" s="105"/>
      <c r="R123" s="105"/>
      <c r="S123" s="105"/>
      <c r="T123" s="105"/>
      <c r="U123" s="90"/>
      <c r="V123" s="90"/>
      <c r="W123" s="90"/>
      <c r="X123" s="90"/>
      <c r="Y123" s="93"/>
      <c r="Z123" s="93"/>
      <c r="AA123" s="93"/>
      <c r="AB123" s="29">
        <v>0</v>
      </c>
      <c r="AC123" s="145">
        <v>0</v>
      </c>
      <c r="AD123" s="145">
        <v>0</v>
      </c>
      <c r="AE123" s="145">
        <v>0</v>
      </c>
      <c r="AF123" s="145">
        <v>0</v>
      </c>
      <c r="AG123" s="145">
        <v>0</v>
      </c>
      <c r="AH123" s="145">
        <v>0</v>
      </c>
      <c r="AI123" s="142">
        <f t="shared" si="9"/>
        <v>0</v>
      </c>
      <c r="AJ123" s="141"/>
      <c r="AK123" s="67"/>
      <c r="AL123" s="67"/>
      <c r="AM123" s="24"/>
      <c r="AN123" s="24"/>
      <c r="AO123" s="24"/>
      <c r="AP123" s="71"/>
      <c r="AQ123" s="69"/>
      <c r="AR123" s="141"/>
      <c r="AS123" s="141"/>
      <c r="AT123" s="141"/>
      <c r="AU123" s="141"/>
      <c r="AV123" s="141"/>
      <c r="AW123" s="141"/>
      <c r="AX123" s="141"/>
      <c r="AY123" s="141"/>
      <c r="AZ123" s="141"/>
      <c r="BA123" s="141"/>
    </row>
    <row r="124" spans="1:53" ht="45" customHeight="1">
      <c r="A124" s="153">
        <f t="shared" si="8"/>
        <v>121</v>
      </c>
      <c r="B124" s="153"/>
      <c r="C124" s="140"/>
      <c r="D124" s="28"/>
      <c r="E124" s="69"/>
      <c r="F124" s="39">
        <v>0</v>
      </c>
      <c r="G124" s="21"/>
      <c r="H124" s="21"/>
      <c r="I124" s="21"/>
      <c r="J124" s="141"/>
      <c r="K124" s="21"/>
      <c r="L124" s="69"/>
      <c r="M124" s="141"/>
      <c r="N124" s="59"/>
      <c r="O124" s="59"/>
      <c r="P124" s="105"/>
      <c r="Q124" s="105"/>
      <c r="R124" s="105"/>
      <c r="S124" s="105"/>
      <c r="T124" s="105"/>
      <c r="U124" s="90"/>
      <c r="V124" s="90"/>
      <c r="W124" s="90"/>
      <c r="X124" s="90"/>
      <c r="Y124" s="93"/>
      <c r="Z124" s="93"/>
      <c r="AA124" s="93"/>
      <c r="AB124" s="29">
        <v>0</v>
      </c>
      <c r="AC124" s="145">
        <v>0</v>
      </c>
      <c r="AD124" s="145">
        <v>0</v>
      </c>
      <c r="AE124" s="145">
        <v>0</v>
      </c>
      <c r="AF124" s="145">
        <v>0</v>
      </c>
      <c r="AG124" s="145">
        <v>0</v>
      </c>
      <c r="AH124" s="145">
        <v>0</v>
      </c>
      <c r="AI124" s="142">
        <f t="shared" si="9"/>
        <v>0</v>
      </c>
      <c r="AJ124" s="141"/>
      <c r="AK124" s="67"/>
      <c r="AL124" s="67"/>
      <c r="AM124" s="24"/>
      <c r="AN124" s="24"/>
      <c r="AO124" s="24"/>
      <c r="AP124" s="71"/>
      <c r="AQ124" s="69"/>
      <c r="AR124" s="141"/>
      <c r="AS124" s="141"/>
      <c r="AT124" s="141"/>
      <c r="AU124" s="141"/>
      <c r="AV124" s="141"/>
      <c r="AW124" s="141"/>
      <c r="AX124" s="141"/>
      <c r="AY124" s="141"/>
      <c r="AZ124" s="141"/>
      <c r="BA124" s="141"/>
    </row>
    <row r="125" spans="1:53" ht="45" customHeight="1">
      <c r="A125" s="153">
        <f t="shared" si="8"/>
        <v>122</v>
      </c>
      <c r="B125" s="153"/>
      <c r="C125" s="140"/>
      <c r="D125" s="28"/>
      <c r="E125" s="69"/>
      <c r="F125" s="39">
        <v>0</v>
      </c>
      <c r="G125" s="21"/>
      <c r="H125" s="21"/>
      <c r="I125" s="21"/>
      <c r="J125" s="141"/>
      <c r="K125" s="21"/>
      <c r="L125" s="69"/>
      <c r="M125" s="141"/>
      <c r="N125" s="59"/>
      <c r="O125" s="59"/>
      <c r="P125" s="105"/>
      <c r="Q125" s="105"/>
      <c r="R125" s="105"/>
      <c r="S125" s="105"/>
      <c r="T125" s="105"/>
      <c r="U125" s="90"/>
      <c r="V125" s="90"/>
      <c r="W125" s="90"/>
      <c r="X125" s="90"/>
      <c r="Y125" s="93"/>
      <c r="Z125" s="93"/>
      <c r="AA125" s="93"/>
      <c r="AB125" s="29">
        <v>0</v>
      </c>
      <c r="AC125" s="145">
        <v>0</v>
      </c>
      <c r="AD125" s="145">
        <v>0</v>
      </c>
      <c r="AE125" s="145">
        <v>0</v>
      </c>
      <c r="AF125" s="145">
        <v>0</v>
      </c>
      <c r="AG125" s="145">
        <v>0</v>
      </c>
      <c r="AH125" s="145">
        <v>0</v>
      </c>
      <c r="AI125" s="142">
        <f t="shared" si="9"/>
        <v>0</v>
      </c>
      <c r="AJ125" s="141"/>
      <c r="AK125" s="67"/>
      <c r="AL125" s="67"/>
      <c r="AM125" s="24"/>
      <c r="AN125" s="24"/>
      <c r="AO125" s="24"/>
      <c r="AP125" s="71"/>
      <c r="AQ125" s="69"/>
      <c r="AR125" s="141"/>
      <c r="AS125" s="141"/>
      <c r="AT125" s="141"/>
      <c r="AU125" s="141"/>
      <c r="AV125" s="141"/>
      <c r="AW125" s="141"/>
      <c r="AX125" s="141"/>
      <c r="AY125" s="141"/>
      <c r="AZ125" s="141"/>
      <c r="BA125" s="141"/>
    </row>
    <row r="126" spans="1:53" ht="45" customHeight="1">
      <c r="A126" s="153">
        <f t="shared" si="8"/>
        <v>123</v>
      </c>
      <c r="B126" s="153"/>
      <c r="C126" s="140"/>
      <c r="D126" s="28"/>
      <c r="E126" s="69"/>
      <c r="F126" s="39">
        <v>0</v>
      </c>
      <c r="G126" s="21"/>
      <c r="H126" s="21"/>
      <c r="I126" s="21"/>
      <c r="J126" s="141"/>
      <c r="K126" s="21"/>
      <c r="L126" s="69"/>
      <c r="M126" s="141"/>
      <c r="N126" s="59"/>
      <c r="O126" s="59"/>
      <c r="P126" s="105"/>
      <c r="Q126" s="105"/>
      <c r="R126" s="105"/>
      <c r="S126" s="105"/>
      <c r="T126" s="105"/>
      <c r="U126" s="90"/>
      <c r="V126" s="90"/>
      <c r="W126" s="90"/>
      <c r="X126" s="90"/>
      <c r="Y126" s="93"/>
      <c r="Z126" s="93"/>
      <c r="AA126" s="93"/>
      <c r="AB126" s="29">
        <v>0</v>
      </c>
      <c r="AC126" s="145">
        <v>0</v>
      </c>
      <c r="AD126" s="145">
        <v>0</v>
      </c>
      <c r="AE126" s="145">
        <v>0</v>
      </c>
      <c r="AF126" s="145">
        <v>0</v>
      </c>
      <c r="AG126" s="145">
        <v>0</v>
      </c>
      <c r="AH126" s="145">
        <v>0</v>
      </c>
      <c r="AI126" s="142">
        <f t="shared" si="9"/>
        <v>0</v>
      </c>
      <c r="AJ126" s="141"/>
      <c r="AK126" s="67"/>
      <c r="AL126" s="67"/>
      <c r="AM126" s="24"/>
      <c r="AN126" s="24"/>
      <c r="AO126" s="24"/>
      <c r="AP126" s="71"/>
      <c r="AQ126" s="69"/>
      <c r="AR126" s="141"/>
      <c r="AS126" s="141"/>
      <c r="AT126" s="141"/>
      <c r="AU126" s="141"/>
      <c r="AV126" s="141"/>
      <c r="AW126" s="141"/>
      <c r="AX126" s="141"/>
      <c r="AY126" s="141"/>
      <c r="AZ126" s="141"/>
      <c r="BA126" s="141"/>
    </row>
    <row r="127" spans="1:53" ht="45" customHeight="1">
      <c r="A127" s="153">
        <f t="shared" si="8"/>
        <v>124</v>
      </c>
      <c r="B127" s="153"/>
      <c r="C127" s="140"/>
      <c r="D127" s="28"/>
      <c r="E127" s="69"/>
      <c r="F127" s="39">
        <v>0</v>
      </c>
      <c r="G127" s="21"/>
      <c r="H127" s="21"/>
      <c r="I127" s="21"/>
      <c r="J127" s="141"/>
      <c r="K127" s="21"/>
      <c r="L127" s="69"/>
      <c r="M127" s="141"/>
      <c r="N127" s="59"/>
      <c r="O127" s="59"/>
      <c r="P127" s="105"/>
      <c r="Q127" s="105"/>
      <c r="R127" s="105"/>
      <c r="S127" s="105"/>
      <c r="T127" s="105"/>
      <c r="U127" s="90"/>
      <c r="V127" s="90"/>
      <c r="W127" s="90"/>
      <c r="X127" s="90"/>
      <c r="Y127" s="93"/>
      <c r="Z127" s="93"/>
      <c r="AA127" s="93"/>
      <c r="AB127" s="29">
        <v>0</v>
      </c>
      <c r="AC127" s="145">
        <v>0</v>
      </c>
      <c r="AD127" s="145">
        <v>0</v>
      </c>
      <c r="AE127" s="145">
        <v>0</v>
      </c>
      <c r="AF127" s="145">
        <v>0</v>
      </c>
      <c r="AG127" s="145">
        <v>0</v>
      </c>
      <c r="AH127" s="145">
        <v>0</v>
      </c>
      <c r="AI127" s="142">
        <f t="shared" si="9"/>
        <v>0</v>
      </c>
      <c r="AJ127" s="141"/>
      <c r="AK127" s="67"/>
      <c r="AL127" s="67"/>
      <c r="AM127" s="24"/>
      <c r="AN127" s="24"/>
      <c r="AO127" s="24"/>
      <c r="AP127" s="71"/>
      <c r="AQ127" s="69"/>
      <c r="AR127" s="141"/>
      <c r="AS127" s="141"/>
      <c r="AT127" s="141"/>
      <c r="AU127" s="141"/>
      <c r="AV127" s="141"/>
      <c r="AW127" s="141"/>
      <c r="AX127" s="141"/>
      <c r="AY127" s="141"/>
      <c r="AZ127" s="141"/>
      <c r="BA127" s="141"/>
    </row>
    <row r="128" spans="1:53" ht="45" customHeight="1">
      <c r="A128" s="153">
        <f t="shared" si="8"/>
        <v>125</v>
      </c>
      <c r="B128" s="153"/>
      <c r="C128" s="140"/>
      <c r="D128" s="28"/>
      <c r="E128" s="69"/>
      <c r="F128" s="39">
        <v>0</v>
      </c>
      <c r="G128" s="21"/>
      <c r="H128" s="21"/>
      <c r="I128" s="21"/>
      <c r="J128" s="141"/>
      <c r="K128" s="21"/>
      <c r="L128" s="69"/>
      <c r="M128" s="141"/>
      <c r="N128" s="59"/>
      <c r="O128" s="59"/>
      <c r="P128" s="105"/>
      <c r="Q128" s="105"/>
      <c r="R128" s="105"/>
      <c r="S128" s="105"/>
      <c r="T128" s="105"/>
      <c r="U128" s="90"/>
      <c r="V128" s="90"/>
      <c r="W128" s="90"/>
      <c r="X128" s="90"/>
      <c r="Y128" s="93"/>
      <c r="Z128" s="93"/>
      <c r="AA128" s="93"/>
      <c r="AB128" s="29">
        <v>0</v>
      </c>
      <c r="AC128" s="145">
        <v>0</v>
      </c>
      <c r="AD128" s="145">
        <v>0</v>
      </c>
      <c r="AE128" s="145">
        <v>0</v>
      </c>
      <c r="AF128" s="145">
        <v>0</v>
      </c>
      <c r="AG128" s="145">
        <v>0</v>
      </c>
      <c r="AH128" s="145">
        <v>0</v>
      </c>
      <c r="AI128" s="142">
        <f t="shared" si="9"/>
        <v>0</v>
      </c>
      <c r="AJ128" s="141"/>
      <c r="AK128" s="67"/>
      <c r="AL128" s="67"/>
      <c r="AM128" s="24"/>
      <c r="AN128" s="24"/>
      <c r="AO128" s="24"/>
      <c r="AP128" s="71"/>
      <c r="AQ128" s="69"/>
      <c r="AR128" s="141"/>
      <c r="AS128" s="141"/>
      <c r="AT128" s="141"/>
      <c r="AU128" s="141"/>
      <c r="AV128" s="141"/>
      <c r="AW128" s="141"/>
      <c r="AX128" s="141"/>
      <c r="AY128" s="141"/>
      <c r="AZ128" s="141"/>
      <c r="BA128" s="141"/>
    </row>
    <row r="129" spans="1:53" ht="45" customHeight="1">
      <c r="A129" s="153">
        <f t="shared" si="8"/>
        <v>126</v>
      </c>
      <c r="B129" s="153"/>
      <c r="C129" s="140"/>
      <c r="D129" s="28"/>
      <c r="E129" s="69"/>
      <c r="F129" s="39">
        <v>0</v>
      </c>
      <c r="G129" s="21"/>
      <c r="H129" s="21"/>
      <c r="I129" s="21"/>
      <c r="J129" s="141"/>
      <c r="K129" s="21"/>
      <c r="L129" s="69"/>
      <c r="M129" s="141"/>
      <c r="N129" s="59"/>
      <c r="O129" s="59"/>
      <c r="P129" s="105"/>
      <c r="Q129" s="105"/>
      <c r="R129" s="105"/>
      <c r="S129" s="105"/>
      <c r="T129" s="105"/>
      <c r="U129" s="90"/>
      <c r="V129" s="90"/>
      <c r="W129" s="90"/>
      <c r="X129" s="90"/>
      <c r="Y129" s="93"/>
      <c r="Z129" s="93"/>
      <c r="AA129" s="93"/>
      <c r="AB129" s="29">
        <v>0</v>
      </c>
      <c r="AC129" s="145">
        <v>0</v>
      </c>
      <c r="AD129" s="145">
        <v>0</v>
      </c>
      <c r="AE129" s="145">
        <v>0</v>
      </c>
      <c r="AF129" s="145">
        <v>0</v>
      </c>
      <c r="AG129" s="145">
        <v>0</v>
      </c>
      <c r="AH129" s="145">
        <v>0</v>
      </c>
      <c r="AI129" s="142">
        <f t="shared" si="9"/>
        <v>0</v>
      </c>
      <c r="AJ129" s="141"/>
      <c r="AK129" s="67"/>
      <c r="AL129" s="67"/>
      <c r="AM129" s="24"/>
      <c r="AN129" s="24"/>
      <c r="AO129" s="24"/>
      <c r="AP129" s="71"/>
      <c r="AQ129" s="69"/>
      <c r="AR129" s="141"/>
      <c r="AS129" s="141"/>
      <c r="AT129" s="141"/>
      <c r="AU129" s="141"/>
      <c r="AV129" s="141"/>
      <c r="AW129" s="141"/>
      <c r="AX129" s="141"/>
      <c r="AY129" s="141"/>
      <c r="AZ129" s="141"/>
      <c r="BA129" s="141"/>
    </row>
    <row r="130" spans="1:53" ht="45" customHeight="1">
      <c r="A130" s="153">
        <f t="shared" si="8"/>
        <v>127</v>
      </c>
      <c r="B130" s="153"/>
      <c r="C130" s="140"/>
      <c r="D130" s="28"/>
      <c r="E130" s="69"/>
      <c r="F130" s="39">
        <v>0</v>
      </c>
      <c r="G130" s="21"/>
      <c r="H130" s="21"/>
      <c r="I130" s="21"/>
      <c r="J130" s="141"/>
      <c r="K130" s="21"/>
      <c r="L130" s="69"/>
      <c r="M130" s="141"/>
      <c r="N130" s="59"/>
      <c r="O130" s="59"/>
      <c r="P130" s="105"/>
      <c r="Q130" s="105"/>
      <c r="R130" s="105"/>
      <c r="S130" s="105"/>
      <c r="T130" s="105"/>
      <c r="U130" s="90"/>
      <c r="V130" s="90"/>
      <c r="W130" s="90"/>
      <c r="X130" s="90"/>
      <c r="Y130" s="93"/>
      <c r="Z130" s="93"/>
      <c r="AA130" s="93"/>
      <c r="AB130" s="29">
        <v>0</v>
      </c>
      <c r="AC130" s="145">
        <v>0</v>
      </c>
      <c r="AD130" s="145">
        <v>0</v>
      </c>
      <c r="AE130" s="145">
        <v>0</v>
      </c>
      <c r="AF130" s="145">
        <v>0</v>
      </c>
      <c r="AG130" s="145">
        <v>0</v>
      </c>
      <c r="AH130" s="145">
        <v>0</v>
      </c>
      <c r="AI130" s="142">
        <f t="shared" si="9"/>
        <v>0</v>
      </c>
      <c r="AJ130" s="141"/>
      <c r="AK130" s="67"/>
      <c r="AL130" s="67"/>
      <c r="AM130" s="24"/>
      <c r="AN130" s="24"/>
      <c r="AO130" s="24"/>
      <c r="AP130" s="71"/>
      <c r="AQ130" s="69"/>
      <c r="AR130" s="141"/>
      <c r="AS130" s="141"/>
      <c r="AT130" s="141"/>
      <c r="AU130" s="141"/>
      <c r="AV130" s="141"/>
      <c r="AW130" s="141"/>
      <c r="AX130" s="141"/>
      <c r="AY130" s="141"/>
      <c r="AZ130" s="141"/>
      <c r="BA130" s="141"/>
    </row>
    <row r="131" spans="1:53" ht="45" customHeight="1">
      <c r="A131" s="153">
        <f t="shared" si="8"/>
        <v>128</v>
      </c>
      <c r="B131" s="153"/>
      <c r="C131" s="140"/>
      <c r="D131" s="28"/>
      <c r="E131" s="69"/>
      <c r="F131" s="39">
        <v>0</v>
      </c>
      <c r="G131" s="21"/>
      <c r="H131" s="21"/>
      <c r="I131" s="21"/>
      <c r="J131" s="141"/>
      <c r="K131" s="21"/>
      <c r="L131" s="69"/>
      <c r="M131" s="141"/>
      <c r="N131" s="59"/>
      <c r="O131" s="59"/>
      <c r="P131" s="105"/>
      <c r="Q131" s="105"/>
      <c r="R131" s="105"/>
      <c r="S131" s="105"/>
      <c r="T131" s="105"/>
      <c r="U131" s="90"/>
      <c r="V131" s="90"/>
      <c r="W131" s="90"/>
      <c r="X131" s="90"/>
      <c r="Y131" s="93"/>
      <c r="Z131" s="93"/>
      <c r="AA131" s="93"/>
      <c r="AB131" s="29">
        <v>0</v>
      </c>
      <c r="AC131" s="145">
        <v>0</v>
      </c>
      <c r="AD131" s="145">
        <v>0</v>
      </c>
      <c r="AE131" s="145">
        <v>0</v>
      </c>
      <c r="AF131" s="145">
        <v>0</v>
      </c>
      <c r="AG131" s="145">
        <v>0</v>
      </c>
      <c r="AH131" s="145">
        <v>0</v>
      </c>
      <c r="AI131" s="142">
        <f t="shared" si="9"/>
        <v>0</v>
      </c>
      <c r="AJ131" s="141"/>
      <c r="AK131" s="67"/>
      <c r="AL131" s="67"/>
      <c r="AM131" s="24"/>
      <c r="AN131" s="24"/>
      <c r="AO131" s="24"/>
      <c r="AP131" s="71"/>
      <c r="AQ131" s="69"/>
      <c r="AR131" s="141"/>
      <c r="AS131" s="141"/>
      <c r="AT131" s="141"/>
      <c r="AU131" s="141"/>
      <c r="AV131" s="141"/>
      <c r="AW131" s="141"/>
      <c r="AX131" s="141"/>
      <c r="AY131" s="141"/>
      <c r="AZ131" s="141"/>
      <c r="BA131" s="141"/>
    </row>
    <row r="132" spans="1:53" ht="45" customHeight="1">
      <c r="A132" s="153">
        <f t="shared" ref="A132:A157" si="10">A131+1</f>
        <v>129</v>
      </c>
      <c r="B132" s="153"/>
      <c r="C132" s="140"/>
      <c r="D132" s="28"/>
      <c r="E132" s="69"/>
      <c r="F132" s="39">
        <v>0</v>
      </c>
      <c r="G132" s="21"/>
      <c r="H132" s="21"/>
      <c r="I132" s="21"/>
      <c r="J132" s="141"/>
      <c r="K132" s="21"/>
      <c r="L132" s="69"/>
      <c r="M132" s="141"/>
      <c r="N132" s="59"/>
      <c r="O132" s="59"/>
      <c r="P132" s="105"/>
      <c r="Q132" s="105"/>
      <c r="R132" s="105"/>
      <c r="S132" s="105"/>
      <c r="T132" s="105"/>
      <c r="U132" s="90"/>
      <c r="V132" s="90"/>
      <c r="W132" s="90"/>
      <c r="X132" s="90"/>
      <c r="Y132" s="93"/>
      <c r="Z132" s="93"/>
      <c r="AA132" s="93"/>
      <c r="AB132" s="29">
        <v>0</v>
      </c>
      <c r="AC132" s="145">
        <v>0</v>
      </c>
      <c r="AD132" s="145">
        <v>0</v>
      </c>
      <c r="AE132" s="145">
        <v>0</v>
      </c>
      <c r="AF132" s="145">
        <v>0</v>
      </c>
      <c r="AG132" s="145">
        <v>0</v>
      </c>
      <c r="AH132" s="145">
        <v>0</v>
      </c>
      <c r="AI132" s="142">
        <f t="shared" si="9"/>
        <v>0</v>
      </c>
      <c r="AJ132" s="141"/>
      <c r="AK132" s="67"/>
      <c r="AL132" s="67"/>
      <c r="AM132" s="24"/>
      <c r="AN132" s="24"/>
      <c r="AO132" s="24"/>
      <c r="AP132" s="71"/>
      <c r="AQ132" s="69"/>
      <c r="AR132" s="141"/>
      <c r="AS132" s="141"/>
      <c r="AT132" s="141"/>
      <c r="AU132" s="141"/>
      <c r="AV132" s="141"/>
      <c r="AW132" s="141"/>
      <c r="AX132" s="141"/>
      <c r="AY132" s="141"/>
      <c r="AZ132" s="141"/>
      <c r="BA132" s="141"/>
    </row>
    <row r="133" spans="1:53" ht="45" customHeight="1">
      <c r="A133" s="153">
        <f t="shared" si="10"/>
        <v>130</v>
      </c>
      <c r="B133" s="153"/>
      <c r="C133" s="140"/>
      <c r="D133" s="28"/>
      <c r="E133" s="69"/>
      <c r="F133" s="39">
        <v>0</v>
      </c>
      <c r="G133" s="21"/>
      <c r="H133" s="21"/>
      <c r="I133" s="21"/>
      <c r="J133" s="141"/>
      <c r="K133" s="21"/>
      <c r="L133" s="69"/>
      <c r="M133" s="141"/>
      <c r="N133" s="59"/>
      <c r="O133" s="59"/>
      <c r="P133" s="105"/>
      <c r="Q133" s="105"/>
      <c r="R133" s="105"/>
      <c r="S133" s="105"/>
      <c r="T133" s="105"/>
      <c r="U133" s="90"/>
      <c r="V133" s="90"/>
      <c r="W133" s="90"/>
      <c r="X133" s="90"/>
      <c r="Y133" s="93"/>
      <c r="Z133" s="93"/>
      <c r="AA133" s="93"/>
      <c r="AB133" s="29">
        <v>0</v>
      </c>
      <c r="AC133" s="145">
        <v>0</v>
      </c>
      <c r="AD133" s="145">
        <v>0</v>
      </c>
      <c r="AE133" s="145">
        <v>0</v>
      </c>
      <c r="AF133" s="145">
        <v>0</v>
      </c>
      <c r="AG133" s="145">
        <v>0</v>
      </c>
      <c r="AH133" s="145">
        <v>0</v>
      </c>
      <c r="AI133" s="142">
        <f t="shared" si="9"/>
        <v>0</v>
      </c>
      <c r="AJ133" s="141"/>
      <c r="AK133" s="67"/>
      <c r="AL133" s="67"/>
      <c r="AM133" s="24"/>
      <c r="AN133" s="24"/>
      <c r="AO133" s="24"/>
      <c r="AP133" s="71"/>
      <c r="AQ133" s="69"/>
      <c r="AR133" s="141"/>
      <c r="AS133" s="141"/>
      <c r="AT133" s="141"/>
      <c r="AU133" s="141"/>
      <c r="AV133" s="141"/>
      <c r="AW133" s="141"/>
      <c r="AX133" s="141"/>
      <c r="AY133" s="141"/>
      <c r="AZ133" s="141"/>
      <c r="BA133" s="141"/>
    </row>
    <row r="134" spans="1:53" ht="45" customHeight="1">
      <c r="A134" s="153">
        <f t="shared" si="10"/>
        <v>131</v>
      </c>
      <c r="B134" s="153"/>
      <c r="C134" s="140"/>
      <c r="D134" s="28"/>
      <c r="E134" s="69"/>
      <c r="F134" s="39">
        <v>0</v>
      </c>
      <c r="G134" s="21"/>
      <c r="H134" s="21"/>
      <c r="I134" s="21"/>
      <c r="J134" s="141"/>
      <c r="K134" s="21"/>
      <c r="L134" s="69"/>
      <c r="M134" s="141"/>
      <c r="N134" s="59"/>
      <c r="O134" s="59"/>
      <c r="P134" s="105"/>
      <c r="Q134" s="105"/>
      <c r="R134" s="105"/>
      <c r="S134" s="105"/>
      <c r="T134" s="105"/>
      <c r="U134" s="90"/>
      <c r="V134" s="90"/>
      <c r="W134" s="90"/>
      <c r="X134" s="90"/>
      <c r="Y134" s="93"/>
      <c r="Z134" s="93"/>
      <c r="AA134" s="93"/>
      <c r="AB134" s="29">
        <v>0</v>
      </c>
      <c r="AC134" s="145">
        <v>0</v>
      </c>
      <c r="AD134" s="145">
        <v>0</v>
      </c>
      <c r="AE134" s="145">
        <v>0</v>
      </c>
      <c r="AF134" s="145">
        <v>0</v>
      </c>
      <c r="AG134" s="145">
        <v>0</v>
      </c>
      <c r="AH134" s="145">
        <v>0</v>
      </c>
      <c r="AI134" s="142">
        <f t="shared" si="9"/>
        <v>0</v>
      </c>
      <c r="AJ134" s="141"/>
      <c r="AK134" s="67"/>
      <c r="AL134" s="67"/>
      <c r="AM134" s="24"/>
      <c r="AN134" s="24"/>
      <c r="AO134" s="24"/>
      <c r="AP134" s="71"/>
      <c r="AQ134" s="69"/>
      <c r="AR134" s="141"/>
      <c r="AS134" s="141"/>
      <c r="AT134" s="141"/>
      <c r="AU134" s="141"/>
      <c r="AV134" s="141"/>
      <c r="AW134" s="141"/>
      <c r="AX134" s="141"/>
      <c r="AY134" s="141"/>
      <c r="AZ134" s="141"/>
      <c r="BA134" s="141"/>
    </row>
    <row r="135" spans="1:53" ht="45" customHeight="1">
      <c r="A135" s="153">
        <f t="shared" si="10"/>
        <v>132</v>
      </c>
      <c r="B135" s="153"/>
      <c r="C135" s="140"/>
      <c r="D135" s="28"/>
      <c r="E135" s="69"/>
      <c r="F135" s="39">
        <v>0</v>
      </c>
      <c r="G135" s="21"/>
      <c r="H135" s="21"/>
      <c r="I135" s="21"/>
      <c r="J135" s="141"/>
      <c r="K135" s="21"/>
      <c r="L135" s="69"/>
      <c r="M135" s="141"/>
      <c r="N135" s="59"/>
      <c r="O135" s="59"/>
      <c r="P135" s="105"/>
      <c r="Q135" s="105"/>
      <c r="R135" s="105"/>
      <c r="S135" s="105"/>
      <c r="T135" s="105"/>
      <c r="U135" s="90"/>
      <c r="V135" s="90"/>
      <c r="W135" s="90"/>
      <c r="X135" s="90"/>
      <c r="Y135" s="93"/>
      <c r="Z135" s="93"/>
      <c r="AA135" s="93"/>
      <c r="AB135" s="29">
        <v>0</v>
      </c>
      <c r="AC135" s="145">
        <v>0</v>
      </c>
      <c r="AD135" s="145">
        <v>0</v>
      </c>
      <c r="AE135" s="145">
        <v>0</v>
      </c>
      <c r="AF135" s="145">
        <v>0</v>
      </c>
      <c r="AG135" s="145">
        <v>0</v>
      </c>
      <c r="AH135" s="145">
        <v>0</v>
      </c>
      <c r="AI135" s="142">
        <f t="shared" si="9"/>
        <v>0</v>
      </c>
      <c r="AJ135" s="141"/>
      <c r="AK135" s="67"/>
      <c r="AL135" s="67"/>
      <c r="AM135" s="24"/>
      <c r="AN135" s="24"/>
      <c r="AO135" s="24"/>
      <c r="AP135" s="71"/>
      <c r="AQ135" s="69"/>
      <c r="AR135" s="141"/>
      <c r="AS135" s="141"/>
      <c r="AT135" s="141"/>
      <c r="AU135" s="141"/>
      <c r="AV135" s="141"/>
      <c r="AW135" s="141"/>
      <c r="AX135" s="141"/>
      <c r="AY135" s="141"/>
      <c r="AZ135" s="141"/>
      <c r="BA135" s="141"/>
    </row>
    <row r="136" spans="1:53" ht="45" customHeight="1">
      <c r="A136" s="153">
        <f t="shared" si="10"/>
        <v>133</v>
      </c>
      <c r="B136" s="153"/>
      <c r="C136" s="140"/>
      <c r="D136" s="28"/>
      <c r="E136" s="69"/>
      <c r="F136" s="39">
        <v>0</v>
      </c>
      <c r="G136" s="21"/>
      <c r="H136" s="21"/>
      <c r="I136" s="21"/>
      <c r="J136" s="141"/>
      <c r="K136" s="21"/>
      <c r="L136" s="69"/>
      <c r="M136" s="141"/>
      <c r="N136" s="59"/>
      <c r="O136" s="59"/>
      <c r="P136" s="105"/>
      <c r="Q136" s="105"/>
      <c r="R136" s="105"/>
      <c r="S136" s="105"/>
      <c r="T136" s="105"/>
      <c r="U136" s="90"/>
      <c r="V136" s="90"/>
      <c r="W136" s="90"/>
      <c r="X136" s="90"/>
      <c r="Y136" s="93"/>
      <c r="Z136" s="93"/>
      <c r="AA136" s="93"/>
      <c r="AB136" s="29">
        <v>0</v>
      </c>
      <c r="AC136" s="145">
        <v>0</v>
      </c>
      <c r="AD136" s="145">
        <v>0</v>
      </c>
      <c r="AE136" s="145">
        <v>0</v>
      </c>
      <c r="AF136" s="145">
        <v>0</v>
      </c>
      <c r="AG136" s="145">
        <v>0</v>
      </c>
      <c r="AH136" s="145">
        <v>0</v>
      </c>
      <c r="AI136" s="142">
        <f t="shared" si="9"/>
        <v>0</v>
      </c>
      <c r="AJ136" s="141"/>
      <c r="AK136" s="67"/>
      <c r="AL136" s="67"/>
      <c r="AM136" s="24"/>
      <c r="AN136" s="24"/>
      <c r="AO136" s="24"/>
      <c r="AP136" s="71"/>
      <c r="AQ136" s="69"/>
      <c r="AR136" s="141"/>
      <c r="AS136" s="141"/>
      <c r="AT136" s="141"/>
      <c r="AU136" s="141"/>
      <c r="AV136" s="141"/>
      <c r="AW136" s="141"/>
      <c r="AX136" s="141"/>
      <c r="AY136" s="141"/>
      <c r="AZ136" s="141"/>
      <c r="BA136" s="141"/>
    </row>
    <row r="137" spans="1:53" ht="45" customHeight="1">
      <c r="A137" s="153">
        <f t="shared" si="10"/>
        <v>134</v>
      </c>
      <c r="B137" s="153"/>
      <c r="C137" s="140"/>
      <c r="D137" s="28"/>
      <c r="E137" s="69"/>
      <c r="F137" s="39">
        <v>0</v>
      </c>
      <c r="G137" s="21"/>
      <c r="H137" s="21"/>
      <c r="I137" s="21"/>
      <c r="J137" s="141"/>
      <c r="K137" s="21"/>
      <c r="L137" s="69"/>
      <c r="M137" s="141"/>
      <c r="N137" s="59"/>
      <c r="O137" s="59"/>
      <c r="P137" s="105"/>
      <c r="Q137" s="105"/>
      <c r="R137" s="105"/>
      <c r="S137" s="105"/>
      <c r="T137" s="105"/>
      <c r="U137" s="90"/>
      <c r="V137" s="90"/>
      <c r="W137" s="90"/>
      <c r="X137" s="90"/>
      <c r="Y137" s="93"/>
      <c r="Z137" s="93"/>
      <c r="AA137" s="93"/>
      <c r="AB137" s="29">
        <v>0</v>
      </c>
      <c r="AC137" s="145">
        <v>0</v>
      </c>
      <c r="AD137" s="145">
        <v>0</v>
      </c>
      <c r="AE137" s="145">
        <v>0</v>
      </c>
      <c r="AF137" s="145">
        <v>0</v>
      </c>
      <c r="AG137" s="145">
        <v>0</v>
      </c>
      <c r="AH137" s="145">
        <v>0</v>
      </c>
      <c r="AI137" s="142">
        <f t="shared" si="9"/>
        <v>0</v>
      </c>
      <c r="AJ137" s="141"/>
      <c r="AK137" s="67"/>
      <c r="AL137" s="67"/>
      <c r="AM137" s="24"/>
      <c r="AN137" s="24"/>
      <c r="AO137" s="24"/>
      <c r="AP137" s="71"/>
      <c r="AQ137" s="69"/>
      <c r="AR137" s="141"/>
      <c r="AS137" s="141"/>
      <c r="AT137" s="141"/>
      <c r="AU137" s="141"/>
      <c r="AV137" s="141"/>
      <c r="AW137" s="141"/>
      <c r="AX137" s="141"/>
      <c r="AY137" s="141"/>
      <c r="AZ137" s="141"/>
      <c r="BA137" s="141"/>
    </row>
    <row r="138" spans="1:53" ht="45" customHeight="1">
      <c r="A138" s="153">
        <f t="shared" si="10"/>
        <v>135</v>
      </c>
      <c r="B138" s="153"/>
      <c r="C138" s="140"/>
      <c r="D138" s="28"/>
      <c r="E138" s="69"/>
      <c r="F138" s="39">
        <v>0</v>
      </c>
      <c r="G138" s="21"/>
      <c r="H138" s="21"/>
      <c r="I138" s="21"/>
      <c r="J138" s="141"/>
      <c r="K138" s="21"/>
      <c r="L138" s="69"/>
      <c r="M138" s="141"/>
      <c r="N138" s="59"/>
      <c r="O138" s="59"/>
      <c r="P138" s="105"/>
      <c r="Q138" s="105"/>
      <c r="R138" s="105"/>
      <c r="S138" s="105"/>
      <c r="T138" s="105"/>
      <c r="U138" s="90"/>
      <c r="V138" s="90"/>
      <c r="W138" s="90"/>
      <c r="X138" s="90"/>
      <c r="Y138" s="93"/>
      <c r="Z138" s="93"/>
      <c r="AA138" s="93"/>
      <c r="AB138" s="29">
        <v>0</v>
      </c>
      <c r="AC138" s="145">
        <v>0</v>
      </c>
      <c r="AD138" s="145">
        <v>0</v>
      </c>
      <c r="AE138" s="145">
        <v>0</v>
      </c>
      <c r="AF138" s="145">
        <v>0</v>
      </c>
      <c r="AG138" s="145">
        <v>0</v>
      </c>
      <c r="AH138" s="145">
        <v>0</v>
      </c>
      <c r="AI138" s="142">
        <f t="shared" si="9"/>
        <v>0</v>
      </c>
      <c r="AJ138" s="141"/>
      <c r="AK138" s="67"/>
      <c r="AL138" s="67"/>
      <c r="AM138" s="24"/>
      <c r="AN138" s="24"/>
      <c r="AO138" s="24"/>
      <c r="AP138" s="71"/>
      <c r="AQ138" s="69"/>
      <c r="AR138" s="141"/>
      <c r="AS138" s="141"/>
      <c r="AT138" s="141"/>
      <c r="AU138" s="141"/>
      <c r="AV138" s="141"/>
      <c r="AW138" s="141"/>
      <c r="AX138" s="141"/>
      <c r="AY138" s="141"/>
      <c r="AZ138" s="141"/>
      <c r="BA138" s="141"/>
    </row>
    <row r="139" spans="1:53" ht="45" customHeight="1">
      <c r="A139" s="153">
        <f t="shared" si="10"/>
        <v>136</v>
      </c>
      <c r="B139" s="153"/>
      <c r="C139" s="152"/>
      <c r="D139" s="28"/>
      <c r="E139" s="69"/>
      <c r="F139" s="39">
        <v>0</v>
      </c>
      <c r="G139" s="21"/>
      <c r="H139" s="21"/>
      <c r="I139" s="21"/>
      <c r="J139" s="141"/>
      <c r="K139" s="21"/>
      <c r="L139" s="69"/>
      <c r="M139" s="141"/>
      <c r="N139" s="59"/>
      <c r="O139" s="59"/>
      <c r="P139" s="105"/>
      <c r="Q139" s="105"/>
      <c r="R139" s="105"/>
      <c r="S139" s="105"/>
      <c r="T139" s="105"/>
      <c r="U139" s="90"/>
      <c r="V139" s="90"/>
      <c r="W139" s="90"/>
      <c r="X139" s="90"/>
      <c r="Y139" s="93"/>
      <c r="Z139" s="93"/>
      <c r="AA139" s="93"/>
      <c r="AB139" s="29">
        <v>0</v>
      </c>
      <c r="AC139" s="145">
        <v>0</v>
      </c>
      <c r="AD139" s="145">
        <v>0</v>
      </c>
      <c r="AE139" s="145">
        <v>0</v>
      </c>
      <c r="AF139" s="145">
        <v>0</v>
      </c>
      <c r="AG139" s="145">
        <v>0</v>
      </c>
      <c r="AH139" s="145">
        <v>0</v>
      </c>
      <c r="AI139" s="142">
        <f t="shared" si="9"/>
        <v>0</v>
      </c>
      <c r="AJ139" s="141"/>
      <c r="AK139" s="67"/>
      <c r="AL139" s="67"/>
      <c r="AM139" s="24"/>
      <c r="AN139" s="24"/>
      <c r="AO139" s="24"/>
      <c r="AP139" s="71"/>
      <c r="AQ139" s="69"/>
      <c r="AR139" s="141"/>
      <c r="AS139" s="141"/>
      <c r="AT139" s="141"/>
      <c r="AU139" s="141"/>
      <c r="AV139" s="141"/>
      <c r="AW139" s="141"/>
      <c r="AX139" s="141"/>
      <c r="AY139" s="141"/>
      <c r="AZ139" s="141"/>
      <c r="BA139" s="141"/>
    </row>
    <row r="140" spans="1:53" ht="45" customHeight="1">
      <c r="A140" s="153">
        <f t="shared" si="10"/>
        <v>137</v>
      </c>
      <c r="B140" s="153"/>
      <c r="C140" s="153"/>
      <c r="D140" s="28"/>
      <c r="E140" s="69"/>
      <c r="F140" s="39">
        <v>0</v>
      </c>
      <c r="G140" s="21"/>
      <c r="H140" s="21"/>
      <c r="I140" s="21"/>
      <c r="J140" s="141"/>
      <c r="K140" s="21"/>
      <c r="L140" s="69"/>
      <c r="M140" s="141"/>
      <c r="N140" s="59"/>
      <c r="O140" s="59"/>
      <c r="P140" s="105"/>
      <c r="Q140" s="105"/>
      <c r="R140" s="105"/>
      <c r="S140" s="105"/>
      <c r="T140" s="105"/>
      <c r="U140" s="90"/>
      <c r="V140" s="90"/>
      <c r="W140" s="90"/>
      <c r="X140" s="90"/>
      <c r="Y140" s="93"/>
      <c r="Z140" s="93"/>
      <c r="AA140" s="93"/>
      <c r="AB140" s="29">
        <v>0</v>
      </c>
      <c r="AC140" s="145">
        <v>0</v>
      </c>
      <c r="AD140" s="145">
        <v>0</v>
      </c>
      <c r="AE140" s="145">
        <v>0</v>
      </c>
      <c r="AF140" s="145">
        <v>0</v>
      </c>
      <c r="AG140" s="145">
        <v>0</v>
      </c>
      <c r="AH140" s="145">
        <v>0</v>
      </c>
      <c r="AI140" s="142">
        <f t="shared" si="9"/>
        <v>0</v>
      </c>
      <c r="AJ140" s="141"/>
      <c r="AK140" s="67"/>
      <c r="AL140" s="67"/>
      <c r="AM140" s="24"/>
      <c r="AN140" s="24"/>
      <c r="AO140" s="24"/>
      <c r="AP140" s="71"/>
      <c r="AQ140" s="69"/>
      <c r="AR140" s="141"/>
      <c r="AS140" s="141"/>
      <c r="AT140" s="141"/>
      <c r="AU140" s="141"/>
      <c r="AV140" s="141"/>
      <c r="AW140" s="141"/>
      <c r="AX140" s="141"/>
      <c r="AY140" s="141"/>
      <c r="AZ140" s="141"/>
      <c r="BA140" s="141"/>
    </row>
    <row r="141" spans="1:53" ht="45" customHeight="1">
      <c r="A141" s="153">
        <f t="shared" si="10"/>
        <v>138</v>
      </c>
      <c r="B141" s="153"/>
      <c r="C141" s="153"/>
      <c r="D141" s="28"/>
      <c r="E141" s="69"/>
      <c r="F141" s="39">
        <v>0</v>
      </c>
      <c r="G141" s="21"/>
      <c r="H141" s="21"/>
      <c r="I141" s="21"/>
      <c r="J141" s="141"/>
      <c r="K141" s="21"/>
      <c r="L141" s="69"/>
      <c r="M141" s="141"/>
      <c r="N141" s="59"/>
      <c r="O141" s="59"/>
      <c r="P141" s="105"/>
      <c r="Q141" s="105"/>
      <c r="R141" s="105"/>
      <c r="S141" s="105"/>
      <c r="T141" s="105"/>
      <c r="U141" s="90"/>
      <c r="V141" s="90"/>
      <c r="W141" s="90"/>
      <c r="X141" s="90"/>
      <c r="Y141" s="93"/>
      <c r="Z141" s="93"/>
      <c r="AA141" s="93"/>
      <c r="AB141" s="29">
        <v>0</v>
      </c>
      <c r="AC141" s="145">
        <v>0</v>
      </c>
      <c r="AD141" s="145">
        <v>0</v>
      </c>
      <c r="AE141" s="145">
        <v>0</v>
      </c>
      <c r="AF141" s="145">
        <v>0</v>
      </c>
      <c r="AG141" s="145">
        <v>0</v>
      </c>
      <c r="AH141" s="145">
        <v>0</v>
      </c>
      <c r="AI141" s="142">
        <f t="shared" si="9"/>
        <v>0</v>
      </c>
      <c r="AJ141" s="141"/>
      <c r="AK141" s="67"/>
      <c r="AL141" s="67"/>
      <c r="AM141" s="24"/>
      <c r="AN141" s="24"/>
      <c r="AO141" s="24"/>
      <c r="AP141" s="71"/>
      <c r="AQ141" s="69"/>
      <c r="AR141" s="141"/>
      <c r="AS141" s="141"/>
      <c r="AT141" s="141"/>
      <c r="AU141" s="141"/>
      <c r="AV141" s="141"/>
      <c r="AW141" s="141"/>
      <c r="AX141" s="141"/>
      <c r="AY141" s="141"/>
      <c r="AZ141" s="141"/>
      <c r="BA141" s="141"/>
    </row>
    <row r="142" spans="1:53" ht="45" customHeight="1">
      <c r="A142" s="153">
        <f t="shared" si="10"/>
        <v>139</v>
      </c>
      <c r="B142" s="153"/>
      <c r="C142" s="153"/>
      <c r="D142" s="28"/>
      <c r="E142" s="69"/>
      <c r="F142" s="39">
        <v>0</v>
      </c>
      <c r="G142" s="21"/>
      <c r="H142" s="21"/>
      <c r="I142" s="21"/>
      <c r="J142" s="141"/>
      <c r="K142" s="21"/>
      <c r="L142" s="69"/>
      <c r="M142" s="141"/>
      <c r="N142" s="59"/>
      <c r="O142" s="59"/>
      <c r="P142" s="105"/>
      <c r="Q142" s="105"/>
      <c r="R142" s="105"/>
      <c r="S142" s="105"/>
      <c r="T142" s="105"/>
      <c r="U142" s="90"/>
      <c r="V142" s="90"/>
      <c r="W142" s="90"/>
      <c r="X142" s="90"/>
      <c r="Y142" s="93"/>
      <c r="Z142" s="93"/>
      <c r="AA142" s="93"/>
      <c r="AB142" s="29">
        <v>0</v>
      </c>
      <c r="AC142" s="145">
        <v>0</v>
      </c>
      <c r="AD142" s="145">
        <v>0</v>
      </c>
      <c r="AE142" s="145">
        <v>0</v>
      </c>
      <c r="AF142" s="145">
        <v>0</v>
      </c>
      <c r="AG142" s="145">
        <v>0</v>
      </c>
      <c r="AH142" s="145">
        <v>0</v>
      </c>
      <c r="AI142" s="142">
        <f t="shared" si="9"/>
        <v>0</v>
      </c>
      <c r="AJ142" s="141"/>
      <c r="AK142" s="67"/>
      <c r="AL142" s="67"/>
      <c r="AM142" s="24"/>
      <c r="AN142" s="24"/>
      <c r="AO142" s="24"/>
      <c r="AP142" s="71"/>
      <c r="AQ142" s="69"/>
      <c r="AR142" s="141"/>
      <c r="AS142" s="141"/>
      <c r="AT142" s="141"/>
      <c r="AU142" s="141"/>
      <c r="AV142" s="141"/>
      <c r="AW142" s="141"/>
      <c r="AX142" s="141"/>
      <c r="AY142" s="141"/>
      <c r="AZ142" s="141"/>
      <c r="BA142" s="141"/>
    </row>
    <row r="143" spans="1:53" ht="45" customHeight="1">
      <c r="A143" s="153">
        <f t="shared" si="10"/>
        <v>140</v>
      </c>
      <c r="B143" s="153"/>
      <c r="C143" s="153"/>
      <c r="D143" s="28"/>
      <c r="E143" s="69"/>
      <c r="F143" s="39">
        <v>0</v>
      </c>
      <c r="G143" s="21"/>
      <c r="H143" s="21"/>
      <c r="I143" s="21"/>
      <c r="J143" s="141"/>
      <c r="K143" s="21"/>
      <c r="L143" s="69"/>
      <c r="M143" s="141"/>
      <c r="N143" s="59"/>
      <c r="O143" s="59"/>
      <c r="P143" s="105"/>
      <c r="Q143" s="105"/>
      <c r="R143" s="105"/>
      <c r="S143" s="105"/>
      <c r="T143" s="105"/>
      <c r="U143" s="90"/>
      <c r="V143" s="90"/>
      <c r="W143" s="90"/>
      <c r="X143" s="90"/>
      <c r="Y143" s="93"/>
      <c r="Z143" s="93"/>
      <c r="AA143" s="93"/>
      <c r="AB143" s="29">
        <v>0</v>
      </c>
      <c r="AC143" s="145">
        <v>0</v>
      </c>
      <c r="AD143" s="145">
        <v>0</v>
      </c>
      <c r="AE143" s="145">
        <v>0</v>
      </c>
      <c r="AF143" s="145">
        <v>0</v>
      </c>
      <c r="AG143" s="145">
        <v>0</v>
      </c>
      <c r="AH143" s="145">
        <v>0</v>
      </c>
      <c r="AI143" s="142">
        <f t="shared" si="9"/>
        <v>0</v>
      </c>
      <c r="AJ143" s="141"/>
      <c r="AK143" s="67"/>
      <c r="AL143" s="67"/>
      <c r="AM143" s="24"/>
      <c r="AN143" s="24"/>
      <c r="AO143" s="24"/>
      <c r="AP143" s="71"/>
      <c r="AQ143" s="69"/>
      <c r="AR143" s="141"/>
      <c r="AS143" s="141"/>
      <c r="AT143" s="141"/>
      <c r="AU143" s="141"/>
      <c r="AV143" s="141"/>
      <c r="AW143" s="141"/>
      <c r="AX143" s="141"/>
      <c r="AY143" s="141"/>
      <c r="AZ143" s="141"/>
      <c r="BA143" s="141"/>
    </row>
    <row r="144" spans="1:53" ht="45" customHeight="1">
      <c r="A144" s="153">
        <f t="shared" si="10"/>
        <v>141</v>
      </c>
      <c r="B144" s="153"/>
      <c r="C144" s="153"/>
      <c r="D144" s="28"/>
      <c r="E144" s="69"/>
      <c r="F144" s="39">
        <v>0</v>
      </c>
      <c r="G144" s="21"/>
      <c r="H144" s="21"/>
      <c r="I144" s="21"/>
      <c r="J144" s="141"/>
      <c r="K144" s="21"/>
      <c r="L144" s="69"/>
      <c r="M144" s="141"/>
      <c r="N144" s="59"/>
      <c r="O144" s="59"/>
      <c r="P144" s="105"/>
      <c r="Q144" s="105"/>
      <c r="R144" s="105"/>
      <c r="S144" s="105"/>
      <c r="T144" s="105"/>
      <c r="U144" s="90"/>
      <c r="V144" s="90"/>
      <c r="W144" s="90"/>
      <c r="X144" s="90"/>
      <c r="Y144" s="93"/>
      <c r="Z144" s="93"/>
      <c r="AA144" s="93"/>
      <c r="AB144" s="29">
        <v>0</v>
      </c>
      <c r="AC144" s="145">
        <v>0</v>
      </c>
      <c r="AD144" s="145">
        <v>0</v>
      </c>
      <c r="AE144" s="145">
        <v>0</v>
      </c>
      <c r="AF144" s="145">
        <v>0</v>
      </c>
      <c r="AG144" s="145">
        <v>0</v>
      </c>
      <c r="AH144" s="145">
        <v>0</v>
      </c>
      <c r="AI144" s="142">
        <f t="shared" si="9"/>
        <v>0</v>
      </c>
      <c r="AJ144" s="141"/>
      <c r="AK144" s="67"/>
      <c r="AL144" s="67"/>
      <c r="AM144" s="24"/>
      <c r="AN144" s="24"/>
      <c r="AO144" s="24"/>
      <c r="AP144" s="71"/>
      <c r="AQ144" s="69"/>
      <c r="AR144" s="141"/>
      <c r="AS144" s="141"/>
      <c r="AT144" s="141"/>
      <c r="AU144" s="141"/>
      <c r="AV144" s="141"/>
      <c r="AW144" s="141"/>
      <c r="AX144" s="141"/>
      <c r="AY144" s="141"/>
      <c r="AZ144" s="141"/>
      <c r="BA144" s="141"/>
    </row>
    <row r="145" spans="1:53" ht="45" customHeight="1">
      <c r="A145" s="153">
        <f t="shared" si="10"/>
        <v>142</v>
      </c>
      <c r="B145" s="153"/>
      <c r="C145" s="153"/>
      <c r="D145" s="28"/>
      <c r="E145" s="69"/>
      <c r="F145" s="39">
        <v>0</v>
      </c>
      <c r="G145" s="21"/>
      <c r="H145" s="21"/>
      <c r="I145" s="21"/>
      <c r="J145" s="141"/>
      <c r="K145" s="21"/>
      <c r="L145" s="69"/>
      <c r="M145" s="141"/>
      <c r="N145" s="59"/>
      <c r="O145" s="59"/>
      <c r="P145" s="105"/>
      <c r="Q145" s="105"/>
      <c r="R145" s="105"/>
      <c r="S145" s="105"/>
      <c r="T145" s="105"/>
      <c r="U145" s="90"/>
      <c r="V145" s="90"/>
      <c r="W145" s="90"/>
      <c r="X145" s="90"/>
      <c r="Y145" s="93"/>
      <c r="Z145" s="93"/>
      <c r="AA145" s="93"/>
      <c r="AB145" s="29">
        <v>0</v>
      </c>
      <c r="AC145" s="145">
        <v>0</v>
      </c>
      <c r="AD145" s="145">
        <v>0</v>
      </c>
      <c r="AE145" s="145">
        <v>0</v>
      </c>
      <c r="AF145" s="145">
        <v>0</v>
      </c>
      <c r="AG145" s="145">
        <v>0</v>
      </c>
      <c r="AH145" s="145">
        <v>0</v>
      </c>
      <c r="AI145" s="142">
        <f t="shared" si="9"/>
        <v>0</v>
      </c>
      <c r="AJ145" s="141"/>
      <c r="AK145" s="67"/>
      <c r="AL145" s="67"/>
      <c r="AM145" s="24"/>
      <c r="AN145" s="24"/>
      <c r="AO145" s="24"/>
      <c r="AP145" s="71"/>
      <c r="AQ145" s="69"/>
      <c r="AR145" s="141"/>
      <c r="AS145" s="141"/>
      <c r="AT145" s="141"/>
      <c r="AU145" s="141"/>
      <c r="AV145" s="141"/>
      <c r="AW145" s="141"/>
      <c r="AX145" s="141"/>
      <c r="AY145" s="141"/>
      <c r="AZ145" s="141"/>
      <c r="BA145" s="141"/>
    </row>
    <row r="146" spans="1:53" ht="45" customHeight="1">
      <c r="A146" s="153">
        <f t="shared" si="10"/>
        <v>143</v>
      </c>
      <c r="B146" s="153"/>
      <c r="C146" s="153"/>
      <c r="D146" s="28"/>
      <c r="E146" s="69"/>
      <c r="F146" s="39">
        <v>0</v>
      </c>
      <c r="G146" s="21"/>
      <c r="H146" s="21"/>
      <c r="I146" s="21"/>
      <c r="J146" s="141"/>
      <c r="K146" s="21"/>
      <c r="L146" s="69"/>
      <c r="M146" s="141"/>
      <c r="N146" s="59"/>
      <c r="O146" s="59"/>
      <c r="P146" s="105"/>
      <c r="Q146" s="105"/>
      <c r="R146" s="105"/>
      <c r="S146" s="105"/>
      <c r="T146" s="105"/>
      <c r="U146" s="90"/>
      <c r="V146" s="90"/>
      <c r="W146" s="90"/>
      <c r="X146" s="90"/>
      <c r="Y146" s="93"/>
      <c r="Z146" s="93"/>
      <c r="AA146" s="93"/>
      <c r="AB146" s="29">
        <v>0</v>
      </c>
      <c r="AC146" s="145">
        <v>0</v>
      </c>
      <c r="AD146" s="145">
        <v>0</v>
      </c>
      <c r="AE146" s="145">
        <v>0</v>
      </c>
      <c r="AF146" s="145">
        <v>0</v>
      </c>
      <c r="AG146" s="145">
        <v>0</v>
      </c>
      <c r="AH146" s="145">
        <v>0</v>
      </c>
      <c r="AI146" s="142">
        <f t="shared" si="9"/>
        <v>0</v>
      </c>
      <c r="AJ146" s="141"/>
      <c r="AK146" s="67"/>
      <c r="AL146" s="67"/>
      <c r="AM146" s="24"/>
      <c r="AN146" s="24"/>
      <c r="AO146" s="24"/>
      <c r="AP146" s="71"/>
      <c r="AQ146" s="69"/>
      <c r="AR146" s="141"/>
      <c r="AS146" s="141"/>
      <c r="AT146" s="141"/>
      <c r="AU146" s="141"/>
      <c r="AV146" s="141"/>
      <c r="AW146" s="141"/>
      <c r="AX146" s="141"/>
      <c r="AY146" s="141"/>
      <c r="AZ146" s="141"/>
      <c r="BA146" s="141"/>
    </row>
    <row r="147" spans="1:53" ht="45" customHeight="1">
      <c r="A147" s="153">
        <f t="shared" si="10"/>
        <v>144</v>
      </c>
      <c r="B147" s="153"/>
      <c r="C147" s="153"/>
      <c r="D147" s="28"/>
      <c r="E147" s="69"/>
      <c r="F147" s="39">
        <v>0</v>
      </c>
      <c r="G147" s="21"/>
      <c r="H147" s="21"/>
      <c r="I147" s="21"/>
      <c r="J147" s="141"/>
      <c r="K147" s="21"/>
      <c r="L147" s="69"/>
      <c r="M147" s="141"/>
      <c r="N147" s="59">
        <v>0</v>
      </c>
      <c r="O147" s="59"/>
      <c r="P147" s="105"/>
      <c r="Q147" s="105"/>
      <c r="R147" s="105"/>
      <c r="S147" s="105"/>
      <c r="T147" s="105"/>
      <c r="U147" s="90"/>
      <c r="V147" s="90"/>
      <c r="W147" s="90"/>
      <c r="X147" s="90"/>
      <c r="Y147" s="93"/>
      <c r="Z147" s="93"/>
      <c r="AA147" s="93"/>
      <c r="AB147" s="29">
        <v>0</v>
      </c>
      <c r="AC147" s="145">
        <v>0</v>
      </c>
      <c r="AD147" s="145">
        <v>0</v>
      </c>
      <c r="AE147" s="145">
        <v>0</v>
      </c>
      <c r="AF147" s="145">
        <v>0</v>
      </c>
      <c r="AG147" s="145">
        <v>0</v>
      </c>
      <c r="AH147" s="145">
        <v>0</v>
      </c>
      <c r="AI147" s="142">
        <f t="shared" si="9"/>
        <v>0</v>
      </c>
      <c r="AJ147" s="141"/>
      <c r="AK147" s="67"/>
      <c r="AL147" s="67"/>
      <c r="AM147" s="24"/>
      <c r="AN147" s="24"/>
      <c r="AO147" s="24"/>
      <c r="AP147" s="71"/>
      <c r="AQ147" s="69"/>
      <c r="AR147" s="141"/>
      <c r="AS147" s="141"/>
      <c r="AT147" s="141"/>
      <c r="AU147" s="141"/>
      <c r="AV147" s="141"/>
      <c r="AW147" s="141"/>
      <c r="AX147" s="141"/>
      <c r="AY147" s="141"/>
      <c r="AZ147" s="141"/>
      <c r="BA147" s="141"/>
    </row>
    <row r="148" spans="1:53" ht="45" customHeight="1">
      <c r="A148" s="153">
        <f t="shared" si="10"/>
        <v>145</v>
      </c>
      <c r="B148" s="153"/>
      <c r="C148" s="153"/>
      <c r="D148" s="28"/>
      <c r="E148" s="69"/>
      <c r="F148" s="39">
        <v>0</v>
      </c>
      <c r="G148" s="21"/>
      <c r="H148" s="21"/>
      <c r="I148" s="21"/>
      <c r="J148" s="141"/>
      <c r="K148" s="21"/>
      <c r="L148" s="69"/>
      <c r="M148" s="141"/>
      <c r="N148" s="59">
        <v>0.5</v>
      </c>
      <c r="O148" s="59"/>
      <c r="P148" s="105"/>
      <c r="Q148" s="105"/>
      <c r="R148" s="105"/>
      <c r="S148" s="105"/>
      <c r="T148" s="105"/>
      <c r="U148" s="90"/>
      <c r="V148" s="90"/>
      <c r="W148" s="90"/>
      <c r="X148" s="90"/>
      <c r="Y148" s="93"/>
      <c r="Z148" s="93"/>
      <c r="AA148" s="93"/>
      <c r="AB148" s="29">
        <v>0</v>
      </c>
      <c r="AC148" s="145">
        <v>0</v>
      </c>
      <c r="AD148" s="145">
        <v>0</v>
      </c>
      <c r="AE148" s="145">
        <v>0</v>
      </c>
      <c r="AF148" s="145">
        <v>0</v>
      </c>
      <c r="AG148" s="145">
        <v>0</v>
      </c>
      <c r="AH148" s="145">
        <v>0</v>
      </c>
      <c r="AI148" s="142">
        <f t="shared" si="9"/>
        <v>0</v>
      </c>
      <c r="AJ148" s="141"/>
      <c r="AK148" s="67"/>
      <c r="AL148" s="67"/>
      <c r="AM148" s="24"/>
      <c r="AN148" s="24"/>
      <c r="AO148" s="24"/>
      <c r="AP148" s="71"/>
      <c r="AQ148" s="69"/>
      <c r="AR148" s="141"/>
      <c r="AS148" s="141"/>
      <c r="AT148" s="141"/>
      <c r="AU148" s="141"/>
      <c r="AV148" s="141"/>
      <c r="AW148" s="141"/>
      <c r="AX148" s="141"/>
      <c r="AY148" s="141"/>
      <c r="AZ148" s="141"/>
      <c r="BA148" s="141"/>
    </row>
    <row r="149" spans="1:53" ht="45" customHeight="1">
      <c r="A149" s="153">
        <f t="shared" si="10"/>
        <v>146</v>
      </c>
      <c r="B149" s="153"/>
      <c r="C149" s="153"/>
      <c r="D149" s="28"/>
      <c r="E149" s="69"/>
      <c r="F149" s="39">
        <v>0</v>
      </c>
      <c r="G149" s="21"/>
      <c r="H149" s="21"/>
      <c r="I149" s="21"/>
      <c r="J149" s="141"/>
      <c r="K149" s="21"/>
      <c r="L149" s="69"/>
      <c r="M149" s="141"/>
      <c r="N149" s="59">
        <v>1</v>
      </c>
      <c r="O149" s="59"/>
      <c r="P149" s="105"/>
      <c r="Q149" s="105"/>
      <c r="R149" s="105"/>
      <c r="S149" s="105"/>
      <c r="T149" s="105"/>
      <c r="U149" s="90"/>
      <c r="V149" s="90"/>
      <c r="W149" s="90"/>
      <c r="X149" s="90"/>
      <c r="Y149" s="93"/>
      <c r="Z149" s="93"/>
      <c r="AA149" s="93"/>
      <c r="AB149" s="29">
        <v>0</v>
      </c>
      <c r="AC149" s="145">
        <v>0</v>
      </c>
      <c r="AD149" s="145">
        <v>0</v>
      </c>
      <c r="AE149" s="145">
        <v>0</v>
      </c>
      <c r="AF149" s="145">
        <v>0</v>
      </c>
      <c r="AG149" s="145">
        <v>0</v>
      </c>
      <c r="AH149" s="145">
        <v>0</v>
      </c>
      <c r="AI149" s="142">
        <f t="shared" si="9"/>
        <v>0</v>
      </c>
      <c r="AJ149" s="141"/>
      <c r="AK149" s="67"/>
      <c r="AL149" s="67"/>
      <c r="AM149" s="24"/>
      <c r="AN149" s="24"/>
      <c r="AO149" s="24"/>
      <c r="AP149" s="71"/>
      <c r="AQ149" s="69"/>
      <c r="AR149" s="141"/>
      <c r="AS149" s="141"/>
      <c r="AT149" s="141"/>
      <c r="AU149" s="141"/>
      <c r="AV149" s="141"/>
      <c r="AW149" s="141"/>
      <c r="AX149" s="141"/>
      <c r="AY149" s="141"/>
      <c r="AZ149" s="141"/>
      <c r="BA149" s="141"/>
    </row>
    <row r="150" spans="1:53" ht="45" customHeight="1">
      <c r="A150" s="153">
        <f t="shared" si="10"/>
        <v>147</v>
      </c>
      <c r="B150" s="153"/>
      <c r="C150" s="153"/>
      <c r="D150" s="28"/>
      <c r="E150" s="69"/>
      <c r="F150" s="39">
        <v>0</v>
      </c>
      <c r="G150" s="21"/>
      <c r="H150" s="21"/>
      <c r="I150" s="21"/>
      <c r="J150" s="141"/>
      <c r="K150" s="21"/>
      <c r="L150" s="69"/>
      <c r="M150" s="141"/>
      <c r="N150" s="59">
        <v>1.5</v>
      </c>
      <c r="O150" s="59"/>
      <c r="P150" s="105"/>
      <c r="Q150" s="105"/>
      <c r="R150" s="105"/>
      <c r="S150" s="105"/>
      <c r="T150" s="105"/>
      <c r="U150" s="90"/>
      <c r="V150" s="90"/>
      <c r="W150" s="90"/>
      <c r="X150" s="90"/>
      <c r="Y150" s="93"/>
      <c r="Z150" s="93"/>
      <c r="AA150" s="93"/>
      <c r="AB150" s="29">
        <v>0</v>
      </c>
      <c r="AC150" s="145">
        <v>0</v>
      </c>
      <c r="AD150" s="145">
        <v>0</v>
      </c>
      <c r="AE150" s="145">
        <v>0</v>
      </c>
      <c r="AF150" s="145">
        <v>0</v>
      </c>
      <c r="AG150" s="145">
        <v>0</v>
      </c>
      <c r="AH150" s="145">
        <v>0</v>
      </c>
      <c r="AI150" s="142">
        <f t="shared" si="9"/>
        <v>0</v>
      </c>
      <c r="AJ150" s="141"/>
      <c r="AK150" s="67"/>
      <c r="AL150" s="67"/>
      <c r="AM150" s="24"/>
      <c r="AN150" s="24"/>
      <c r="AO150" s="24"/>
      <c r="AP150" s="71"/>
      <c r="AQ150" s="69"/>
      <c r="AR150" s="141"/>
      <c r="AS150" s="141"/>
      <c r="AT150" s="141"/>
      <c r="AU150" s="141"/>
      <c r="AV150" s="141"/>
      <c r="AW150" s="141"/>
      <c r="AX150" s="141"/>
      <c r="AY150" s="141"/>
      <c r="AZ150" s="141"/>
      <c r="BA150" s="141"/>
    </row>
    <row r="151" spans="1:53" ht="45" customHeight="1">
      <c r="A151" s="153">
        <f t="shared" si="10"/>
        <v>148</v>
      </c>
      <c r="B151" s="153"/>
      <c r="C151" s="153"/>
      <c r="D151" s="28"/>
      <c r="E151" s="69"/>
      <c r="F151" s="39">
        <v>0</v>
      </c>
      <c r="G151" s="21"/>
      <c r="H151" s="21"/>
      <c r="I151" s="21"/>
      <c r="J151" s="141"/>
      <c r="K151" s="21"/>
      <c r="L151" s="69"/>
      <c r="M151" s="141"/>
      <c r="N151" s="59">
        <v>2</v>
      </c>
      <c r="O151" s="59"/>
      <c r="P151" s="105"/>
      <c r="Q151" s="105"/>
      <c r="R151" s="105"/>
      <c r="S151" s="105"/>
      <c r="T151" s="105"/>
      <c r="U151" s="90"/>
      <c r="V151" s="90"/>
      <c r="W151" s="90"/>
      <c r="X151" s="90"/>
      <c r="Y151" s="93"/>
      <c r="Z151" s="93"/>
      <c r="AA151" s="93"/>
      <c r="AB151" s="29">
        <v>0</v>
      </c>
      <c r="AC151" s="145">
        <v>0</v>
      </c>
      <c r="AD151" s="145">
        <v>0</v>
      </c>
      <c r="AE151" s="145">
        <v>0</v>
      </c>
      <c r="AF151" s="145">
        <v>0</v>
      </c>
      <c r="AG151" s="145">
        <v>0</v>
      </c>
      <c r="AH151" s="145">
        <v>0</v>
      </c>
      <c r="AI151" s="142">
        <f t="shared" ref="AI151:AI182" si="11">AVERAGE(AB151:AH151)</f>
        <v>0</v>
      </c>
      <c r="AJ151" s="141"/>
      <c r="AK151" s="67"/>
      <c r="AL151" s="67"/>
      <c r="AM151" s="24"/>
      <c r="AN151" s="24"/>
      <c r="AO151" s="24"/>
      <c r="AP151" s="71"/>
      <c r="AQ151" s="69"/>
      <c r="AR151" s="141"/>
      <c r="AS151" s="141"/>
      <c r="AT151" s="141"/>
      <c r="AU151" s="141"/>
      <c r="AV151" s="141"/>
      <c r="AW151" s="141"/>
      <c r="AX151" s="141"/>
      <c r="AY151" s="141"/>
      <c r="AZ151" s="141"/>
      <c r="BA151" s="141"/>
    </row>
    <row r="152" spans="1:53" ht="45" customHeight="1">
      <c r="A152" s="153">
        <f t="shared" si="10"/>
        <v>149</v>
      </c>
      <c r="B152" s="153"/>
      <c r="C152" s="153"/>
      <c r="D152" s="28"/>
      <c r="E152" s="69"/>
      <c r="F152" s="39">
        <v>0</v>
      </c>
      <c r="G152" s="21"/>
      <c r="H152" s="21"/>
      <c r="I152" s="21"/>
      <c r="J152" s="141"/>
      <c r="K152" s="21"/>
      <c r="L152" s="69"/>
      <c r="M152" s="141"/>
      <c r="N152" s="59">
        <v>2.5</v>
      </c>
      <c r="O152" s="59"/>
      <c r="P152" s="105"/>
      <c r="Q152" s="105"/>
      <c r="R152" s="105"/>
      <c r="S152" s="105"/>
      <c r="T152" s="105"/>
      <c r="U152" s="90"/>
      <c r="V152" s="90"/>
      <c r="W152" s="90"/>
      <c r="X152" s="90"/>
      <c r="Y152" s="93"/>
      <c r="Z152" s="93"/>
      <c r="AA152" s="93"/>
      <c r="AB152" s="29">
        <v>0</v>
      </c>
      <c r="AC152" s="145">
        <v>0</v>
      </c>
      <c r="AD152" s="145">
        <v>0</v>
      </c>
      <c r="AE152" s="145">
        <v>0</v>
      </c>
      <c r="AF152" s="145">
        <v>0</v>
      </c>
      <c r="AG152" s="145">
        <v>0</v>
      </c>
      <c r="AH152" s="145">
        <v>0</v>
      </c>
      <c r="AI152" s="142">
        <f t="shared" si="11"/>
        <v>0</v>
      </c>
      <c r="AJ152" s="141"/>
      <c r="AK152" s="67"/>
      <c r="AL152" s="67"/>
      <c r="AM152" s="24"/>
      <c r="AN152" s="24"/>
      <c r="AO152" s="24"/>
      <c r="AP152" s="71"/>
      <c r="AQ152" s="69"/>
      <c r="AR152" s="141"/>
      <c r="AS152" s="141"/>
      <c r="AT152" s="141"/>
      <c r="AU152" s="141"/>
      <c r="AV152" s="141"/>
      <c r="AW152" s="141"/>
      <c r="AX152" s="141"/>
      <c r="AY152" s="141"/>
      <c r="AZ152" s="141"/>
      <c r="BA152" s="141"/>
    </row>
    <row r="153" spans="1:53" ht="45" customHeight="1">
      <c r="A153" s="153">
        <f t="shared" si="10"/>
        <v>150</v>
      </c>
      <c r="B153" s="153"/>
      <c r="C153" s="153"/>
      <c r="D153" s="28"/>
      <c r="E153" s="69"/>
      <c r="F153" s="39">
        <v>0</v>
      </c>
      <c r="G153" s="25"/>
      <c r="H153" s="25"/>
      <c r="I153" s="25"/>
      <c r="J153" s="154"/>
      <c r="K153" s="25"/>
      <c r="L153" s="69"/>
      <c r="M153" s="141"/>
      <c r="N153" s="59">
        <v>3</v>
      </c>
      <c r="O153" s="59"/>
      <c r="P153" s="105"/>
      <c r="Q153" s="105"/>
      <c r="R153" s="105"/>
      <c r="S153" s="105"/>
      <c r="T153" s="105"/>
      <c r="U153" s="90"/>
      <c r="V153" s="90"/>
      <c r="W153" s="90"/>
      <c r="X153" s="90"/>
      <c r="Y153" s="93"/>
      <c r="Z153" s="94"/>
      <c r="AA153" s="94"/>
      <c r="AB153" s="29">
        <v>0</v>
      </c>
      <c r="AC153" s="145">
        <v>0</v>
      </c>
      <c r="AD153" s="145">
        <v>0</v>
      </c>
      <c r="AE153" s="145">
        <v>0</v>
      </c>
      <c r="AF153" s="145">
        <v>0</v>
      </c>
      <c r="AG153" s="145">
        <v>0</v>
      </c>
      <c r="AH153" s="145">
        <v>0</v>
      </c>
      <c r="AI153" s="142">
        <f t="shared" si="11"/>
        <v>0</v>
      </c>
      <c r="AJ153" s="141"/>
      <c r="AK153" s="67"/>
      <c r="AL153" s="67"/>
      <c r="AM153" s="24"/>
      <c r="AN153" s="24"/>
      <c r="AO153" s="24"/>
      <c r="AP153" s="71"/>
      <c r="AQ153" s="69"/>
      <c r="AR153" s="141"/>
      <c r="AS153" s="141"/>
      <c r="AT153" s="141"/>
      <c r="AU153" s="141"/>
      <c r="AV153" s="141"/>
      <c r="AW153" s="141"/>
      <c r="AX153" s="141"/>
      <c r="AY153" s="141"/>
      <c r="AZ153" s="141"/>
      <c r="BA153" s="141"/>
    </row>
    <row r="154" spans="1:53" ht="45" customHeight="1">
      <c r="A154" s="153">
        <f t="shared" si="10"/>
        <v>151</v>
      </c>
      <c r="B154" s="153"/>
      <c r="C154" s="153"/>
      <c r="D154" s="28"/>
      <c r="E154" s="69"/>
      <c r="F154" s="39">
        <v>0</v>
      </c>
      <c r="G154" s="21"/>
      <c r="H154" s="21"/>
      <c r="I154" s="21"/>
      <c r="J154" s="141"/>
      <c r="K154" s="21"/>
      <c r="L154" s="69"/>
      <c r="M154" s="141"/>
      <c r="N154" s="59">
        <v>3.5</v>
      </c>
      <c r="O154" s="59"/>
      <c r="P154" s="105"/>
      <c r="Q154" s="105"/>
      <c r="R154" s="105"/>
      <c r="S154" s="105"/>
      <c r="T154" s="105"/>
      <c r="U154" s="90"/>
      <c r="V154" s="90"/>
      <c r="W154" s="90"/>
      <c r="X154" s="90"/>
      <c r="Y154" s="93"/>
      <c r="Z154" s="96"/>
      <c r="AA154" s="96"/>
      <c r="AB154" s="29">
        <v>0</v>
      </c>
      <c r="AC154" s="145">
        <v>0</v>
      </c>
      <c r="AD154" s="145">
        <v>0</v>
      </c>
      <c r="AE154" s="145">
        <v>0</v>
      </c>
      <c r="AF154" s="145">
        <v>0</v>
      </c>
      <c r="AG154" s="145">
        <v>0</v>
      </c>
      <c r="AH154" s="145">
        <v>0</v>
      </c>
      <c r="AI154" s="142">
        <f t="shared" si="11"/>
        <v>0</v>
      </c>
      <c r="AJ154" s="141"/>
      <c r="AK154" s="67"/>
      <c r="AL154" s="67"/>
      <c r="AM154" s="24"/>
      <c r="AN154" s="24"/>
      <c r="AO154" s="24"/>
      <c r="AP154" s="71"/>
      <c r="AQ154" s="69"/>
      <c r="AR154" s="141"/>
      <c r="AS154" s="141"/>
      <c r="AT154" s="141"/>
      <c r="AU154" s="141"/>
      <c r="AV154" s="141"/>
      <c r="AW154" s="141"/>
      <c r="AX154" s="141"/>
      <c r="AY154" s="141"/>
      <c r="AZ154" s="141"/>
      <c r="BA154" s="141"/>
    </row>
    <row r="155" spans="1:53" ht="45" customHeight="1">
      <c r="A155" s="153">
        <f t="shared" si="10"/>
        <v>152</v>
      </c>
      <c r="B155" s="153"/>
      <c r="C155" s="153"/>
      <c r="D155" s="28"/>
      <c r="E155" s="69"/>
      <c r="F155" s="39">
        <v>0</v>
      </c>
      <c r="G155" s="21"/>
      <c r="H155" s="21"/>
      <c r="I155" s="21"/>
      <c r="J155" s="141"/>
      <c r="K155" s="21"/>
      <c r="L155" s="69"/>
      <c r="M155" s="141"/>
      <c r="N155" s="59">
        <v>4</v>
      </c>
      <c r="O155" s="59"/>
      <c r="P155" s="105"/>
      <c r="Q155" s="105"/>
      <c r="R155" s="105"/>
      <c r="S155" s="105"/>
      <c r="T155" s="105"/>
      <c r="U155" s="90"/>
      <c r="V155" s="90"/>
      <c r="W155" s="90"/>
      <c r="X155" s="90"/>
      <c r="Y155" s="93"/>
      <c r="Z155" s="96"/>
      <c r="AA155" s="96"/>
      <c r="AB155" s="29">
        <v>0</v>
      </c>
      <c r="AC155" s="145">
        <v>0</v>
      </c>
      <c r="AD155" s="145">
        <v>0</v>
      </c>
      <c r="AE155" s="145">
        <v>0</v>
      </c>
      <c r="AF155" s="145">
        <v>0</v>
      </c>
      <c r="AG155" s="145">
        <v>0</v>
      </c>
      <c r="AH155" s="145">
        <v>0</v>
      </c>
      <c r="AI155" s="142">
        <f t="shared" si="11"/>
        <v>0</v>
      </c>
      <c r="AJ155" s="141"/>
      <c r="AK155" s="67"/>
      <c r="AL155" s="67"/>
      <c r="AM155" s="24"/>
      <c r="AN155" s="24"/>
      <c r="AO155" s="24"/>
      <c r="AP155" s="71"/>
      <c r="AQ155" s="69"/>
      <c r="AR155" s="141"/>
      <c r="AS155" s="141"/>
      <c r="AT155" s="141"/>
      <c r="AU155" s="141"/>
      <c r="AV155" s="141"/>
      <c r="AW155" s="141"/>
      <c r="AX155" s="141"/>
      <c r="AY155" s="141"/>
      <c r="AZ155" s="141"/>
      <c r="BA155" s="141"/>
    </row>
    <row r="156" spans="1:53" ht="45" customHeight="1">
      <c r="A156" s="153">
        <f t="shared" si="10"/>
        <v>153</v>
      </c>
      <c r="B156" s="153"/>
      <c r="C156" s="28"/>
      <c r="D156" s="28"/>
      <c r="E156" s="69"/>
      <c r="F156" s="39">
        <v>0</v>
      </c>
      <c r="G156" s="21"/>
      <c r="H156" s="21"/>
      <c r="I156" s="21"/>
      <c r="J156" s="141"/>
      <c r="K156" s="21"/>
      <c r="L156" s="69"/>
      <c r="M156" s="141"/>
      <c r="N156" s="59">
        <v>4.5</v>
      </c>
      <c r="O156" s="59"/>
      <c r="P156" s="105"/>
      <c r="Q156" s="105"/>
      <c r="R156" s="105"/>
      <c r="S156" s="105"/>
      <c r="T156" s="105"/>
      <c r="U156" s="92"/>
      <c r="V156" s="90"/>
      <c r="W156" s="90"/>
      <c r="X156" s="90"/>
      <c r="Y156" s="93"/>
      <c r="Z156" s="96"/>
      <c r="AA156" s="96"/>
      <c r="AB156" s="29">
        <v>0</v>
      </c>
      <c r="AC156" s="145">
        <v>0</v>
      </c>
      <c r="AD156" s="145">
        <v>0</v>
      </c>
      <c r="AE156" s="145">
        <v>0</v>
      </c>
      <c r="AF156" s="145">
        <v>0</v>
      </c>
      <c r="AG156" s="145">
        <v>0</v>
      </c>
      <c r="AH156" s="145">
        <v>0</v>
      </c>
      <c r="AI156" s="142">
        <f t="shared" si="11"/>
        <v>0</v>
      </c>
      <c r="AJ156" s="141"/>
      <c r="AK156" s="67"/>
      <c r="AL156" s="67"/>
      <c r="AM156" s="24"/>
      <c r="AN156" s="24"/>
      <c r="AO156" s="24"/>
      <c r="AP156" s="71"/>
      <c r="AQ156" s="69"/>
      <c r="AR156" s="141"/>
      <c r="AS156" s="141"/>
      <c r="AT156" s="141"/>
      <c r="AU156" s="141"/>
      <c r="AV156" s="141"/>
      <c r="AW156" s="141"/>
      <c r="AX156" s="141"/>
      <c r="AY156" s="141"/>
      <c r="AZ156" s="141"/>
      <c r="BA156" s="141"/>
    </row>
    <row r="157" spans="1:53" ht="45" customHeight="1">
      <c r="A157" s="153">
        <f t="shared" si="10"/>
        <v>154</v>
      </c>
      <c r="B157" s="153"/>
      <c r="C157" s="140"/>
      <c r="D157" s="140"/>
      <c r="E157" s="69"/>
      <c r="F157" s="70">
        <v>0</v>
      </c>
      <c r="G157" s="21"/>
      <c r="H157" s="21"/>
      <c r="I157" s="21"/>
      <c r="J157" s="141"/>
      <c r="K157" s="21"/>
      <c r="L157" s="69"/>
      <c r="M157" s="141"/>
      <c r="N157" s="59">
        <v>5</v>
      </c>
      <c r="O157" s="59"/>
      <c r="P157" s="105"/>
      <c r="Q157" s="105"/>
      <c r="R157" s="105"/>
      <c r="S157" s="105"/>
      <c r="T157" s="105"/>
      <c r="U157" s="90"/>
      <c r="V157" s="91"/>
      <c r="W157" s="91"/>
      <c r="X157" s="91"/>
      <c r="Y157" s="93"/>
      <c r="Z157" s="96"/>
      <c r="AA157" s="96"/>
      <c r="AB157" s="29">
        <v>0</v>
      </c>
      <c r="AC157" s="145">
        <v>0</v>
      </c>
      <c r="AD157" s="145">
        <v>0</v>
      </c>
      <c r="AE157" s="145">
        <v>0</v>
      </c>
      <c r="AF157" s="145">
        <v>0</v>
      </c>
      <c r="AG157" s="145">
        <v>0</v>
      </c>
      <c r="AH157" s="145">
        <v>0</v>
      </c>
      <c r="AI157" s="142">
        <f t="shared" si="11"/>
        <v>0</v>
      </c>
      <c r="AJ157" s="141"/>
      <c r="AK157" s="67"/>
      <c r="AL157" s="67"/>
      <c r="AM157" s="24"/>
      <c r="AN157" s="24"/>
      <c r="AO157" s="24"/>
      <c r="AP157" s="71"/>
      <c r="AQ157" s="69"/>
      <c r="AR157" s="141"/>
      <c r="AS157" s="141"/>
      <c r="AT157" s="141"/>
      <c r="AU157" s="141"/>
      <c r="AV157" s="141"/>
      <c r="AW157" s="141"/>
      <c r="AX157" s="141"/>
      <c r="AY157" s="141"/>
      <c r="AZ157" s="141"/>
      <c r="BA157" s="141"/>
    </row>
  </sheetData>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19" priority="3" operator="containsText" text="NON DÉFINI">
      <formula>NOT(ISERROR(SEARCH("NON DÉFINI",P4)))</formula>
    </cfRule>
    <cfRule type="containsText" dxfId="18" priority="4" operator="containsText" text="EXCELLENT">
      <formula>NOT(ISERROR(SEARCH("EXCELLENT",P4)))</formula>
    </cfRule>
    <cfRule type="containsText" dxfId="17" priority="5" operator="containsText" text="BON">
      <formula>NOT(ISERROR(SEARCH("BON",P4)))</formula>
    </cfRule>
    <cfRule type="containsText" dxfId="16" priority="6" operator="containsText" text="WARNING !">
      <formula>NOT(ISERROR(SEARCH("WARNING !",P4)))</formula>
    </cfRule>
    <cfRule type="containsText" dxfId="15" priority="7" operator="containsText" text="A AMÉLIORER">
      <formula>NOT(ISERROR(SEARCH("A AMÉLIORER",P4)))</formula>
    </cfRule>
  </conditionalFormatting>
  <conditionalFormatting sqref="U4:X157">
    <cfRule type="cellIs" dxfId="14" priority="1" operator="greaterThan">
      <formula>TODAY()+8</formula>
    </cfRule>
    <cfRule type="containsBlanks" dxfId="13" priority="2">
      <formula>LEN(TRIM(U4))=0</formula>
    </cfRule>
    <cfRule type="cellIs" dxfId="12" priority="9" operator="between">
      <formula>TODAY()</formula>
      <formula>TODAY()+7</formula>
    </cfRule>
    <cfRule type="cellIs" dxfId="11" priority="10" operator="greaterThanOrEqual">
      <formula>TODAY()+30</formula>
    </cfRule>
  </conditionalFormatting>
  <conditionalFormatting sqref="V4:X157">
    <cfRule type="cellIs" dxfId="1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8D5F3987-70EC-4874-A9AE-D13B4CA0E69C}"/>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13496684-D1D5-42FD-B39F-9983514DB5C6}">
          <x14:formula1>
            <xm:f>'Guide suivi GDP '!$E$9:$E$13</xm:f>
          </x14:formula1>
          <xm:sqref>P4:Q152</xm:sqref>
        </x14:dataValidation>
        <x14:dataValidation type="list" allowBlank="1" showInputMessage="1" showErrorMessage="1" xr:uid="{53684853-5887-4A79-B1F0-5F13F3EA3C51}">
          <x14:formula1>
            <xm:f>'Guide suivi GDP '!$E$3:$E$8</xm:f>
          </x14:formula1>
          <xm:sqref>J4:J157</xm:sqref>
        </x14:dataValidation>
        <x14:dataValidation type="list" allowBlank="1" showInputMessage="1" showErrorMessage="1" xr:uid="{90445D5A-27C1-4A6B-9351-2136ABFDBC4D}">
          <x14:formula1>
            <xm:f>'Guide suivi GDP '!$E$20:$E$24</xm:f>
          </x14:formula1>
          <xm:sqref>K4:K157</xm:sqref>
        </x14:dataValidation>
        <x14:dataValidation type="list" showInputMessage="1" showErrorMessage="1" xr:uid="{A46129FE-10A8-40D6-A23E-4A720A881F5E}">
          <x14:formula1>
            <xm:f>'Guide suivi GDP '!$E$31:$E$33</xm:f>
          </x14:formula1>
          <xm:sqref>B4:B157</xm:sqref>
        </x14:dataValidation>
        <x14:dataValidation type="list" showInputMessage="1" showErrorMessage="1" xr:uid="{28A7AAE2-DBA2-4A3A-AADA-39A071C9CB8F}">
          <x14:formula1>
            <xm:f>'Guide suivi GDP '!$E$34:$E$36</xm:f>
          </x14:formula1>
          <xm:sqref>C4:C157</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8F01-0735-4710-ADD2-A64D37C201D6}">
  <sheetPr>
    <tabColor rgb="FFFF0000"/>
  </sheetPr>
  <dimension ref="A1:BA157"/>
  <sheetViews>
    <sheetView tabSelected="1" workbookViewId="0">
      <pane xSplit="4" ySplit="3" topLeftCell="E4" activePane="bottomRight" state="frozen"/>
      <selection pane="topRight"/>
      <selection pane="bottomLeft"/>
      <selection pane="bottomRight" activeCell="A5" sqref="A5"/>
    </sheetView>
  </sheetViews>
  <sheetFormatPr baseColWidth="10" defaultColWidth="9.140625" defaultRowHeight="12.75" outlineLevelCol="1"/>
  <cols>
    <col min="1" max="1" width="40.42578125" style="13" customWidth="1"/>
    <col min="2" max="2" width="9.140625" style="13" customWidth="1"/>
    <col min="3" max="3" width="11.42578125" style="13" customWidth="1"/>
    <col min="4" max="4" width="20.5703125" style="26" customWidth="1"/>
    <col min="5" max="5" width="33.42578125" style="26" customWidth="1"/>
    <col min="6" max="6" width="10.140625" style="26" customWidth="1"/>
    <col min="7" max="9" width="12.28515625" style="5" customWidth="1" outlineLevel="1"/>
    <col min="10" max="10" width="11.7109375" style="5" customWidth="1" outlineLevel="1"/>
    <col min="11" max="11" width="17.42578125" style="5" customWidth="1" outlineLevel="1"/>
    <col min="12" max="12" width="16.7109375" style="26" customWidth="1"/>
    <col min="13" max="13" width="12.28515625" style="26" customWidth="1"/>
    <col min="14" max="15" width="9.140625" style="26" customWidth="1"/>
    <col min="16" max="16" width="12.28515625" style="26" bestFit="1" customWidth="1"/>
    <col min="17" max="17" width="11.42578125" style="26" customWidth="1"/>
    <col min="18" max="18" width="9.140625" style="26" customWidth="1"/>
    <col min="19" max="19" width="10.85546875" style="26" customWidth="1"/>
    <col min="20" max="20" width="11.5703125" style="26" customWidth="1"/>
    <col min="21" max="21" width="13.5703125" style="26" customWidth="1"/>
    <col min="22" max="24" width="14.85546875" style="26" customWidth="1"/>
    <col min="25" max="25" width="37.42578125" style="98" customWidth="1"/>
    <col min="26" max="26" width="50.140625" style="98" customWidth="1"/>
    <col min="27" max="27" width="39.28515625" style="98" customWidth="1"/>
    <col min="28" max="28" width="20" style="26" customWidth="1" outlineLevel="1" collapsed="1"/>
    <col min="29" max="29" width="17.7109375" style="26" customWidth="1" outlineLevel="1"/>
    <col min="30" max="30" width="13.28515625" style="26" customWidth="1" outlineLevel="1"/>
    <col min="31" max="31" width="11.140625" style="26" customWidth="1" outlineLevel="1"/>
    <col min="32" max="32" width="11.7109375" style="26" customWidth="1" outlineLevel="1"/>
    <col min="33" max="33" width="12.28515625" style="26" customWidth="1" outlineLevel="1"/>
    <col min="34" max="34" width="31.85546875" style="26" customWidth="1" outlineLevel="1"/>
    <col min="35" max="35" width="9.42578125" style="13" customWidth="1"/>
    <col min="36" max="36" width="28.5703125" style="13" hidden="1" customWidth="1" outlineLevel="1"/>
    <col min="37" max="37" width="21.42578125" style="13" hidden="1" customWidth="1" outlineLevel="1"/>
    <col min="38" max="38" width="26.85546875" style="13" hidden="1" customWidth="1" outlineLevel="1"/>
    <col min="39" max="40" width="30" style="26" hidden="1" customWidth="1" outlineLevel="1"/>
    <col min="41" max="41" width="33.5703125" style="13" hidden="1" customWidth="1" outlineLevel="1"/>
    <col min="42" max="42" width="2" style="13" customWidth="1" collapsed="1"/>
    <col min="43" max="43" width="44.28515625" style="26" customWidth="1"/>
    <col min="44" max="44" width="10.85546875" style="74" customWidth="1" outlineLevel="1"/>
    <col min="45" max="45" width="13.85546875" style="13" customWidth="1" outlineLevel="1"/>
    <col min="46" max="46" width="9.85546875" style="13" customWidth="1" outlineLevel="1"/>
    <col min="47" max="47" width="8.7109375" style="13" customWidth="1" outlineLevel="1"/>
    <col min="48" max="48" width="23.28515625" style="13" customWidth="1" outlineLevel="1"/>
    <col min="49" max="49" width="9.5703125" style="13" customWidth="1" outlineLevel="1"/>
    <col min="50" max="50" width="9.28515625" style="13" customWidth="1" outlineLevel="1"/>
    <col min="51" max="53" width="9.140625" style="13" customWidth="1" outlineLevel="1"/>
    <col min="54" max="54" width="9.140625" style="13" customWidth="1"/>
    <col min="55" max="16384" width="9.140625" style="13"/>
  </cols>
  <sheetData>
    <row r="1" spans="1:53" s="78" customFormat="1" ht="94.5">
      <c r="B1" s="88" t="s">
        <v>1177</v>
      </c>
      <c r="C1" s="99"/>
      <c r="D1" s="88" t="s">
        <v>718</v>
      </c>
      <c r="E1" s="210" t="s">
        <v>720</v>
      </c>
      <c r="F1" s="211"/>
      <c r="G1" s="211"/>
      <c r="H1" s="211"/>
      <c r="I1" s="211"/>
      <c r="J1" s="211"/>
      <c r="K1" s="211"/>
      <c r="L1" s="211"/>
      <c r="M1" s="211"/>
      <c r="N1" s="82" t="s">
        <v>870</v>
      </c>
      <c r="O1" s="82" t="s">
        <v>870</v>
      </c>
      <c r="P1" s="112" t="s">
        <v>871</v>
      </c>
      <c r="Q1" s="112" t="s">
        <v>872</v>
      </c>
      <c r="R1" s="82"/>
      <c r="S1" s="82"/>
      <c r="T1" s="82"/>
      <c r="U1" s="204" t="s">
        <v>719</v>
      </c>
      <c r="V1" s="204"/>
      <c r="W1" s="204"/>
      <c r="X1" s="204"/>
      <c r="Y1" s="204"/>
      <c r="Z1" s="204"/>
      <c r="AA1" s="205"/>
      <c r="AB1" s="79" t="s">
        <v>721</v>
      </c>
      <c r="AC1" s="80"/>
      <c r="AD1" s="80"/>
      <c r="AE1" s="80"/>
      <c r="AF1" s="80"/>
      <c r="AG1" s="80"/>
      <c r="AH1" s="80"/>
      <c r="AI1" s="80"/>
      <c r="AJ1" s="77" t="s">
        <v>721</v>
      </c>
      <c r="AK1" s="81"/>
      <c r="AL1" s="81"/>
      <c r="AM1" s="81"/>
      <c r="AN1" s="81"/>
      <c r="AO1" s="81"/>
      <c r="AQ1" s="207" t="s">
        <v>722</v>
      </c>
      <c r="AR1" s="207"/>
      <c r="AS1" s="207"/>
      <c r="AT1" s="207"/>
      <c r="AU1" s="207"/>
      <c r="AV1" s="208"/>
      <c r="AW1" s="206" t="s">
        <v>723</v>
      </c>
      <c r="AX1" s="206"/>
      <c r="AY1" s="206"/>
      <c r="AZ1" s="206"/>
      <c r="BA1" s="206"/>
    </row>
    <row r="2" spans="1:53" s="78" customFormat="1" ht="18">
      <c r="A2" s="82"/>
      <c r="B2" s="82"/>
      <c r="C2" s="82"/>
      <c r="D2" s="87">
        <f>SUBTOTAL(3,D4:D157)</f>
        <v>51</v>
      </c>
      <c r="E2" s="212"/>
      <c r="F2" s="213"/>
      <c r="G2" s="213"/>
      <c r="H2" s="213"/>
      <c r="I2" s="213"/>
      <c r="J2" s="213"/>
      <c r="K2" s="213"/>
      <c r="L2" s="213"/>
      <c r="M2" s="213"/>
      <c r="N2" s="109">
        <f>SUBTOTAL(1,N4:N146)</f>
        <v>3.0151515151515151</v>
      </c>
      <c r="O2" s="109">
        <f>SUBTOTAL(1,O4:O146)</f>
        <v>3.3484848484848486</v>
      </c>
      <c r="P2" s="128"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42.857142857142861</v>
      </c>
      <c r="Q2" s="128"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-6.8181818181818201</v>
      </c>
      <c r="R2" s="104"/>
      <c r="S2" s="104"/>
      <c r="T2" s="104"/>
      <c r="U2" s="214"/>
      <c r="V2" s="204"/>
      <c r="W2" s="204"/>
      <c r="X2" s="204"/>
      <c r="Y2" s="204"/>
      <c r="Z2" s="204"/>
      <c r="AA2" s="205"/>
      <c r="AB2" s="156" t="s">
        <v>68</v>
      </c>
      <c r="AC2" s="156" t="s">
        <v>69</v>
      </c>
      <c r="AD2" s="209" t="s">
        <v>71</v>
      </c>
      <c r="AE2" s="209"/>
      <c r="AF2" s="209" t="s">
        <v>76</v>
      </c>
      <c r="AG2" s="209"/>
      <c r="AH2" s="209"/>
      <c r="AI2" s="84">
        <f>SUBTOTAL(1,AI4:AI34)</f>
        <v>0</v>
      </c>
      <c r="AJ2" s="81"/>
      <c r="AK2" s="81"/>
      <c r="AL2" s="81"/>
      <c r="AM2" s="81"/>
      <c r="AN2" s="81"/>
      <c r="AO2" s="81"/>
      <c r="AQ2" s="85"/>
      <c r="AR2" s="76">
        <f t="shared" ref="AR2" si="0">SUBTOTAL(9,AR4:AR499)</f>
        <v>245</v>
      </c>
      <c r="AS2" s="75"/>
      <c r="AT2" s="76">
        <f>SUBTOTAL(9,AT4:AT499)</f>
        <v>570</v>
      </c>
      <c r="AU2" s="76">
        <f>SUBTOTAL(9,AU4:AU499)</f>
        <v>1670</v>
      </c>
      <c r="AV2" s="75"/>
      <c r="AW2" s="89">
        <f>SUBTOTAL(3,AW4:AW499)</f>
        <v>30</v>
      </c>
      <c r="AX2" s="89">
        <f t="shared" ref="AX2:BA2" si="1">SUBTOTAL(3,AX4:AX499)</f>
        <v>37</v>
      </c>
      <c r="AY2" s="89">
        <f t="shared" si="1"/>
        <v>12</v>
      </c>
      <c r="AZ2" s="89">
        <f t="shared" si="1"/>
        <v>8</v>
      </c>
      <c r="BA2" s="89">
        <f t="shared" si="1"/>
        <v>20</v>
      </c>
    </row>
    <row r="3" spans="1:53" ht="63.75">
      <c r="A3" s="72" t="s">
        <v>1239</v>
      </c>
      <c r="B3" s="72" t="s">
        <v>873</v>
      </c>
      <c r="C3" s="72" t="s">
        <v>598</v>
      </c>
      <c r="D3" s="72" t="s">
        <v>1081</v>
      </c>
      <c r="E3" s="73" t="s">
        <v>730</v>
      </c>
      <c r="F3" s="136" t="s">
        <v>229</v>
      </c>
      <c r="G3" s="73" t="s">
        <v>86</v>
      </c>
      <c r="H3" s="73" t="s">
        <v>731</v>
      </c>
      <c r="I3" s="73" t="s">
        <v>874</v>
      </c>
      <c r="J3" s="133" t="s">
        <v>732</v>
      </c>
      <c r="K3" s="133" t="s">
        <v>88</v>
      </c>
      <c r="L3" s="73" t="s">
        <v>729</v>
      </c>
      <c r="M3" s="73" t="s">
        <v>734</v>
      </c>
      <c r="N3" s="107" t="s">
        <v>726</v>
      </c>
      <c r="O3" s="107" t="s">
        <v>727</v>
      </c>
      <c r="P3" s="107" t="s">
        <v>600</v>
      </c>
      <c r="Q3" s="131" t="s">
        <v>875</v>
      </c>
      <c r="R3" s="107" t="s">
        <v>876</v>
      </c>
      <c r="S3" s="97" t="s">
        <v>975</v>
      </c>
      <c r="T3" s="131" t="s">
        <v>976</v>
      </c>
      <c r="U3" s="107" t="s">
        <v>728</v>
      </c>
      <c r="V3" s="72" t="s">
        <v>601</v>
      </c>
      <c r="W3" s="132" t="s">
        <v>1045</v>
      </c>
      <c r="X3" s="132" t="s">
        <v>1178</v>
      </c>
      <c r="Y3" s="97" t="s">
        <v>602</v>
      </c>
      <c r="Z3" s="97" t="s">
        <v>603</v>
      </c>
      <c r="AA3" s="97" t="s">
        <v>604</v>
      </c>
      <c r="AB3" s="73" t="s">
        <v>90</v>
      </c>
      <c r="AC3" s="73" t="s">
        <v>91</v>
      </c>
      <c r="AD3" s="73" t="s">
        <v>92</v>
      </c>
      <c r="AE3" s="73" t="s">
        <v>93</v>
      </c>
      <c r="AF3" s="73" t="s">
        <v>94</v>
      </c>
      <c r="AG3" s="73" t="s">
        <v>95</v>
      </c>
      <c r="AH3" s="73" t="s">
        <v>96</v>
      </c>
      <c r="AI3" s="73" t="s">
        <v>80</v>
      </c>
      <c r="AJ3" s="72" t="s">
        <v>735</v>
      </c>
      <c r="AK3" s="72" t="s">
        <v>736</v>
      </c>
      <c r="AL3" s="72" t="s">
        <v>737</v>
      </c>
      <c r="AM3" s="72" t="s">
        <v>738</v>
      </c>
      <c r="AN3" s="72" t="s">
        <v>739</v>
      </c>
      <c r="AO3" s="72" t="s">
        <v>740</v>
      </c>
      <c r="AP3" s="72"/>
      <c r="AQ3" s="72" t="s">
        <v>741</v>
      </c>
      <c r="AR3" s="102" t="s">
        <v>742</v>
      </c>
      <c r="AS3" s="72" t="s">
        <v>743</v>
      </c>
      <c r="AT3" s="103" t="s">
        <v>744</v>
      </c>
      <c r="AU3" s="103" t="s">
        <v>745</v>
      </c>
      <c r="AV3" s="72" t="s">
        <v>746</v>
      </c>
      <c r="AW3" s="102" t="s">
        <v>85</v>
      </c>
      <c r="AX3" s="102" t="s">
        <v>747</v>
      </c>
      <c r="AY3" s="102" t="s">
        <v>748</v>
      </c>
      <c r="AZ3" s="102" t="s">
        <v>749</v>
      </c>
      <c r="BA3" s="102" t="s">
        <v>750</v>
      </c>
    </row>
    <row r="4" spans="1:53" ht="45" customHeight="1">
      <c r="A4" s="153">
        <v>1</v>
      </c>
      <c r="B4" s="153" t="s">
        <v>58</v>
      </c>
      <c r="C4" s="153" t="s">
        <v>65</v>
      </c>
      <c r="D4" s="153" t="s">
        <v>696</v>
      </c>
      <c r="E4" s="69" t="s">
        <v>834</v>
      </c>
      <c r="F4" s="39">
        <v>2</v>
      </c>
      <c r="G4" s="141" t="s">
        <v>835</v>
      </c>
      <c r="H4" s="141" t="s">
        <v>811</v>
      </c>
      <c r="I4" s="141"/>
      <c r="J4" s="141" t="s">
        <v>6</v>
      </c>
      <c r="K4" s="141"/>
      <c r="L4" s="69"/>
      <c r="M4" s="141"/>
      <c r="N4" s="59"/>
      <c r="O4" s="59"/>
      <c r="P4" s="105"/>
      <c r="Q4" s="105"/>
      <c r="R4" s="105"/>
      <c r="S4" s="105"/>
      <c r="T4" s="105"/>
      <c r="U4" s="130"/>
      <c r="V4" s="90"/>
      <c r="W4" s="90"/>
      <c r="X4" s="90"/>
      <c r="Y4" s="93"/>
      <c r="Z4" s="94"/>
      <c r="AA4" s="94"/>
      <c r="AB4" s="29">
        <v>0</v>
      </c>
      <c r="AC4" s="145">
        <v>0</v>
      </c>
      <c r="AD4" s="145">
        <v>0</v>
      </c>
      <c r="AE4" s="145">
        <v>0</v>
      </c>
      <c r="AF4" s="145">
        <v>0</v>
      </c>
      <c r="AG4" s="145">
        <v>0</v>
      </c>
      <c r="AH4" s="145">
        <v>0</v>
      </c>
      <c r="AI4" s="142">
        <f>AVERAGE(AB4:AH4)</f>
        <v>0</v>
      </c>
      <c r="AJ4" s="141"/>
      <c r="AK4" s="67"/>
      <c r="AL4" s="67"/>
      <c r="AM4" s="24"/>
      <c r="AN4" s="24"/>
      <c r="AO4" s="24"/>
      <c r="AP4" s="71"/>
      <c r="AQ4" s="69" t="s">
        <v>836</v>
      </c>
      <c r="AR4" s="141"/>
      <c r="AS4" s="141"/>
      <c r="AT4" s="141"/>
      <c r="AU4" s="141">
        <v>100</v>
      </c>
      <c r="AV4" s="86">
        <v>45931</v>
      </c>
      <c r="AW4" s="141"/>
      <c r="AX4" s="141" t="s">
        <v>757</v>
      </c>
      <c r="AY4" s="141"/>
      <c r="AZ4" s="141"/>
      <c r="BA4" s="141" t="s">
        <v>757</v>
      </c>
    </row>
    <row r="5" spans="1:53" ht="45" customHeight="1">
      <c r="A5" s="153">
        <f t="shared" ref="A4:A35" si="2">A4+1</f>
        <v>2</v>
      </c>
      <c r="B5" s="153" t="s">
        <v>57</v>
      </c>
      <c r="C5" s="153" t="s">
        <v>65</v>
      </c>
      <c r="D5" s="28" t="s">
        <v>671</v>
      </c>
      <c r="E5" s="69" t="s">
        <v>837</v>
      </c>
      <c r="F5" s="39">
        <v>2</v>
      </c>
      <c r="G5" s="141" t="s">
        <v>753</v>
      </c>
      <c r="H5" s="141" t="s">
        <v>805</v>
      </c>
      <c r="I5" s="141"/>
      <c r="J5" s="141" t="s">
        <v>26</v>
      </c>
      <c r="K5" s="141"/>
      <c r="L5" s="69"/>
      <c r="M5" s="141"/>
      <c r="N5" s="60">
        <v>3</v>
      </c>
      <c r="O5" s="60">
        <v>3</v>
      </c>
      <c r="P5" s="105" t="s">
        <v>35</v>
      </c>
      <c r="Q5" s="105" t="s">
        <v>35</v>
      </c>
      <c r="R5" s="106"/>
      <c r="S5" s="106" t="s">
        <v>1052</v>
      </c>
      <c r="T5" s="106" t="s">
        <v>1053</v>
      </c>
      <c r="U5" s="90"/>
      <c r="V5" s="90"/>
      <c r="W5" s="90">
        <v>45968</v>
      </c>
      <c r="X5" s="90"/>
      <c r="Y5" s="93" t="s">
        <v>672</v>
      </c>
      <c r="Z5" s="95" t="s">
        <v>1011</v>
      </c>
      <c r="AA5" s="95"/>
      <c r="AB5" s="29">
        <v>0</v>
      </c>
      <c r="AC5" s="145">
        <v>0</v>
      </c>
      <c r="AD5" s="145">
        <v>0</v>
      </c>
      <c r="AE5" s="145">
        <v>0</v>
      </c>
      <c r="AF5" s="145">
        <v>0</v>
      </c>
      <c r="AG5" s="145">
        <v>0</v>
      </c>
      <c r="AH5" s="145">
        <v>0</v>
      </c>
      <c r="AI5" s="142">
        <f>AVERAGE(AB5:AH5)</f>
        <v>0</v>
      </c>
      <c r="AJ5" s="141"/>
      <c r="AK5" s="67"/>
      <c r="AL5" s="67"/>
      <c r="AM5" s="24"/>
      <c r="AN5" s="24"/>
      <c r="AO5" s="24"/>
      <c r="AP5" s="71"/>
      <c r="AQ5" s="69" t="s">
        <v>838</v>
      </c>
      <c r="AR5" s="141"/>
      <c r="AS5" s="141"/>
      <c r="AT5" s="141"/>
      <c r="AU5" s="141">
        <v>60</v>
      </c>
      <c r="AV5" s="86">
        <v>45962</v>
      </c>
      <c r="AW5" s="141" t="s">
        <v>757</v>
      </c>
      <c r="AX5" s="141" t="s">
        <v>757</v>
      </c>
      <c r="AY5" s="141"/>
      <c r="AZ5" s="141"/>
      <c r="BA5" s="141"/>
    </row>
    <row r="6" spans="1:53" ht="45" customHeight="1">
      <c r="A6" s="153">
        <f t="shared" si="2"/>
        <v>3</v>
      </c>
      <c r="B6" s="153" t="s">
        <v>57</v>
      </c>
      <c r="C6" s="153" t="s">
        <v>61</v>
      </c>
      <c r="D6" s="28" t="s">
        <v>653</v>
      </c>
      <c r="E6" s="69" t="s">
        <v>752</v>
      </c>
      <c r="F6" s="39">
        <v>2</v>
      </c>
      <c r="G6" s="141" t="s">
        <v>753</v>
      </c>
      <c r="H6" s="141" t="s">
        <v>754</v>
      </c>
      <c r="I6" s="141"/>
      <c r="J6" s="141" t="s">
        <v>26</v>
      </c>
      <c r="K6" s="141" t="s">
        <v>48</v>
      </c>
      <c r="L6" s="69"/>
      <c r="M6" s="141"/>
      <c r="N6" s="59">
        <v>4.5</v>
      </c>
      <c r="O6" s="59">
        <v>4.5</v>
      </c>
      <c r="P6" s="105" t="s">
        <v>34</v>
      </c>
      <c r="Q6" s="105" t="s">
        <v>34</v>
      </c>
      <c r="R6" s="105"/>
      <c r="S6" s="105" t="s">
        <v>1054</v>
      </c>
      <c r="T6" s="105" t="s">
        <v>753</v>
      </c>
      <c r="U6" s="90">
        <v>45973</v>
      </c>
      <c r="V6" s="90">
        <v>45979</v>
      </c>
      <c r="W6" s="90">
        <v>45979</v>
      </c>
      <c r="X6" s="90"/>
      <c r="Y6" s="93" t="s">
        <v>654</v>
      </c>
      <c r="Z6" s="96" t="s">
        <v>1145</v>
      </c>
      <c r="AA6" s="96"/>
      <c r="AB6" s="29">
        <v>0</v>
      </c>
      <c r="AC6" s="145">
        <v>0</v>
      </c>
      <c r="AD6" s="145">
        <v>0</v>
      </c>
      <c r="AE6" s="145">
        <v>0</v>
      </c>
      <c r="AF6" s="145">
        <v>0</v>
      </c>
      <c r="AG6" s="145">
        <v>0</v>
      </c>
      <c r="AH6" s="145">
        <v>0</v>
      </c>
      <c r="AI6" s="142">
        <f>AVERAGE(AB6:AH6)</f>
        <v>0</v>
      </c>
      <c r="AJ6" s="141"/>
      <c r="AK6" s="67"/>
      <c r="AL6" s="67"/>
      <c r="AM6" s="24"/>
      <c r="AN6" s="24"/>
      <c r="AO6" s="24"/>
      <c r="AP6" s="71"/>
      <c r="AQ6" s="69" t="s">
        <v>755</v>
      </c>
      <c r="AR6" s="141">
        <v>5</v>
      </c>
      <c r="AS6" s="141" t="s">
        <v>756</v>
      </c>
      <c r="AT6" s="141"/>
      <c r="AU6" s="141"/>
      <c r="AV6" s="141"/>
      <c r="AW6" s="141"/>
      <c r="AX6" s="141" t="s">
        <v>757</v>
      </c>
      <c r="AY6" s="141"/>
      <c r="AZ6" s="141"/>
      <c r="BA6" s="141"/>
    </row>
    <row r="7" spans="1:53" ht="45" customHeight="1">
      <c r="A7" s="153">
        <f t="shared" si="2"/>
        <v>4</v>
      </c>
      <c r="B7" s="153" t="s">
        <v>57</v>
      </c>
      <c r="C7" s="153" t="s">
        <v>61</v>
      </c>
      <c r="D7" s="28" t="s">
        <v>611</v>
      </c>
      <c r="E7" s="69" t="s">
        <v>772</v>
      </c>
      <c r="F7" s="39">
        <v>2</v>
      </c>
      <c r="G7" s="141" t="s">
        <v>753</v>
      </c>
      <c r="H7" s="141" t="s">
        <v>770</v>
      </c>
      <c r="I7" s="141"/>
      <c r="J7" s="141" t="s">
        <v>26</v>
      </c>
      <c r="K7" s="141"/>
      <c r="L7" s="69"/>
      <c r="M7" s="141"/>
      <c r="N7" s="59">
        <v>4.5</v>
      </c>
      <c r="O7" s="59">
        <v>4.5</v>
      </c>
      <c r="P7" s="105" t="s">
        <v>34</v>
      </c>
      <c r="Q7" s="105" t="s">
        <v>34</v>
      </c>
      <c r="R7" s="105"/>
      <c r="S7" s="105" t="s">
        <v>1179</v>
      </c>
      <c r="T7" s="105" t="s">
        <v>753</v>
      </c>
      <c r="U7" s="90">
        <v>45909</v>
      </c>
      <c r="V7" s="90">
        <v>45979</v>
      </c>
      <c r="W7" s="90">
        <v>45979</v>
      </c>
      <c r="X7" s="90"/>
      <c r="Y7" s="93" t="s">
        <v>612</v>
      </c>
      <c r="Z7" s="96" t="s">
        <v>613</v>
      </c>
      <c r="AA7" s="96" t="s">
        <v>614</v>
      </c>
      <c r="AB7" s="29">
        <v>0</v>
      </c>
      <c r="AC7" s="145">
        <v>0</v>
      </c>
      <c r="AD7" s="145">
        <v>0</v>
      </c>
      <c r="AE7" s="145">
        <v>0</v>
      </c>
      <c r="AF7" s="145">
        <v>0</v>
      </c>
      <c r="AG7" s="145">
        <v>0</v>
      </c>
      <c r="AH7" s="145">
        <v>0</v>
      </c>
      <c r="AI7" s="142">
        <f>AVERAGE(AB7:AH7)</f>
        <v>0</v>
      </c>
      <c r="AJ7" s="141"/>
      <c r="AK7" s="67"/>
      <c r="AL7" s="67"/>
      <c r="AM7" s="24"/>
      <c r="AN7" s="24"/>
      <c r="AO7" s="24"/>
      <c r="AP7" s="71"/>
      <c r="AQ7" s="69" t="s">
        <v>773</v>
      </c>
      <c r="AR7" s="141">
        <v>2</v>
      </c>
      <c r="AS7" s="141" t="s">
        <v>756</v>
      </c>
      <c r="AT7" s="141"/>
      <c r="AU7" s="141"/>
      <c r="AV7" s="141"/>
      <c r="AW7" s="141" t="s">
        <v>757</v>
      </c>
      <c r="AX7" s="141" t="s">
        <v>757</v>
      </c>
      <c r="AY7" s="141"/>
      <c r="AZ7" s="141"/>
      <c r="BA7" s="141" t="s">
        <v>757</v>
      </c>
    </row>
    <row r="8" spans="1:53" ht="45" customHeight="1">
      <c r="A8" s="153">
        <f t="shared" si="2"/>
        <v>5</v>
      </c>
      <c r="B8" s="153" t="s">
        <v>57</v>
      </c>
      <c r="C8" s="153" t="s">
        <v>61</v>
      </c>
      <c r="D8" s="28" t="s">
        <v>904</v>
      </c>
      <c r="E8" s="69" t="s">
        <v>905</v>
      </c>
      <c r="F8" s="39">
        <v>1</v>
      </c>
      <c r="G8" s="141" t="s">
        <v>753</v>
      </c>
      <c r="H8" s="141" t="s">
        <v>754</v>
      </c>
      <c r="I8" s="141"/>
      <c r="J8" s="141" t="s">
        <v>26</v>
      </c>
      <c r="K8" s="141"/>
      <c r="L8" s="69"/>
      <c r="M8" s="141"/>
      <c r="N8" s="59"/>
      <c r="O8" s="59"/>
      <c r="P8" s="105" t="s">
        <v>34</v>
      </c>
      <c r="Q8" s="105" t="s">
        <v>34</v>
      </c>
      <c r="R8" s="105"/>
      <c r="S8" s="105" t="s">
        <v>1068</v>
      </c>
      <c r="T8" s="105" t="s">
        <v>753</v>
      </c>
      <c r="U8" s="90"/>
      <c r="V8" s="90">
        <v>45994</v>
      </c>
      <c r="W8" s="90">
        <v>45994</v>
      </c>
      <c r="X8" s="90"/>
      <c r="Y8" s="93"/>
      <c r="Z8" s="96"/>
      <c r="AA8" s="96"/>
      <c r="AB8" s="29"/>
      <c r="AC8" s="145"/>
      <c r="AD8" s="145"/>
      <c r="AE8" s="145"/>
      <c r="AF8" s="145"/>
      <c r="AG8" s="145"/>
      <c r="AH8" s="145"/>
      <c r="AI8" s="142"/>
      <c r="AJ8" s="141"/>
      <c r="AK8" s="67"/>
      <c r="AL8" s="67"/>
      <c r="AM8" s="24"/>
      <c r="AN8" s="24"/>
      <c r="AO8" s="24"/>
      <c r="AP8" s="71"/>
      <c r="AQ8" s="69"/>
      <c r="AR8" s="141"/>
      <c r="AS8" s="141"/>
      <c r="AT8" s="141"/>
      <c r="AU8" s="141"/>
      <c r="AV8" s="141"/>
      <c r="AW8" s="141"/>
      <c r="AX8" s="141"/>
      <c r="AY8" s="141"/>
      <c r="AZ8" s="141"/>
      <c r="BA8" s="141"/>
    </row>
    <row r="9" spans="1:53" ht="45" customHeight="1">
      <c r="A9" s="153">
        <f t="shared" si="2"/>
        <v>6</v>
      </c>
      <c r="B9" s="153" t="s">
        <v>57</v>
      </c>
      <c r="C9" s="153" t="s">
        <v>61</v>
      </c>
      <c r="D9" s="28" t="s">
        <v>633</v>
      </c>
      <c r="E9" s="69" t="s">
        <v>787</v>
      </c>
      <c r="F9" s="39">
        <v>3</v>
      </c>
      <c r="G9" s="141" t="s">
        <v>753</v>
      </c>
      <c r="H9" s="141" t="s">
        <v>770</v>
      </c>
      <c r="I9" s="141"/>
      <c r="J9" s="141" t="s">
        <v>14</v>
      </c>
      <c r="K9" s="141"/>
      <c r="L9" s="69"/>
      <c r="M9" s="141"/>
      <c r="N9" s="59">
        <v>4</v>
      </c>
      <c r="O9" s="59">
        <v>2</v>
      </c>
      <c r="P9" s="105" t="s">
        <v>32</v>
      </c>
      <c r="Q9" s="105" t="s">
        <v>32</v>
      </c>
      <c r="R9" s="105"/>
      <c r="S9" s="105" t="s">
        <v>1180</v>
      </c>
      <c r="T9" s="105" t="s">
        <v>753</v>
      </c>
      <c r="U9" s="90">
        <v>45951</v>
      </c>
      <c r="V9" s="90">
        <v>45986</v>
      </c>
      <c r="W9" s="90">
        <v>45986</v>
      </c>
      <c r="X9" s="90"/>
      <c r="Y9" s="93" t="s">
        <v>903</v>
      </c>
      <c r="Z9" s="96" t="s">
        <v>1027</v>
      </c>
      <c r="AA9" s="96"/>
      <c r="AB9" s="29">
        <v>0</v>
      </c>
      <c r="AC9" s="145">
        <v>0</v>
      </c>
      <c r="AD9" s="145">
        <v>0</v>
      </c>
      <c r="AE9" s="145">
        <v>0</v>
      </c>
      <c r="AF9" s="145">
        <v>0</v>
      </c>
      <c r="AG9" s="145">
        <v>0</v>
      </c>
      <c r="AH9" s="145">
        <v>0</v>
      </c>
      <c r="AI9" s="142">
        <f>AVERAGE(AB9:AH9)</f>
        <v>0</v>
      </c>
      <c r="AJ9" s="141"/>
      <c r="AK9" s="67"/>
      <c r="AL9" s="67"/>
      <c r="AM9" s="24"/>
      <c r="AN9" s="24"/>
      <c r="AO9" s="24"/>
      <c r="AP9" s="71"/>
      <c r="AQ9" s="69" t="s">
        <v>788</v>
      </c>
      <c r="AR9" s="141"/>
      <c r="AS9" s="141"/>
      <c r="AT9" s="141">
        <v>35</v>
      </c>
      <c r="AU9" s="141"/>
      <c r="AV9" s="141"/>
      <c r="AW9" s="141"/>
      <c r="AX9" s="141" t="s">
        <v>757</v>
      </c>
      <c r="AY9" s="141" t="s">
        <v>757</v>
      </c>
      <c r="AZ9" s="141" t="s">
        <v>757</v>
      </c>
      <c r="BA9" s="141"/>
    </row>
    <row r="10" spans="1:53" ht="45" customHeight="1">
      <c r="A10" s="153">
        <f t="shared" si="2"/>
        <v>7</v>
      </c>
      <c r="B10" s="153" t="s">
        <v>57</v>
      </c>
      <c r="C10" s="153" t="s">
        <v>63</v>
      </c>
      <c r="D10" s="28" t="s">
        <v>152</v>
      </c>
      <c r="E10" s="69" t="s">
        <v>845</v>
      </c>
      <c r="F10" s="39">
        <v>3</v>
      </c>
      <c r="G10" s="141" t="s">
        <v>753</v>
      </c>
      <c r="H10" s="141" t="s">
        <v>210</v>
      </c>
      <c r="I10" s="141"/>
      <c r="J10" s="141" t="s">
        <v>14</v>
      </c>
      <c r="K10" s="141"/>
      <c r="L10" s="69"/>
      <c r="M10" s="141"/>
      <c r="N10" s="59">
        <v>2</v>
      </c>
      <c r="O10" s="59">
        <v>4</v>
      </c>
      <c r="P10" s="105" t="s">
        <v>34</v>
      </c>
      <c r="Q10" s="105" t="s">
        <v>35</v>
      </c>
      <c r="R10" s="105"/>
      <c r="S10" s="105" t="s">
        <v>1030</v>
      </c>
      <c r="T10" s="105" t="s">
        <v>753</v>
      </c>
      <c r="U10" s="90">
        <v>45981</v>
      </c>
      <c r="V10" s="90">
        <v>45986</v>
      </c>
      <c r="W10" s="90">
        <v>45986</v>
      </c>
      <c r="X10" s="90">
        <v>46006</v>
      </c>
      <c r="Y10" s="93" t="s">
        <v>1181</v>
      </c>
      <c r="Z10" s="96" t="s">
        <v>687</v>
      </c>
      <c r="AA10" s="96"/>
      <c r="AB10" s="29">
        <v>0</v>
      </c>
      <c r="AC10" s="145">
        <v>0</v>
      </c>
      <c r="AD10" s="145">
        <v>0</v>
      </c>
      <c r="AE10" s="145">
        <v>0</v>
      </c>
      <c r="AF10" s="145">
        <v>0</v>
      </c>
      <c r="AG10" s="145">
        <v>0</v>
      </c>
      <c r="AH10" s="145">
        <v>0</v>
      </c>
      <c r="AI10" s="142">
        <f>AVERAGE(AB10:AH10)</f>
        <v>0</v>
      </c>
      <c r="AJ10" s="141"/>
      <c r="AK10" s="67"/>
      <c r="AL10" s="67"/>
      <c r="AM10" s="24"/>
      <c r="AN10" s="24"/>
      <c r="AO10" s="24"/>
      <c r="AP10" s="71"/>
      <c r="AQ10" s="69" t="s">
        <v>846</v>
      </c>
      <c r="AR10" s="141">
        <v>15</v>
      </c>
      <c r="AS10" s="141" t="s">
        <v>761</v>
      </c>
      <c r="AT10" s="141"/>
      <c r="AU10" s="141"/>
      <c r="AV10" s="141"/>
      <c r="AW10" s="141"/>
      <c r="AX10" s="141" t="s">
        <v>757</v>
      </c>
      <c r="AY10" s="141"/>
      <c r="AZ10" s="141"/>
      <c r="BA10" s="141"/>
    </row>
    <row r="11" spans="1:53" ht="45" customHeight="1">
      <c r="A11" s="153">
        <f t="shared" si="2"/>
        <v>8</v>
      </c>
      <c r="B11" s="153" t="s">
        <v>57</v>
      </c>
      <c r="C11" s="153" t="s">
        <v>61</v>
      </c>
      <c r="D11" s="28" t="s">
        <v>708</v>
      </c>
      <c r="E11" s="69" t="s">
        <v>758</v>
      </c>
      <c r="F11" s="39">
        <v>2</v>
      </c>
      <c r="G11" s="141" t="s">
        <v>753</v>
      </c>
      <c r="H11" s="141" t="s">
        <v>1146</v>
      </c>
      <c r="I11" s="141"/>
      <c r="J11" s="141" t="s">
        <v>26</v>
      </c>
      <c r="K11" s="21"/>
      <c r="L11" s="69"/>
      <c r="M11" s="141"/>
      <c r="N11" s="59">
        <v>2.5</v>
      </c>
      <c r="O11" s="59">
        <v>5</v>
      </c>
      <c r="P11" s="105" t="s">
        <v>33</v>
      </c>
      <c r="Q11" s="105" t="s">
        <v>33</v>
      </c>
      <c r="R11" s="105"/>
      <c r="S11" s="105" t="s">
        <v>1182</v>
      </c>
      <c r="T11" s="105" t="s">
        <v>1183</v>
      </c>
      <c r="U11" s="90">
        <v>45950</v>
      </c>
      <c r="V11" s="90">
        <v>45988</v>
      </c>
      <c r="W11" s="90">
        <v>45988</v>
      </c>
      <c r="X11" s="90"/>
      <c r="Y11" s="93" t="s">
        <v>1147</v>
      </c>
      <c r="Z11" s="96" t="s">
        <v>710</v>
      </c>
      <c r="AA11" s="96"/>
      <c r="AB11" s="29">
        <v>0</v>
      </c>
      <c r="AC11" s="145">
        <v>0</v>
      </c>
      <c r="AD11" s="145">
        <v>0</v>
      </c>
      <c r="AE11" s="145">
        <v>0</v>
      </c>
      <c r="AF11" s="145">
        <v>0</v>
      </c>
      <c r="AG11" s="145">
        <v>0</v>
      </c>
      <c r="AH11" s="145">
        <v>0</v>
      </c>
      <c r="AI11" s="142">
        <f>AVERAGE(AB11:AH11)</f>
        <v>0</v>
      </c>
      <c r="AJ11" s="141"/>
      <c r="AK11" s="67"/>
      <c r="AL11" s="67"/>
      <c r="AM11" s="24"/>
      <c r="AN11" s="24"/>
      <c r="AO11" s="24"/>
      <c r="AP11" s="71"/>
      <c r="AQ11" s="69" t="s">
        <v>760</v>
      </c>
      <c r="AR11" s="141">
        <v>5</v>
      </c>
      <c r="AS11" s="141" t="s">
        <v>761</v>
      </c>
      <c r="AT11" s="141"/>
      <c r="AU11" s="141"/>
      <c r="AV11" s="141"/>
      <c r="AW11" s="141" t="s">
        <v>757</v>
      </c>
      <c r="AX11" s="141" t="s">
        <v>757</v>
      </c>
      <c r="AY11" s="141" t="s">
        <v>757</v>
      </c>
      <c r="AZ11" s="141"/>
      <c r="BA11" s="141"/>
    </row>
    <row r="12" spans="1:53" ht="45" customHeight="1">
      <c r="A12" s="153">
        <f t="shared" si="2"/>
        <v>9</v>
      </c>
      <c r="B12" s="153" t="s">
        <v>57</v>
      </c>
      <c r="C12" s="153" t="s">
        <v>61</v>
      </c>
      <c r="D12" s="28" t="s">
        <v>1157</v>
      </c>
      <c r="E12" s="69" t="s">
        <v>1158</v>
      </c>
      <c r="F12" s="39">
        <v>1</v>
      </c>
      <c r="G12" s="141" t="s">
        <v>753</v>
      </c>
      <c r="H12" s="141" t="s">
        <v>765</v>
      </c>
      <c r="I12" s="141"/>
      <c r="J12" s="141" t="s">
        <v>6</v>
      </c>
      <c r="K12" s="141"/>
      <c r="L12" s="69"/>
      <c r="M12" s="141"/>
      <c r="N12" s="59"/>
      <c r="O12" s="59"/>
      <c r="P12" s="105" t="s">
        <v>34</v>
      </c>
      <c r="Q12" s="105" t="s">
        <v>34</v>
      </c>
      <c r="R12" s="105"/>
      <c r="S12" s="105" t="s">
        <v>1159</v>
      </c>
      <c r="T12" s="105" t="s">
        <v>1081</v>
      </c>
      <c r="U12" s="90">
        <v>45974</v>
      </c>
      <c r="V12" s="90">
        <v>45988</v>
      </c>
      <c r="W12" s="90">
        <v>45988</v>
      </c>
      <c r="X12" s="90"/>
      <c r="Y12" s="93" t="s">
        <v>1160</v>
      </c>
      <c r="Z12" s="96"/>
      <c r="AA12" s="96"/>
      <c r="AB12" s="29"/>
      <c r="AC12" s="145"/>
      <c r="AD12" s="145"/>
      <c r="AE12" s="145"/>
      <c r="AF12" s="145"/>
      <c r="AG12" s="145"/>
      <c r="AH12" s="145"/>
      <c r="AI12" s="142"/>
      <c r="AJ12" s="141"/>
      <c r="AK12" s="67"/>
      <c r="AL12" s="67"/>
      <c r="AM12" s="24"/>
      <c r="AN12" s="24"/>
      <c r="AO12" s="24"/>
      <c r="AP12" s="71"/>
      <c r="AQ12" s="69"/>
      <c r="AR12" s="141"/>
      <c r="AS12" s="141"/>
      <c r="AT12" s="141"/>
      <c r="AU12" s="141"/>
      <c r="AV12" s="141"/>
      <c r="AW12" s="141"/>
      <c r="AX12" s="141"/>
      <c r="AY12" s="141"/>
      <c r="AZ12" s="141"/>
      <c r="BA12" s="141"/>
    </row>
    <row r="13" spans="1:53" ht="45" customHeight="1">
      <c r="A13" s="153">
        <f t="shared" si="2"/>
        <v>10</v>
      </c>
      <c r="B13" s="153" t="s">
        <v>57</v>
      </c>
      <c r="C13" s="153" t="s">
        <v>61</v>
      </c>
      <c r="D13" s="28" t="s">
        <v>1161</v>
      </c>
      <c r="E13" s="69" t="s">
        <v>1162</v>
      </c>
      <c r="F13" s="39">
        <v>2</v>
      </c>
      <c r="G13" s="141" t="s">
        <v>753</v>
      </c>
      <c r="H13" s="141" t="s">
        <v>765</v>
      </c>
      <c r="I13" s="141"/>
      <c r="J13" s="141" t="s">
        <v>6</v>
      </c>
      <c r="K13" s="141"/>
      <c r="L13" s="69"/>
      <c r="M13" s="141"/>
      <c r="N13" s="59"/>
      <c r="O13" s="59"/>
      <c r="P13" s="105" t="s">
        <v>34</v>
      </c>
      <c r="Q13" s="105" t="s">
        <v>34</v>
      </c>
      <c r="R13" s="105"/>
      <c r="S13" s="105" t="s">
        <v>1163</v>
      </c>
      <c r="T13" s="105" t="s">
        <v>1081</v>
      </c>
      <c r="U13" s="90">
        <v>45974</v>
      </c>
      <c r="V13" s="90">
        <v>45982</v>
      </c>
      <c r="W13" s="90">
        <v>45982</v>
      </c>
      <c r="X13" s="90"/>
      <c r="Y13" s="93" t="s">
        <v>1164</v>
      </c>
      <c r="Z13" s="96"/>
      <c r="AA13" s="96"/>
      <c r="AB13" s="29"/>
      <c r="AC13" s="145"/>
      <c r="AD13" s="145"/>
      <c r="AE13" s="145"/>
      <c r="AF13" s="145"/>
      <c r="AG13" s="145"/>
      <c r="AH13" s="145"/>
      <c r="AI13" s="142"/>
      <c r="AJ13" s="141"/>
      <c r="AK13" s="67"/>
      <c r="AL13" s="67"/>
      <c r="AM13" s="24"/>
      <c r="AN13" s="24"/>
      <c r="AO13" s="24"/>
      <c r="AP13" s="71"/>
      <c r="AQ13" s="69"/>
      <c r="AR13" s="141"/>
      <c r="AS13" s="141"/>
      <c r="AT13" s="141"/>
      <c r="AU13" s="141"/>
      <c r="AV13" s="141"/>
      <c r="AW13" s="141"/>
      <c r="AX13" s="141"/>
      <c r="AY13" s="141"/>
      <c r="AZ13" s="141"/>
      <c r="BA13" s="141"/>
    </row>
    <row r="14" spans="1:53" ht="45" customHeight="1">
      <c r="A14" s="153">
        <f t="shared" si="2"/>
        <v>11</v>
      </c>
      <c r="B14" s="153" t="s">
        <v>57</v>
      </c>
      <c r="C14" s="153" t="s">
        <v>61</v>
      </c>
      <c r="D14" s="28" t="s">
        <v>711</v>
      </c>
      <c r="E14" s="69" t="s">
        <v>711</v>
      </c>
      <c r="F14" s="39">
        <v>3</v>
      </c>
      <c r="G14" s="141" t="s">
        <v>764</v>
      </c>
      <c r="H14" s="141" t="s">
        <v>765</v>
      </c>
      <c r="I14" s="141"/>
      <c r="J14" s="141" t="s">
        <v>6</v>
      </c>
      <c r="K14" s="141"/>
      <c r="L14" s="69"/>
      <c r="M14" s="141"/>
      <c r="N14" s="59"/>
      <c r="O14" s="59"/>
      <c r="P14" s="105"/>
      <c r="Q14" s="105"/>
      <c r="R14" s="105"/>
      <c r="S14" s="105" t="s">
        <v>1048</v>
      </c>
      <c r="T14" s="105" t="s">
        <v>1144</v>
      </c>
      <c r="U14" s="90">
        <v>45937</v>
      </c>
      <c r="V14" s="90"/>
      <c r="W14" s="90">
        <v>45976</v>
      </c>
      <c r="X14" s="90"/>
      <c r="Y14" s="93" t="s">
        <v>1024</v>
      </c>
      <c r="Z14" s="125" t="s">
        <v>896</v>
      </c>
      <c r="AA14" s="96"/>
      <c r="AB14" s="29"/>
      <c r="AC14" s="145"/>
      <c r="AD14" s="145"/>
      <c r="AE14" s="145"/>
      <c r="AF14" s="145"/>
      <c r="AG14" s="145"/>
      <c r="AH14" s="145"/>
      <c r="AI14" s="142"/>
      <c r="AJ14" s="141"/>
      <c r="AK14" s="67"/>
      <c r="AL14" s="67"/>
      <c r="AM14" s="24"/>
      <c r="AN14" s="24"/>
      <c r="AO14" s="24"/>
      <c r="AP14" s="71"/>
      <c r="AQ14" s="69"/>
      <c r="AR14" s="141">
        <v>5</v>
      </c>
      <c r="AS14" s="141"/>
      <c r="AT14" s="141"/>
      <c r="AU14" s="141"/>
      <c r="AV14" s="86"/>
      <c r="AW14" s="141" t="s">
        <v>757</v>
      </c>
      <c r="AX14" s="141" t="s">
        <v>757</v>
      </c>
      <c r="AY14" s="141"/>
      <c r="AZ14" s="141"/>
      <c r="BA14" s="141" t="s">
        <v>757</v>
      </c>
    </row>
    <row r="15" spans="1:53" ht="45" customHeight="1">
      <c r="A15" s="153">
        <f t="shared" si="2"/>
        <v>12</v>
      </c>
      <c r="B15" s="153" t="s">
        <v>57</v>
      </c>
      <c r="C15" s="153" t="s">
        <v>61</v>
      </c>
      <c r="D15" s="28" t="s">
        <v>670</v>
      </c>
      <c r="E15" s="69" t="s">
        <v>763</v>
      </c>
      <c r="F15" s="39">
        <v>2</v>
      </c>
      <c r="G15" s="141" t="s">
        <v>764</v>
      </c>
      <c r="H15" s="141" t="s">
        <v>765</v>
      </c>
      <c r="I15" s="141"/>
      <c r="J15" s="141" t="s">
        <v>22</v>
      </c>
      <c r="K15" s="141"/>
      <c r="L15" s="69"/>
      <c r="M15" s="141"/>
      <c r="N15" s="59">
        <v>1</v>
      </c>
      <c r="O15" s="59">
        <v>4</v>
      </c>
      <c r="P15" s="105" t="s">
        <v>34</v>
      </c>
      <c r="Q15" s="105" t="s">
        <v>34</v>
      </c>
      <c r="R15" s="105"/>
      <c r="S15" s="105" t="s">
        <v>1057</v>
      </c>
      <c r="T15" s="105" t="s">
        <v>835</v>
      </c>
      <c r="U15" s="90"/>
      <c r="V15" s="90">
        <v>45968</v>
      </c>
      <c r="W15" s="90"/>
      <c r="X15" s="90"/>
      <c r="Y15" s="93"/>
      <c r="Z15" s="96"/>
      <c r="AA15" s="96"/>
      <c r="AB15" s="29">
        <v>0</v>
      </c>
      <c r="AC15" s="145">
        <v>0</v>
      </c>
      <c r="AD15" s="145">
        <v>0</v>
      </c>
      <c r="AE15" s="145">
        <v>0</v>
      </c>
      <c r="AF15" s="145">
        <v>0</v>
      </c>
      <c r="AG15" s="145">
        <v>0</v>
      </c>
      <c r="AH15" s="145">
        <v>0</v>
      </c>
      <c r="AI15" s="142">
        <f>AVERAGE(AB15:AH15)</f>
        <v>0</v>
      </c>
      <c r="AJ15" s="141"/>
      <c r="AK15" s="67"/>
      <c r="AL15" s="67"/>
      <c r="AM15" s="24"/>
      <c r="AN15" s="24"/>
      <c r="AO15" s="24"/>
      <c r="AP15" s="71"/>
      <c r="AQ15" s="69" t="s">
        <v>766</v>
      </c>
      <c r="AR15" s="141">
        <v>5</v>
      </c>
      <c r="AS15" s="141" t="s">
        <v>756</v>
      </c>
      <c r="AT15" s="141"/>
      <c r="AU15" s="141"/>
      <c r="AV15" s="141"/>
      <c r="AW15" s="141" t="s">
        <v>757</v>
      </c>
      <c r="AX15" s="141" t="s">
        <v>757</v>
      </c>
      <c r="AY15" s="141"/>
      <c r="AZ15" s="141"/>
      <c r="BA15" s="141"/>
    </row>
    <row r="16" spans="1:53" ht="45" customHeight="1">
      <c r="A16" s="153">
        <f t="shared" si="2"/>
        <v>13</v>
      </c>
      <c r="B16" s="153" t="s">
        <v>57</v>
      </c>
      <c r="C16" s="153" t="s">
        <v>61</v>
      </c>
      <c r="D16" s="28" t="s">
        <v>677</v>
      </c>
      <c r="E16" s="69" t="s">
        <v>769</v>
      </c>
      <c r="F16" s="39">
        <v>2</v>
      </c>
      <c r="G16" s="141" t="s">
        <v>764</v>
      </c>
      <c r="H16" s="141" t="s">
        <v>770</v>
      </c>
      <c r="I16" s="141"/>
      <c r="J16" s="141" t="s">
        <v>26</v>
      </c>
      <c r="K16" s="141"/>
      <c r="L16" s="69"/>
      <c r="M16" s="141"/>
      <c r="N16" s="59">
        <v>2</v>
      </c>
      <c r="O16" s="59">
        <v>2</v>
      </c>
      <c r="P16" s="105" t="s">
        <v>31</v>
      </c>
      <c r="Q16" s="105" t="s">
        <v>31</v>
      </c>
      <c r="R16" s="105" t="s">
        <v>881</v>
      </c>
      <c r="S16" s="105" t="s">
        <v>1149</v>
      </c>
      <c r="T16" s="105" t="s">
        <v>753</v>
      </c>
      <c r="U16" s="90">
        <v>45922</v>
      </c>
      <c r="V16" s="90">
        <v>45985</v>
      </c>
      <c r="W16" s="90">
        <v>45985</v>
      </c>
      <c r="X16" s="90"/>
      <c r="Y16" s="93" t="s">
        <v>1029</v>
      </c>
      <c r="Z16" s="126" t="s">
        <v>679</v>
      </c>
      <c r="AA16" s="96"/>
      <c r="AB16" s="29">
        <v>0</v>
      </c>
      <c r="AC16" s="145">
        <v>0</v>
      </c>
      <c r="AD16" s="145">
        <v>0</v>
      </c>
      <c r="AE16" s="145">
        <v>0</v>
      </c>
      <c r="AF16" s="145">
        <v>0</v>
      </c>
      <c r="AG16" s="145">
        <v>0</v>
      </c>
      <c r="AH16" s="145">
        <v>0</v>
      </c>
      <c r="AI16" s="142">
        <f>AVERAGE(AB16:AH16)</f>
        <v>0</v>
      </c>
      <c r="AJ16" s="141"/>
      <c r="AK16" s="67"/>
      <c r="AL16" s="67"/>
      <c r="AM16" s="24"/>
      <c r="AN16" s="24"/>
      <c r="AO16" s="24"/>
      <c r="AP16" s="71"/>
      <c r="AQ16" s="69" t="s">
        <v>771</v>
      </c>
      <c r="AR16" s="141">
        <v>5</v>
      </c>
      <c r="AS16" s="141" t="s">
        <v>761</v>
      </c>
      <c r="AT16" s="141"/>
      <c r="AU16" s="141"/>
      <c r="AV16" s="141"/>
      <c r="AW16" s="141" t="s">
        <v>757</v>
      </c>
      <c r="AX16" s="141" t="s">
        <v>757</v>
      </c>
      <c r="AY16" s="141"/>
      <c r="AZ16" s="141"/>
      <c r="BA16" s="141"/>
    </row>
    <row r="17" spans="1:53" ht="45" customHeight="1">
      <c r="A17" s="153">
        <f t="shared" si="2"/>
        <v>14</v>
      </c>
      <c r="B17" s="153" t="s">
        <v>57</v>
      </c>
      <c r="C17" s="153" t="s">
        <v>61</v>
      </c>
      <c r="D17" s="28" t="s">
        <v>615</v>
      </c>
      <c r="E17" s="69" t="s">
        <v>780</v>
      </c>
      <c r="F17" s="39">
        <v>3</v>
      </c>
      <c r="G17" s="141" t="s">
        <v>764</v>
      </c>
      <c r="H17" s="141" t="s">
        <v>770</v>
      </c>
      <c r="I17" s="141"/>
      <c r="J17" s="141" t="s">
        <v>14</v>
      </c>
      <c r="K17" s="141"/>
      <c r="L17" s="69"/>
      <c r="M17" s="141"/>
      <c r="N17" s="59">
        <v>5</v>
      </c>
      <c r="O17" s="59">
        <v>5</v>
      </c>
      <c r="P17" s="105" t="s">
        <v>34</v>
      </c>
      <c r="Q17" s="105" t="s">
        <v>34</v>
      </c>
      <c r="R17" s="105"/>
      <c r="S17" s="105" t="s">
        <v>1151</v>
      </c>
      <c r="T17" s="105" t="s">
        <v>1064</v>
      </c>
      <c r="U17" s="90">
        <v>45965</v>
      </c>
      <c r="V17" s="90">
        <v>45968</v>
      </c>
      <c r="W17" s="90"/>
      <c r="X17" s="90"/>
      <c r="Y17" s="93" t="s">
        <v>1184</v>
      </c>
      <c r="Z17" s="96"/>
      <c r="AA17" s="96" t="s">
        <v>1021</v>
      </c>
      <c r="AB17" s="29">
        <v>0</v>
      </c>
      <c r="AC17" s="145">
        <v>0</v>
      </c>
      <c r="AD17" s="145">
        <v>0</v>
      </c>
      <c r="AE17" s="145">
        <v>0</v>
      </c>
      <c r="AF17" s="145">
        <v>0</v>
      </c>
      <c r="AG17" s="145">
        <v>0</v>
      </c>
      <c r="AH17" s="145">
        <v>0</v>
      </c>
      <c r="AI17" s="142">
        <f>AVERAGE(AB17:AH17)</f>
        <v>0</v>
      </c>
      <c r="AJ17" s="141"/>
      <c r="AK17" s="67"/>
      <c r="AL17" s="67"/>
      <c r="AM17" s="24"/>
      <c r="AN17" s="24"/>
      <c r="AO17" s="24"/>
      <c r="AP17" s="71"/>
      <c r="AQ17" s="69" t="s">
        <v>781</v>
      </c>
      <c r="AR17" s="141"/>
      <c r="AS17" s="141"/>
      <c r="AT17" s="141">
        <v>150</v>
      </c>
      <c r="AU17" s="141"/>
      <c r="AV17" s="141"/>
      <c r="AW17" s="141"/>
      <c r="AX17" s="141" t="s">
        <v>757</v>
      </c>
      <c r="AY17" s="141" t="s">
        <v>757</v>
      </c>
      <c r="AZ17" s="141" t="s">
        <v>757</v>
      </c>
      <c r="BA17" s="141"/>
    </row>
    <row r="18" spans="1:53" ht="45" customHeight="1">
      <c r="A18" s="153">
        <f t="shared" si="2"/>
        <v>15</v>
      </c>
      <c r="B18" s="153" t="s">
        <v>57</v>
      </c>
      <c r="C18" s="153" t="s">
        <v>61</v>
      </c>
      <c r="D18" s="28" t="s">
        <v>693</v>
      </c>
      <c r="E18" s="69" t="s">
        <v>775</v>
      </c>
      <c r="F18" s="39">
        <v>2</v>
      </c>
      <c r="G18" s="141" t="s">
        <v>764</v>
      </c>
      <c r="H18" s="141" t="s">
        <v>770</v>
      </c>
      <c r="I18" s="141"/>
      <c r="J18" s="141" t="s">
        <v>26</v>
      </c>
      <c r="K18" s="141"/>
      <c r="L18" s="69"/>
      <c r="M18" s="141"/>
      <c r="N18" s="59">
        <v>3</v>
      </c>
      <c r="O18" s="59">
        <v>4</v>
      </c>
      <c r="P18" s="105" t="s">
        <v>34</v>
      </c>
      <c r="Q18" s="105" t="s">
        <v>32</v>
      </c>
      <c r="R18" s="105"/>
      <c r="S18" s="105" t="s">
        <v>1152</v>
      </c>
      <c r="T18" s="105" t="s">
        <v>1064</v>
      </c>
      <c r="U18" s="90">
        <v>45958</v>
      </c>
      <c r="V18" s="90">
        <v>45966</v>
      </c>
      <c r="W18" s="90">
        <v>45992</v>
      </c>
      <c r="X18" s="90"/>
      <c r="Y18" s="93" t="s">
        <v>1025</v>
      </c>
      <c r="Z18" s="96" t="s">
        <v>695</v>
      </c>
      <c r="AA18" s="96"/>
      <c r="AB18" s="29">
        <v>0</v>
      </c>
      <c r="AC18" s="145">
        <v>0</v>
      </c>
      <c r="AD18" s="145">
        <v>0</v>
      </c>
      <c r="AE18" s="145">
        <v>0</v>
      </c>
      <c r="AF18" s="145">
        <v>0</v>
      </c>
      <c r="AG18" s="145">
        <v>0</v>
      </c>
      <c r="AH18" s="145">
        <v>0</v>
      </c>
      <c r="AI18" s="142">
        <f>AVERAGE(AB18:AH18)</f>
        <v>0</v>
      </c>
      <c r="AJ18" s="141"/>
      <c r="AK18" s="67"/>
      <c r="AL18" s="67"/>
      <c r="AM18" s="24"/>
      <c r="AN18" s="24"/>
      <c r="AO18" s="24"/>
      <c r="AP18" s="71"/>
      <c r="AQ18" s="69" t="s">
        <v>776</v>
      </c>
      <c r="AR18" s="141">
        <v>5</v>
      </c>
      <c r="AS18" s="141" t="s">
        <v>761</v>
      </c>
      <c r="AT18" s="141"/>
      <c r="AU18" s="141"/>
      <c r="AV18" s="141"/>
      <c r="AW18" s="141" t="s">
        <v>757</v>
      </c>
      <c r="AX18" s="141" t="s">
        <v>757</v>
      </c>
      <c r="AY18" s="141"/>
      <c r="AZ18" s="141"/>
      <c r="BA18" s="141" t="s">
        <v>757</v>
      </c>
    </row>
    <row r="19" spans="1:53" ht="45" customHeight="1">
      <c r="A19" s="153">
        <f t="shared" si="2"/>
        <v>16</v>
      </c>
      <c r="B19" s="153" t="s">
        <v>57</v>
      </c>
      <c r="C19" s="153" t="s">
        <v>61</v>
      </c>
      <c r="D19" s="28" t="s">
        <v>906</v>
      </c>
      <c r="E19" s="69" t="s">
        <v>907</v>
      </c>
      <c r="F19" s="39">
        <v>1</v>
      </c>
      <c r="G19" s="141" t="s">
        <v>764</v>
      </c>
      <c r="H19" s="141"/>
      <c r="I19" s="141"/>
      <c r="J19" s="141" t="s">
        <v>6</v>
      </c>
      <c r="K19" s="141"/>
      <c r="L19" s="69"/>
      <c r="M19" s="141"/>
      <c r="N19" s="59"/>
      <c r="O19" s="59"/>
      <c r="P19" s="105"/>
      <c r="Q19" s="105"/>
      <c r="R19" s="105"/>
      <c r="S19" s="105" t="s">
        <v>1069</v>
      </c>
      <c r="T19" s="105" t="s">
        <v>764</v>
      </c>
      <c r="U19" s="90"/>
      <c r="V19" s="90">
        <v>45982</v>
      </c>
      <c r="W19" s="90">
        <v>45982</v>
      </c>
      <c r="X19" s="90"/>
      <c r="Y19" s="93"/>
      <c r="Z19" s="96" t="s">
        <v>908</v>
      </c>
      <c r="AA19" s="96"/>
      <c r="AB19" s="29"/>
      <c r="AC19" s="145"/>
      <c r="AD19" s="145"/>
      <c r="AE19" s="145"/>
      <c r="AF19" s="145"/>
      <c r="AG19" s="145"/>
      <c r="AH19" s="145"/>
      <c r="AI19" s="142"/>
      <c r="AJ19" s="141"/>
      <c r="AK19" s="67"/>
      <c r="AL19" s="67"/>
      <c r="AM19" s="24"/>
      <c r="AN19" s="24"/>
      <c r="AO19" s="24"/>
      <c r="AP19" s="71"/>
      <c r="AQ19" s="69"/>
      <c r="AR19" s="141"/>
      <c r="AS19" s="141"/>
      <c r="AT19" s="141"/>
      <c r="AU19" s="141"/>
      <c r="AV19" s="141"/>
      <c r="AW19" s="141"/>
      <c r="AX19" s="141"/>
      <c r="AY19" s="141"/>
      <c r="AZ19" s="141"/>
      <c r="BA19" s="141"/>
    </row>
    <row r="20" spans="1:53" ht="45" customHeight="1">
      <c r="A20" s="153">
        <f t="shared" si="2"/>
        <v>17</v>
      </c>
      <c r="B20" s="153" t="s">
        <v>57</v>
      </c>
      <c r="C20" s="153" t="s">
        <v>61</v>
      </c>
      <c r="D20" s="28" t="s">
        <v>697</v>
      </c>
      <c r="E20" s="69" t="s">
        <v>800</v>
      </c>
      <c r="F20" s="39">
        <v>2</v>
      </c>
      <c r="G20" s="141" t="s">
        <v>764</v>
      </c>
      <c r="H20" s="141" t="s">
        <v>770</v>
      </c>
      <c r="I20" s="141"/>
      <c r="J20" s="141" t="s">
        <v>6</v>
      </c>
      <c r="K20" s="21"/>
      <c r="L20" s="69"/>
      <c r="M20" s="141"/>
      <c r="N20" s="59">
        <v>1</v>
      </c>
      <c r="O20" s="59">
        <v>4</v>
      </c>
      <c r="P20" s="105"/>
      <c r="Q20" s="105"/>
      <c r="R20" s="105"/>
      <c r="S20" s="105" t="s">
        <v>1155</v>
      </c>
      <c r="T20" s="105" t="s">
        <v>1062</v>
      </c>
      <c r="U20" s="90">
        <v>45778</v>
      </c>
      <c r="V20" s="90">
        <v>45986</v>
      </c>
      <c r="W20" s="90">
        <v>45986</v>
      </c>
      <c r="X20" s="90"/>
      <c r="Y20" s="93" t="s">
        <v>899</v>
      </c>
      <c r="Z20" s="96" t="s">
        <v>699</v>
      </c>
      <c r="AA20" s="96"/>
      <c r="AB20" s="29">
        <v>0</v>
      </c>
      <c r="AC20" s="145">
        <v>0</v>
      </c>
      <c r="AD20" s="145">
        <v>0</v>
      </c>
      <c r="AE20" s="145">
        <v>0</v>
      </c>
      <c r="AF20" s="145">
        <v>0</v>
      </c>
      <c r="AG20" s="145">
        <v>0</v>
      </c>
      <c r="AH20" s="145">
        <v>0</v>
      </c>
      <c r="AI20" s="142">
        <f t="shared" ref="AI20:AI49" si="3">AVERAGE(AB20:AH20)</f>
        <v>0</v>
      </c>
      <c r="AJ20" s="141"/>
      <c r="AK20" s="67"/>
      <c r="AL20" s="67"/>
      <c r="AM20" s="24"/>
      <c r="AN20" s="24"/>
      <c r="AO20" s="24"/>
      <c r="AP20" s="71"/>
      <c r="AQ20" s="69" t="s">
        <v>801</v>
      </c>
      <c r="AR20" s="141"/>
      <c r="AS20" s="141"/>
      <c r="AT20" s="141"/>
      <c r="AU20" s="141">
        <v>100</v>
      </c>
      <c r="AV20" s="86">
        <v>46023</v>
      </c>
      <c r="AW20" s="141" t="s">
        <v>757</v>
      </c>
      <c r="AX20" s="141" t="s">
        <v>757</v>
      </c>
      <c r="AY20" s="141"/>
      <c r="AZ20" s="141"/>
      <c r="BA20" s="141"/>
    </row>
    <row r="21" spans="1:53" ht="45" customHeight="1">
      <c r="A21" s="153">
        <f t="shared" si="2"/>
        <v>18</v>
      </c>
      <c r="B21" s="153" t="s">
        <v>57</v>
      </c>
      <c r="C21" s="153" t="s">
        <v>61</v>
      </c>
      <c r="D21" s="28" t="s">
        <v>703</v>
      </c>
      <c r="E21" s="69" t="s">
        <v>791</v>
      </c>
      <c r="F21" s="39">
        <v>2</v>
      </c>
      <c r="G21" s="141" t="s">
        <v>764</v>
      </c>
      <c r="H21" s="141" t="s">
        <v>770</v>
      </c>
      <c r="I21" s="141"/>
      <c r="J21" s="141" t="s">
        <v>6</v>
      </c>
      <c r="K21" s="141"/>
      <c r="L21" s="69"/>
      <c r="M21" s="141"/>
      <c r="N21" s="59">
        <v>2</v>
      </c>
      <c r="O21" s="59">
        <v>2</v>
      </c>
      <c r="P21" s="105"/>
      <c r="Q21" s="105"/>
      <c r="R21" s="105"/>
      <c r="S21" s="105" t="s">
        <v>1156</v>
      </c>
      <c r="T21" s="105" t="s">
        <v>1081</v>
      </c>
      <c r="U21" s="90">
        <v>45975</v>
      </c>
      <c r="V21" s="90">
        <v>45988</v>
      </c>
      <c r="W21" s="90">
        <v>45988</v>
      </c>
      <c r="X21" s="90"/>
      <c r="Y21" s="93"/>
      <c r="Z21" s="96" t="s">
        <v>704</v>
      </c>
      <c r="AA21" s="96"/>
      <c r="AB21" s="29">
        <v>0</v>
      </c>
      <c r="AC21" s="145">
        <v>0</v>
      </c>
      <c r="AD21" s="145">
        <v>0</v>
      </c>
      <c r="AE21" s="145">
        <v>0</v>
      </c>
      <c r="AF21" s="145">
        <v>0</v>
      </c>
      <c r="AG21" s="145">
        <v>0</v>
      </c>
      <c r="AH21" s="145">
        <v>0</v>
      </c>
      <c r="AI21" s="142">
        <f t="shared" si="3"/>
        <v>0</v>
      </c>
      <c r="AJ21" s="141"/>
      <c r="AK21" s="67"/>
      <c r="AL21" s="67"/>
      <c r="AM21" s="24"/>
      <c r="AN21" s="24"/>
      <c r="AO21" s="24"/>
      <c r="AP21" s="71"/>
      <c r="AQ21" s="69" t="s">
        <v>792</v>
      </c>
      <c r="AR21" s="141"/>
      <c r="AS21" s="141"/>
      <c r="AT21" s="141"/>
      <c r="AU21" s="141">
        <v>35</v>
      </c>
      <c r="AV21" s="86">
        <v>46023</v>
      </c>
      <c r="AW21" s="141" t="s">
        <v>757</v>
      </c>
      <c r="AX21" s="141" t="s">
        <v>757</v>
      </c>
      <c r="AY21" s="141" t="s">
        <v>757</v>
      </c>
      <c r="AZ21" s="141"/>
      <c r="BA21" s="141"/>
    </row>
    <row r="22" spans="1:53" ht="45" customHeight="1">
      <c r="A22" s="153">
        <f t="shared" si="2"/>
        <v>19</v>
      </c>
      <c r="B22" s="153" t="s">
        <v>57</v>
      </c>
      <c r="C22" s="153" t="s">
        <v>65</v>
      </c>
      <c r="D22" s="28" t="s">
        <v>707</v>
      </c>
      <c r="E22" s="69" t="s">
        <v>829</v>
      </c>
      <c r="F22" s="39">
        <v>4</v>
      </c>
      <c r="G22" s="141" t="s">
        <v>794</v>
      </c>
      <c r="H22" s="141" t="s">
        <v>797</v>
      </c>
      <c r="I22" s="141"/>
      <c r="J22" s="141" t="s">
        <v>14</v>
      </c>
      <c r="K22" s="141"/>
      <c r="L22" s="69"/>
      <c r="M22" s="141">
        <v>300</v>
      </c>
      <c r="N22" s="59"/>
      <c r="O22" s="59"/>
      <c r="P22" s="105" t="s">
        <v>33</v>
      </c>
      <c r="Q22" s="105" t="s">
        <v>31</v>
      </c>
      <c r="R22" s="105"/>
      <c r="S22" s="105" t="s">
        <v>1185</v>
      </c>
      <c r="T22" s="105" t="s">
        <v>1186</v>
      </c>
      <c r="U22" s="90"/>
      <c r="V22" s="90">
        <v>45996</v>
      </c>
      <c r="W22" s="90">
        <v>45996</v>
      </c>
      <c r="X22" s="90">
        <v>46041</v>
      </c>
      <c r="Y22" s="93" t="s">
        <v>1167</v>
      </c>
      <c r="Z22" s="96"/>
      <c r="AA22" s="96"/>
      <c r="AB22" s="29">
        <v>0</v>
      </c>
      <c r="AC22" s="145">
        <v>0</v>
      </c>
      <c r="AD22" s="145">
        <v>0</v>
      </c>
      <c r="AE22" s="145">
        <v>0</v>
      </c>
      <c r="AF22" s="145">
        <v>0</v>
      </c>
      <c r="AG22" s="145">
        <v>0</v>
      </c>
      <c r="AH22" s="145">
        <v>0</v>
      </c>
      <c r="AI22" s="142">
        <f t="shared" si="3"/>
        <v>0</v>
      </c>
      <c r="AJ22" s="141"/>
      <c r="AK22" s="67"/>
      <c r="AL22" s="67"/>
      <c r="AM22" s="24"/>
      <c r="AN22" s="24"/>
      <c r="AO22" s="24"/>
      <c r="AP22" s="71"/>
      <c r="AQ22" s="69" t="s">
        <v>830</v>
      </c>
      <c r="AR22" s="141">
        <v>10</v>
      </c>
      <c r="AS22" s="141" t="s">
        <v>756</v>
      </c>
      <c r="AT22" s="141">
        <v>300</v>
      </c>
      <c r="AU22" s="141"/>
      <c r="AV22" s="86">
        <v>45901</v>
      </c>
      <c r="AW22" s="141" t="s">
        <v>757</v>
      </c>
      <c r="AX22" s="141"/>
      <c r="AY22" s="141"/>
      <c r="AZ22" s="141"/>
      <c r="BA22" s="141"/>
    </row>
    <row r="23" spans="1:53" ht="45" customHeight="1">
      <c r="A23" s="153">
        <f t="shared" si="2"/>
        <v>20</v>
      </c>
      <c r="B23" s="153" t="s">
        <v>58</v>
      </c>
      <c r="C23" s="153" t="s">
        <v>61</v>
      </c>
      <c r="D23" s="28" t="s">
        <v>639</v>
      </c>
      <c r="E23" s="69" t="s">
        <v>796</v>
      </c>
      <c r="F23" s="39">
        <v>3</v>
      </c>
      <c r="G23" s="141" t="s">
        <v>794</v>
      </c>
      <c r="H23" s="141" t="s">
        <v>797</v>
      </c>
      <c r="I23" s="141"/>
      <c r="J23" s="141" t="s">
        <v>6</v>
      </c>
      <c r="K23" s="21"/>
      <c r="L23" s="69"/>
      <c r="M23" s="141"/>
      <c r="N23" s="59"/>
      <c r="O23" s="59"/>
      <c r="P23" s="105"/>
      <c r="Q23" s="105" t="s">
        <v>31</v>
      </c>
      <c r="R23" s="105"/>
      <c r="S23" s="105" t="s">
        <v>1124</v>
      </c>
      <c r="T23" s="105" t="s">
        <v>1125</v>
      </c>
      <c r="U23" s="90"/>
      <c r="V23" s="90"/>
      <c r="W23" s="90"/>
      <c r="X23" s="90"/>
      <c r="Y23" s="93" t="s">
        <v>1126</v>
      </c>
      <c r="Z23" s="96"/>
      <c r="AA23" s="96"/>
      <c r="AB23" s="29">
        <v>0</v>
      </c>
      <c r="AC23" s="145">
        <v>0</v>
      </c>
      <c r="AD23" s="145">
        <v>0</v>
      </c>
      <c r="AE23" s="145">
        <v>0</v>
      </c>
      <c r="AF23" s="145">
        <v>0</v>
      </c>
      <c r="AG23" s="145">
        <v>0</v>
      </c>
      <c r="AH23" s="145">
        <v>0</v>
      </c>
      <c r="AI23" s="142">
        <f t="shared" si="3"/>
        <v>0</v>
      </c>
      <c r="AJ23" s="141"/>
      <c r="AK23" s="67"/>
      <c r="AL23" s="67"/>
      <c r="AM23" s="24"/>
      <c r="AN23" s="24"/>
      <c r="AO23" s="24"/>
      <c r="AP23" s="71"/>
      <c r="AQ23" s="69" t="s">
        <v>798</v>
      </c>
      <c r="AR23" s="141"/>
      <c r="AS23" s="141"/>
      <c r="AT23" s="141"/>
      <c r="AU23" s="141">
        <v>40</v>
      </c>
      <c r="AV23" s="86">
        <v>45962</v>
      </c>
      <c r="AW23" s="141" t="s">
        <v>757</v>
      </c>
      <c r="AX23" s="141"/>
      <c r="AY23" s="141"/>
      <c r="AZ23" s="141"/>
      <c r="BA23" s="141" t="s">
        <v>757</v>
      </c>
    </row>
    <row r="24" spans="1:53" ht="45" customHeight="1">
      <c r="A24" s="153">
        <f t="shared" si="2"/>
        <v>21</v>
      </c>
      <c r="B24" s="153" t="s">
        <v>57</v>
      </c>
      <c r="C24" s="153" t="s">
        <v>63</v>
      </c>
      <c r="D24" s="28" t="s">
        <v>683</v>
      </c>
      <c r="E24" s="69"/>
      <c r="F24" s="39">
        <v>1</v>
      </c>
      <c r="G24" s="141" t="s">
        <v>794</v>
      </c>
      <c r="H24" s="141" t="s">
        <v>765</v>
      </c>
      <c r="I24" s="141"/>
      <c r="J24" s="141" t="s">
        <v>26</v>
      </c>
      <c r="K24" s="141"/>
      <c r="L24" s="69"/>
      <c r="M24" s="141"/>
      <c r="N24" s="59">
        <v>5</v>
      </c>
      <c r="O24" s="59">
        <v>5</v>
      </c>
      <c r="P24" s="105" t="s">
        <v>34</v>
      </c>
      <c r="Q24" s="105" t="s">
        <v>34</v>
      </c>
      <c r="R24" s="105"/>
      <c r="S24" s="105" t="s">
        <v>1187</v>
      </c>
      <c r="T24" s="105" t="s">
        <v>1188</v>
      </c>
      <c r="U24" s="90">
        <v>45974</v>
      </c>
      <c r="V24" s="90">
        <v>45994</v>
      </c>
      <c r="W24" s="90">
        <v>45994</v>
      </c>
      <c r="X24" s="90">
        <v>45989</v>
      </c>
      <c r="Y24" s="93" t="s">
        <v>1105</v>
      </c>
      <c r="Z24" s="96" t="s">
        <v>684</v>
      </c>
      <c r="AA24" s="96" t="s">
        <v>1106</v>
      </c>
      <c r="AB24" s="29">
        <v>0</v>
      </c>
      <c r="AC24" s="145">
        <v>0</v>
      </c>
      <c r="AD24" s="145">
        <v>0</v>
      </c>
      <c r="AE24" s="145">
        <v>0</v>
      </c>
      <c r="AF24" s="145">
        <v>0</v>
      </c>
      <c r="AG24" s="145">
        <v>0</v>
      </c>
      <c r="AH24" s="145">
        <v>0</v>
      </c>
      <c r="AI24" s="142">
        <f t="shared" si="3"/>
        <v>0</v>
      </c>
      <c r="AJ24" s="141"/>
      <c r="AK24" s="67"/>
      <c r="AL24" s="67"/>
      <c r="AM24" s="24"/>
      <c r="AN24" s="24"/>
      <c r="AO24" s="24"/>
      <c r="AP24" s="71"/>
      <c r="AQ24" s="69" t="s">
        <v>858</v>
      </c>
      <c r="AR24" s="141">
        <v>5</v>
      </c>
      <c r="AS24" s="141" t="s">
        <v>756</v>
      </c>
      <c r="AT24" s="141"/>
      <c r="AU24" s="141">
        <v>250</v>
      </c>
      <c r="AV24" s="86">
        <v>45931</v>
      </c>
      <c r="AW24" s="141" t="s">
        <v>757</v>
      </c>
      <c r="AX24" s="141" t="s">
        <v>757</v>
      </c>
      <c r="AY24" s="141"/>
      <c r="AZ24" s="141"/>
      <c r="BA24" s="141"/>
    </row>
    <row r="25" spans="1:53" ht="45" customHeight="1">
      <c r="A25" s="153">
        <f t="shared" si="2"/>
        <v>22</v>
      </c>
      <c r="B25" s="153" t="s">
        <v>57</v>
      </c>
      <c r="C25" s="153" t="s">
        <v>65</v>
      </c>
      <c r="D25" s="28" t="s">
        <v>143</v>
      </c>
      <c r="E25" s="69" t="s">
        <v>820</v>
      </c>
      <c r="F25" s="39">
        <v>1</v>
      </c>
      <c r="G25" s="141" t="s">
        <v>794</v>
      </c>
      <c r="H25" s="141" t="s">
        <v>765</v>
      </c>
      <c r="I25" s="141"/>
      <c r="J25" s="141" t="s">
        <v>6</v>
      </c>
      <c r="K25" s="21"/>
      <c r="L25" s="69"/>
      <c r="M25" s="141"/>
      <c r="N25" s="59">
        <v>3</v>
      </c>
      <c r="O25" s="59">
        <v>3</v>
      </c>
      <c r="P25" s="105" t="s">
        <v>33</v>
      </c>
      <c r="Q25" s="105" t="s">
        <v>33</v>
      </c>
      <c r="R25" s="105"/>
      <c r="S25" s="105" t="s">
        <v>1189</v>
      </c>
      <c r="T25" s="105" t="s">
        <v>1085</v>
      </c>
      <c r="U25" s="90"/>
      <c r="V25" s="90">
        <v>45988</v>
      </c>
      <c r="W25" s="90">
        <v>45988</v>
      </c>
      <c r="X25" s="90"/>
      <c r="Y25" s="93" t="s">
        <v>1070</v>
      </c>
      <c r="Z25" s="96" t="s">
        <v>1071</v>
      </c>
      <c r="AA25" s="96"/>
      <c r="AB25" s="29">
        <v>0</v>
      </c>
      <c r="AC25" s="145">
        <v>0</v>
      </c>
      <c r="AD25" s="145">
        <v>0</v>
      </c>
      <c r="AE25" s="145">
        <v>0</v>
      </c>
      <c r="AF25" s="145">
        <v>0</v>
      </c>
      <c r="AG25" s="145">
        <v>0</v>
      </c>
      <c r="AH25" s="145">
        <v>0</v>
      </c>
      <c r="AI25" s="142">
        <f t="shared" si="3"/>
        <v>0</v>
      </c>
      <c r="AJ25" s="141"/>
      <c r="AK25" s="67"/>
      <c r="AL25" s="67"/>
      <c r="AM25" s="24"/>
      <c r="AN25" s="24"/>
      <c r="AO25" s="24"/>
      <c r="AP25" s="71"/>
      <c r="AQ25" s="69" t="s">
        <v>821</v>
      </c>
      <c r="AR25" s="141">
        <v>2</v>
      </c>
      <c r="AS25" s="141" t="s">
        <v>761</v>
      </c>
      <c r="AT25" s="141"/>
      <c r="AU25" s="141">
        <v>100</v>
      </c>
      <c r="AV25" s="86">
        <v>45931</v>
      </c>
      <c r="AW25" s="141" t="s">
        <v>757</v>
      </c>
      <c r="AX25" s="141" t="s">
        <v>757</v>
      </c>
      <c r="AY25" s="141"/>
      <c r="AZ25" s="141"/>
      <c r="BA25" s="141" t="s">
        <v>757</v>
      </c>
    </row>
    <row r="26" spans="1:53" ht="45" customHeight="1">
      <c r="A26" s="153">
        <f t="shared" si="2"/>
        <v>23</v>
      </c>
      <c r="B26" s="153" t="s">
        <v>57</v>
      </c>
      <c r="C26" s="153" t="s">
        <v>61</v>
      </c>
      <c r="D26" s="28" t="s">
        <v>630</v>
      </c>
      <c r="E26" s="69" t="s">
        <v>793</v>
      </c>
      <c r="F26" s="39">
        <v>1</v>
      </c>
      <c r="G26" s="141" t="s">
        <v>1085</v>
      </c>
      <c r="H26" s="141" t="s">
        <v>765</v>
      </c>
      <c r="I26" s="141"/>
      <c r="J26" s="141" t="s">
        <v>6</v>
      </c>
      <c r="K26" s="21"/>
      <c r="L26" s="69"/>
      <c r="M26" s="141"/>
      <c r="N26" s="59">
        <v>2</v>
      </c>
      <c r="O26" s="59">
        <v>4</v>
      </c>
      <c r="P26" s="105" t="s">
        <v>32</v>
      </c>
      <c r="Q26" s="105" t="s">
        <v>32</v>
      </c>
      <c r="R26" s="105"/>
      <c r="S26" s="105"/>
      <c r="T26" s="105"/>
      <c r="U26" s="90">
        <v>45952</v>
      </c>
      <c r="V26" s="90">
        <v>45952</v>
      </c>
      <c r="W26" s="90"/>
      <c r="X26" s="90"/>
      <c r="Y26" s="93" t="s">
        <v>631</v>
      </c>
      <c r="Z26" s="96" t="s">
        <v>632</v>
      </c>
      <c r="AA26" s="96"/>
      <c r="AB26" s="29">
        <v>0</v>
      </c>
      <c r="AC26" s="145">
        <v>0</v>
      </c>
      <c r="AD26" s="145">
        <v>0</v>
      </c>
      <c r="AE26" s="145">
        <v>0</v>
      </c>
      <c r="AF26" s="145">
        <v>0</v>
      </c>
      <c r="AG26" s="145">
        <v>0</v>
      </c>
      <c r="AH26" s="145">
        <v>0</v>
      </c>
      <c r="AI26" s="142">
        <f t="shared" si="3"/>
        <v>0</v>
      </c>
      <c r="AJ26" s="141"/>
      <c r="AK26" s="67"/>
      <c r="AL26" s="67"/>
      <c r="AM26" s="24"/>
      <c r="AN26" s="24"/>
      <c r="AO26" s="24"/>
      <c r="AP26" s="71"/>
      <c r="AQ26" s="69" t="s">
        <v>795</v>
      </c>
      <c r="AR26" s="141"/>
      <c r="AS26" s="141"/>
      <c r="AT26" s="141"/>
      <c r="AU26" s="141">
        <v>40</v>
      </c>
      <c r="AV26" s="86">
        <v>45931</v>
      </c>
      <c r="AW26" s="141" t="s">
        <v>757</v>
      </c>
      <c r="AX26" s="141"/>
      <c r="AY26" s="141"/>
      <c r="AZ26" s="141"/>
      <c r="BA26" s="141" t="s">
        <v>757</v>
      </c>
    </row>
    <row r="27" spans="1:53" ht="45" customHeight="1">
      <c r="A27" s="153">
        <f t="shared" si="2"/>
        <v>24</v>
      </c>
      <c r="B27" s="153" t="s">
        <v>57</v>
      </c>
      <c r="C27" s="153" t="s">
        <v>61</v>
      </c>
      <c r="D27" s="28" t="s">
        <v>643</v>
      </c>
      <c r="E27" s="69" t="s">
        <v>789</v>
      </c>
      <c r="F27" s="39">
        <v>2</v>
      </c>
      <c r="G27" s="141" t="s">
        <v>150</v>
      </c>
      <c r="H27" s="141" t="s">
        <v>770</v>
      </c>
      <c r="I27" s="141"/>
      <c r="J27" s="141" t="s">
        <v>10</v>
      </c>
      <c r="K27" s="141"/>
      <c r="L27" s="69"/>
      <c r="M27" s="141" t="s">
        <v>880</v>
      </c>
      <c r="N27" s="59">
        <v>3</v>
      </c>
      <c r="O27" s="59">
        <v>3</v>
      </c>
      <c r="P27" s="105" t="s">
        <v>33</v>
      </c>
      <c r="Q27" s="105" t="s">
        <v>33</v>
      </c>
      <c r="R27" s="105"/>
      <c r="S27" s="105" t="s">
        <v>1153</v>
      </c>
      <c r="T27" s="105" t="s">
        <v>1190</v>
      </c>
      <c r="U27" s="90">
        <v>45961</v>
      </c>
      <c r="V27" s="90">
        <v>45989</v>
      </c>
      <c r="W27" s="90">
        <v>45989</v>
      </c>
      <c r="X27" s="90">
        <v>45985</v>
      </c>
      <c r="Y27" s="93" t="s">
        <v>1059</v>
      </c>
      <c r="Z27" s="96" t="s">
        <v>894</v>
      </c>
      <c r="AA27" s="96" t="s">
        <v>895</v>
      </c>
      <c r="AB27" s="29">
        <v>0</v>
      </c>
      <c r="AC27" s="145">
        <v>0</v>
      </c>
      <c r="AD27" s="145">
        <v>0</v>
      </c>
      <c r="AE27" s="145">
        <v>0</v>
      </c>
      <c r="AF27" s="145">
        <v>0</v>
      </c>
      <c r="AG27" s="145">
        <v>0</v>
      </c>
      <c r="AH27" s="145">
        <v>0</v>
      </c>
      <c r="AI27" s="142">
        <f t="shared" si="3"/>
        <v>0</v>
      </c>
      <c r="AJ27" s="141"/>
      <c r="AK27" s="67"/>
      <c r="AL27" s="67"/>
      <c r="AM27" s="24"/>
      <c r="AN27" s="24"/>
      <c r="AO27" s="24"/>
      <c r="AP27" s="71"/>
      <c r="AQ27" s="69" t="s">
        <v>790</v>
      </c>
      <c r="AR27" s="141"/>
      <c r="AS27" s="141"/>
      <c r="AT27" s="141"/>
      <c r="AU27" s="141">
        <v>35</v>
      </c>
      <c r="AV27" s="86">
        <v>45931</v>
      </c>
      <c r="AW27" s="141" t="s">
        <v>757</v>
      </c>
      <c r="AX27" s="141" t="s">
        <v>757</v>
      </c>
      <c r="AY27" s="141" t="s">
        <v>757</v>
      </c>
      <c r="AZ27" s="141" t="s">
        <v>757</v>
      </c>
      <c r="BA27" s="141"/>
    </row>
    <row r="28" spans="1:53" ht="45" customHeight="1">
      <c r="A28" s="153">
        <f t="shared" si="2"/>
        <v>25</v>
      </c>
      <c r="B28" s="153" t="s">
        <v>57</v>
      </c>
      <c r="C28" s="153" t="s">
        <v>63</v>
      </c>
      <c r="D28" s="28" t="s">
        <v>154</v>
      </c>
      <c r="E28" s="69" t="s">
        <v>851</v>
      </c>
      <c r="F28" s="39">
        <v>1</v>
      </c>
      <c r="G28" s="141" t="s">
        <v>150</v>
      </c>
      <c r="H28" s="141" t="s">
        <v>765</v>
      </c>
      <c r="I28" s="141"/>
      <c r="J28" s="141" t="s">
        <v>26</v>
      </c>
      <c r="K28" s="141"/>
      <c r="L28" s="69"/>
      <c r="M28" s="141"/>
      <c r="N28" s="59">
        <v>5</v>
      </c>
      <c r="O28" s="59">
        <v>5</v>
      </c>
      <c r="P28" s="105" t="s">
        <v>34</v>
      </c>
      <c r="Q28" s="105" t="s">
        <v>32</v>
      </c>
      <c r="R28" s="105"/>
      <c r="S28" s="105" t="s">
        <v>1221</v>
      </c>
      <c r="T28" s="105" t="s">
        <v>1192</v>
      </c>
      <c r="U28" s="90">
        <v>45973</v>
      </c>
      <c r="V28" s="90">
        <v>45991</v>
      </c>
      <c r="W28" s="90">
        <v>45991</v>
      </c>
      <c r="X28" s="90"/>
      <c r="Y28" s="93" t="s">
        <v>1097</v>
      </c>
      <c r="Z28" s="96" t="s">
        <v>1098</v>
      </c>
      <c r="AA28" s="96" t="s">
        <v>920</v>
      </c>
      <c r="AB28" s="29">
        <v>0</v>
      </c>
      <c r="AC28" s="145">
        <v>0</v>
      </c>
      <c r="AD28" s="145">
        <v>0</v>
      </c>
      <c r="AE28" s="145">
        <v>0</v>
      </c>
      <c r="AF28" s="145">
        <v>0</v>
      </c>
      <c r="AG28" s="145">
        <v>0</v>
      </c>
      <c r="AH28" s="145">
        <v>0</v>
      </c>
      <c r="AI28" s="142">
        <f t="shared" si="3"/>
        <v>0</v>
      </c>
      <c r="AJ28" s="141"/>
      <c r="AK28" s="67"/>
      <c r="AL28" s="67"/>
      <c r="AM28" s="24"/>
      <c r="AN28" s="24"/>
      <c r="AO28" s="24"/>
      <c r="AP28" s="71"/>
      <c r="AQ28" s="69" t="s">
        <v>852</v>
      </c>
      <c r="AR28" s="141">
        <v>5</v>
      </c>
      <c r="AS28" s="141" t="s">
        <v>756</v>
      </c>
      <c r="AT28" s="141"/>
      <c r="AU28" s="141"/>
      <c r="AV28" s="141"/>
      <c r="AW28" s="141" t="s">
        <v>757</v>
      </c>
      <c r="AX28" s="141" t="s">
        <v>757</v>
      </c>
      <c r="AY28" s="141" t="s">
        <v>757</v>
      </c>
      <c r="AZ28" s="141"/>
      <c r="BA28" s="141" t="s">
        <v>757</v>
      </c>
    </row>
    <row r="29" spans="1:53" ht="45" customHeight="1">
      <c r="A29" s="153">
        <f t="shared" si="2"/>
        <v>26</v>
      </c>
      <c r="B29" s="153" t="s">
        <v>57</v>
      </c>
      <c r="C29" s="153" t="s">
        <v>63</v>
      </c>
      <c r="D29" s="28" t="s">
        <v>141</v>
      </c>
      <c r="E29" s="69"/>
      <c r="F29" s="39">
        <v>1</v>
      </c>
      <c r="G29" s="141" t="s">
        <v>150</v>
      </c>
      <c r="H29" s="141" t="s">
        <v>210</v>
      </c>
      <c r="I29" s="141"/>
      <c r="J29" s="141" t="s">
        <v>26</v>
      </c>
      <c r="K29" s="141"/>
      <c r="L29" s="69"/>
      <c r="M29" s="141"/>
      <c r="N29" s="59">
        <v>0</v>
      </c>
      <c r="O29" s="59">
        <v>0</v>
      </c>
      <c r="P29" s="105" t="s">
        <v>31</v>
      </c>
      <c r="Q29" s="105" t="s">
        <v>31</v>
      </c>
      <c r="R29" s="105" t="s">
        <v>1037</v>
      </c>
      <c r="S29" s="105" t="s">
        <v>1193</v>
      </c>
      <c r="T29" s="105" t="s">
        <v>1194</v>
      </c>
      <c r="U29" s="90">
        <v>45945</v>
      </c>
      <c r="V29" s="90">
        <v>45986</v>
      </c>
      <c r="W29" s="90">
        <v>45986</v>
      </c>
      <c r="X29" s="90"/>
      <c r="Y29" s="93" t="s">
        <v>1195</v>
      </c>
      <c r="Z29" s="96" t="s">
        <v>638</v>
      </c>
      <c r="AA29" s="96" t="s">
        <v>922</v>
      </c>
      <c r="AB29" s="29">
        <v>0</v>
      </c>
      <c r="AC29" s="145">
        <v>0</v>
      </c>
      <c r="AD29" s="145">
        <v>0</v>
      </c>
      <c r="AE29" s="145">
        <v>0</v>
      </c>
      <c r="AF29" s="145">
        <v>0</v>
      </c>
      <c r="AG29" s="145">
        <v>0</v>
      </c>
      <c r="AH29" s="145">
        <v>0</v>
      </c>
      <c r="AI29" s="142">
        <f t="shared" si="3"/>
        <v>0</v>
      </c>
      <c r="AJ29" s="141"/>
      <c r="AK29" s="67"/>
      <c r="AL29" s="67"/>
      <c r="AM29" s="24"/>
      <c r="AN29" s="24"/>
      <c r="AO29" s="24"/>
      <c r="AP29" s="71"/>
      <c r="AQ29" s="69" t="s">
        <v>854</v>
      </c>
      <c r="AR29" s="141">
        <v>2</v>
      </c>
      <c r="AS29" s="141" t="s">
        <v>855</v>
      </c>
      <c r="AT29" s="141"/>
      <c r="AU29" s="141">
        <v>50</v>
      </c>
      <c r="AV29" s="86">
        <v>45962</v>
      </c>
      <c r="AW29" s="141" t="s">
        <v>757</v>
      </c>
      <c r="AX29" s="141" t="s">
        <v>757</v>
      </c>
      <c r="AY29" s="141" t="s">
        <v>757</v>
      </c>
      <c r="AZ29" s="141"/>
      <c r="BA29" s="141"/>
    </row>
    <row r="30" spans="1:53" ht="45" customHeight="1">
      <c r="A30" s="153">
        <f t="shared" si="2"/>
        <v>27</v>
      </c>
      <c r="B30" s="153" t="s">
        <v>57</v>
      </c>
      <c r="C30" s="153" t="s">
        <v>61</v>
      </c>
      <c r="D30" s="28" t="s">
        <v>246</v>
      </c>
      <c r="E30" s="69" t="s">
        <v>784</v>
      </c>
      <c r="F30" s="39">
        <v>2</v>
      </c>
      <c r="G30" s="141" t="s">
        <v>150</v>
      </c>
      <c r="H30" s="141" t="s">
        <v>753</v>
      </c>
      <c r="I30" s="141"/>
      <c r="J30" s="141" t="s">
        <v>14</v>
      </c>
      <c r="K30" s="141"/>
      <c r="L30" s="69"/>
      <c r="M30" s="141"/>
      <c r="N30" s="59">
        <v>1</v>
      </c>
      <c r="O30" s="59">
        <v>1</v>
      </c>
      <c r="P30" s="105" t="s">
        <v>31</v>
      </c>
      <c r="Q30" s="105" t="s">
        <v>31</v>
      </c>
      <c r="R30" s="105" t="s">
        <v>882</v>
      </c>
      <c r="S30" s="105" t="s">
        <v>1196</v>
      </c>
      <c r="T30" s="105" t="s">
        <v>1081</v>
      </c>
      <c r="U30" s="90">
        <v>45965</v>
      </c>
      <c r="V30" s="90">
        <v>45982</v>
      </c>
      <c r="W30" s="90">
        <v>45982</v>
      </c>
      <c r="X30" s="90"/>
      <c r="Y30" s="93" t="s">
        <v>1150</v>
      </c>
      <c r="Z30" s="96" t="s">
        <v>701</v>
      </c>
      <c r="AA30" s="96" t="s">
        <v>1134</v>
      </c>
      <c r="AB30" s="29">
        <v>0</v>
      </c>
      <c r="AC30" s="145">
        <v>0</v>
      </c>
      <c r="AD30" s="145">
        <v>0</v>
      </c>
      <c r="AE30" s="145">
        <v>0</v>
      </c>
      <c r="AF30" s="145">
        <v>0</v>
      </c>
      <c r="AG30" s="145">
        <v>0</v>
      </c>
      <c r="AH30" s="145">
        <v>0</v>
      </c>
      <c r="AI30" s="142">
        <f t="shared" si="3"/>
        <v>0</v>
      </c>
      <c r="AJ30" s="141"/>
      <c r="AK30" s="67"/>
      <c r="AL30" s="67"/>
      <c r="AM30" s="24"/>
      <c r="AN30" s="24"/>
      <c r="AO30" s="24"/>
      <c r="AP30" s="71"/>
      <c r="AQ30" s="69" t="s">
        <v>785</v>
      </c>
      <c r="AR30" s="141"/>
      <c r="AS30" s="141"/>
      <c r="AT30" s="141">
        <v>5</v>
      </c>
      <c r="AU30" s="141">
        <v>10</v>
      </c>
      <c r="AV30" s="141"/>
      <c r="AW30" s="141"/>
      <c r="AX30" s="141" t="s">
        <v>757</v>
      </c>
      <c r="AY30" s="141"/>
      <c r="AZ30" s="141" t="s">
        <v>757</v>
      </c>
      <c r="BA30" s="141" t="s">
        <v>757</v>
      </c>
    </row>
    <row r="31" spans="1:53" ht="108" customHeight="1">
      <c r="A31" s="153">
        <f t="shared" si="2"/>
        <v>28</v>
      </c>
      <c r="B31" s="153" t="s">
        <v>58</v>
      </c>
      <c r="C31" s="153" t="s">
        <v>63</v>
      </c>
      <c r="D31" s="28" t="s">
        <v>628</v>
      </c>
      <c r="E31" s="69"/>
      <c r="F31" s="39">
        <v>2</v>
      </c>
      <c r="G31" s="141" t="s">
        <v>150</v>
      </c>
      <c r="H31" s="141" t="s">
        <v>797</v>
      </c>
      <c r="I31" s="141"/>
      <c r="J31" s="141" t="s">
        <v>6</v>
      </c>
      <c r="K31" s="141"/>
      <c r="L31" s="69"/>
      <c r="M31" s="141"/>
      <c r="N31" s="59"/>
      <c r="O31" s="59"/>
      <c r="P31" s="105" t="s">
        <v>33</v>
      </c>
      <c r="Q31" s="105" t="s">
        <v>33</v>
      </c>
      <c r="R31" s="105"/>
      <c r="S31" s="105" t="s">
        <v>1168</v>
      </c>
      <c r="T31" s="105" t="s">
        <v>1125</v>
      </c>
      <c r="U31" s="90"/>
      <c r="V31" s="90"/>
      <c r="W31" s="90"/>
      <c r="X31" s="90"/>
      <c r="Y31" s="93" t="s">
        <v>629</v>
      </c>
      <c r="Z31" s="96"/>
      <c r="AA31" s="96"/>
      <c r="AB31" s="29">
        <v>0</v>
      </c>
      <c r="AC31" s="145">
        <v>0</v>
      </c>
      <c r="AD31" s="145">
        <v>0</v>
      </c>
      <c r="AE31" s="145">
        <v>0</v>
      </c>
      <c r="AF31" s="145">
        <v>0</v>
      </c>
      <c r="AG31" s="145">
        <v>0</v>
      </c>
      <c r="AH31" s="145">
        <v>0</v>
      </c>
      <c r="AI31" s="142">
        <f t="shared" si="3"/>
        <v>0</v>
      </c>
      <c r="AJ31" s="141"/>
      <c r="AK31" s="67"/>
      <c r="AL31" s="67"/>
      <c r="AM31" s="24"/>
      <c r="AN31" s="24"/>
      <c r="AO31" s="24"/>
      <c r="AP31" s="71"/>
      <c r="AQ31" s="69" t="s">
        <v>868</v>
      </c>
      <c r="AR31" s="141"/>
      <c r="AS31" s="141"/>
      <c r="AT31" s="141"/>
      <c r="AU31" s="141">
        <v>60</v>
      </c>
      <c r="AV31" s="86">
        <v>45962</v>
      </c>
      <c r="AW31" s="141" t="s">
        <v>757</v>
      </c>
      <c r="AX31" s="141" t="s">
        <v>757</v>
      </c>
      <c r="AY31" s="141"/>
      <c r="AZ31" s="141"/>
      <c r="BA31" s="141" t="s">
        <v>757</v>
      </c>
    </row>
    <row r="32" spans="1:53" ht="45" customHeight="1">
      <c r="A32" s="153">
        <f t="shared" si="2"/>
        <v>29</v>
      </c>
      <c r="B32" s="153" t="s">
        <v>57</v>
      </c>
      <c r="C32" s="153" t="s">
        <v>63</v>
      </c>
      <c r="D32" s="28" t="s">
        <v>674</v>
      </c>
      <c r="E32" s="69"/>
      <c r="F32" s="39">
        <v>3</v>
      </c>
      <c r="G32" s="141" t="s">
        <v>150</v>
      </c>
      <c r="H32" s="141" t="s">
        <v>805</v>
      </c>
      <c r="I32" s="141"/>
      <c r="J32" s="141" t="s">
        <v>26</v>
      </c>
      <c r="K32" s="21"/>
      <c r="L32" s="69"/>
      <c r="M32" s="141"/>
      <c r="N32" s="59">
        <v>4</v>
      </c>
      <c r="O32" s="59">
        <v>4</v>
      </c>
      <c r="P32" s="105" t="s">
        <v>34</v>
      </c>
      <c r="Q32" s="105" t="s">
        <v>34</v>
      </c>
      <c r="R32" s="105" t="s">
        <v>1031</v>
      </c>
      <c r="S32" s="105" t="s">
        <v>1197</v>
      </c>
      <c r="T32" s="105" t="s">
        <v>1125</v>
      </c>
      <c r="U32" s="90">
        <v>45965</v>
      </c>
      <c r="V32" s="90">
        <v>45986</v>
      </c>
      <c r="W32" s="90">
        <v>45986</v>
      </c>
      <c r="X32" s="90"/>
      <c r="Y32" s="93" t="s">
        <v>1093</v>
      </c>
      <c r="Z32" s="96" t="s">
        <v>1094</v>
      </c>
      <c r="AA32" s="96"/>
      <c r="AB32" s="29">
        <v>0</v>
      </c>
      <c r="AC32" s="145">
        <v>0</v>
      </c>
      <c r="AD32" s="145">
        <v>0</v>
      </c>
      <c r="AE32" s="145">
        <v>0</v>
      </c>
      <c r="AF32" s="145">
        <v>0</v>
      </c>
      <c r="AG32" s="145">
        <v>0</v>
      </c>
      <c r="AH32" s="145">
        <v>0</v>
      </c>
      <c r="AI32" s="142">
        <f t="shared" si="3"/>
        <v>0</v>
      </c>
      <c r="AJ32" s="141"/>
      <c r="AK32" s="67"/>
      <c r="AL32" s="67"/>
      <c r="AM32" s="24"/>
      <c r="AN32" s="24"/>
      <c r="AO32" s="24"/>
      <c r="AP32" s="71"/>
      <c r="AQ32" s="69" t="s">
        <v>849</v>
      </c>
      <c r="AR32" s="141">
        <v>4</v>
      </c>
      <c r="AS32" s="141" t="s">
        <v>756</v>
      </c>
      <c r="AT32" s="141"/>
      <c r="AU32" s="141">
        <v>100</v>
      </c>
      <c r="AV32" s="86">
        <v>45901</v>
      </c>
      <c r="AW32" s="141" t="s">
        <v>757</v>
      </c>
      <c r="AX32" s="141" t="s">
        <v>757</v>
      </c>
      <c r="AY32" s="141" t="s">
        <v>757</v>
      </c>
      <c r="AZ32" s="141" t="s">
        <v>757</v>
      </c>
      <c r="BA32" s="141" t="s">
        <v>757</v>
      </c>
    </row>
    <row r="33" spans="1:53" ht="45" customHeight="1">
      <c r="A33" s="153">
        <f t="shared" si="2"/>
        <v>30</v>
      </c>
      <c r="B33" s="153" t="s">
        <v>57</v>
      </c>
      <c r="C33" s="153" t="s">
        <v>63</v>
      </c>
      <c r="D33" s="28" t="s">
        <v>1111</v>
      </c>
      <c r="E33" s="69" t="s">
        <v>1112</v>
      </c>
      <c r="F33" s="39">
        <v>0</v>
      </c>
      <c r="G33" s="141" t="s">
        <v>150</v>
      </c>
      <c r="H33" s="141" t="s">
        <v>759</v>
      </c>
      <c r="I33" s="141"/>
      <c r="J33" s="141" t="s">
        <v>6</v>
      </c>
      <c r="K33" s="141"/>
      <c r="L33" s="69"/>
      <c r="M33" s="141"/>
      <c r="N33" s="59"/>
      <c r="O33" s="59"/>
      <c r="P33" s="105" t="s">
        <v>33</v>
      </c>
      <c r="Q33" s="105" t="s">
        <v>33</v>
      </c>
      <c r="R33" s="105"/>
      <c r="S33" s="105" t="s">
        <v>1198</v>
      </c>
      <c r="T33" s="105" t="s">
        <v>150</v>
      </c>
      <c r="U33" s="90"/>
      <c r="V33" s="90">
        <v>45985</v>
      </c>
      <c r="W33" s="90">
        <v>45985</v>
      </c>
      <c r="X33" s="90"/>
      <c r="Y33" s="93"/>
      <c r="Z33" s="96" t="s">
        <v>1114</v>
      </c>
      <c r="AA33" s="96"/>
      <c r="AB33" s="29">
        <v>0</v>
      </c>
      <c r="AC33" s="145">
        <v>0</v>
      </c>
      <c r="AD33" s="145">
        <v>0</v>
      </c>
      <c r="AE33" s="145">
        <v>0</v>
      </c>
      <c r="AF33" s="145">
        <v>0</v>
      </c>
      <c r="AG33" s="145">
        <v>0</v>
      </c>
      <c r="AH33" s="145">
        <v>0</v>
      </c>
      <c r="AI33" s="142">
        <f t="shared" si="3"/>
        <v>0</v>
      </c>
      <c r="AJ33" s="141"/>
      <c r="AK33" s="67"/>
      <c r="AL33" s="67"/>
      <c r="AM33" s="24"/>
      <c r="AN33" s="24"/>
      <c r="AO33" s="24"/>
      <c r="AP33" s="71"/>
      <c r="AQ33" s="69"/>
      <c r="AR33" s="141"/>
      <c r="AS33" s="141"/>
      <c r="AT33" s="141"/>
      <c r="AU33" s="141"/>
      <c r="AV33" s="141"/>
      <c r="AW33" s="141"/>
      <c r="AX33" s="141"/>
      <c r="AY33" s="141"/>
      <c r="AZ33" s="141"/>
      <c r="BA33" s="141"/>
    </row>
    <row r="34" spans="1:53" ht="45" customHeight="1">
      <c r="A34" s="153">
        <f t="shared" si="2"/>
        <v>31</v>
      </c>
      <c r="B34" s="153" t="s">
        <v>57</v>
      </c>
      <c r="C34" s="153" t="s">
        <v>65</v>
      </c>
      <c r="D34" s="28" t="s">
        <v>662</v>
      </c>
      <c r="E34" s="69"/>
      <c r="F34" s="39">
        <v>0</v>
      </c>
      <c r="G34" s="141" t="s">
        <v>150</v>
      </c>
      <c r="H34" s="141" t="s">
        <v>805</v>
      </c>
      <c r="I34" s="141"/>
      <c r="J34" s="141" t="s">
        <v>6</v>
      </c>
      <c r="K34" s="21" t="s">
        <v>44</v>
      </c>
      <c r="L34" s="69"/>
      <c r="M34" s="141"/>
      <c r="N34" s="59"/>
      <c r="O34" s="59"/>
      <c r="P34" s="105" t="s">
        <v>35</v>
      </c>
      <c r="Q34" s="105" t="s">
        <v>35</v>
      </c>
      <c r="R34" s="105"/>
      <c r="S34" s="105" t="s">
        <v>1080</v>
      </c>
      <c r="T34" s="105" t="s">
        <v>150</v>
      </c>
      <c r="U34" s="90">
        <v>45966</v>
      </c>
      <c r="V34" s="90">
        <v>46010</v>
      </c>
      <c r="W34" s="90">
        <v>46010</v>
      </c>
      <c r="X34" s="90"/>
      <c r="Y34" s="93" t="s">
        <v>1082</v>
      </c>
      <c r="Z34" s="96" t="s">
        <v>1083</v>
      </c>
      <c r="AA34" s="96"/>
      <c r="AB34" s="29">
        <v>0</v>
      </c>
      <c r="AC34" s="145">
        <v>0</v>
      </c>
      <c r="AD34" s="145">
        <v>0</v>
      </c>
      <c r="AE34" s="145">
        <v>0</v>
      </c>
      <c r="AF34" s="145">
        <v>0</v>
      </c>
      <c r="AG34" s="145">
        <v>0</v>
      </c>
      <c r="AH34" s="145">
        <v>0</v>
      </c>
      <c r="AI34" s="142">
        <f t="shared" si="3"/>
        <v>0</v>
      </c>
      <c r="AJ34" s="141"/>
      <c r="AK34" s="67"/>
      <c r="AL34" s="67"/>
      <c r="AM34" s="24"/>
      <c r="AN34" s="24"/>
      <c r="AO34" s="24"/>
      <c r="AP34" s="71"/>
      <c r="AQ34" s="69"/>
      <c r="AR34" s="141"/>
      <c r="AS34" s="141"/>
      <c r="AT34" s="141"/>
      <c r="AU34" s="141"/>
      <c r="AV34" s="141"/>
      <c r="AW34" s="141"/>
      <c r="AX34" s="141"/>
      <c r="AY34" s="141"/>
      <c r="AZ34" s="141"/>
      <c r="BA34" s="141"/>
    </row>
    <row r="35" spans="1:53" ht="45" customHeight="1">
      <c r="A35" s="153">
        <f t="shared" si="2"/>
        <v>32</v>
      </c>
      <c r="B35" s="153" t="s">
        <v>57</v>
      </c>
      <c r="C35" s="153" t="s">
        <v>61</v>
      </c>
      <c r="D35" s="28" t="s">
        <v>617</v>
      </c>
      <c r="E35" s="69" t="s">
        <v>775</v>
      </c>
      <c r="F35" s="39">
        <v>2</v>
      </c>
      <c r="G35" s="141" t="s">
        <v>150</v>
      </c>
      <c r="H35" s="141" t="s">
        <v>764</v>
      </c>
      <c r="I35" s="141"/>
      <c r="J35" s="141" t="s">
        <v>26</v>
      </c>
      <c r="K35" s="141"/>
      <c r="L35" s="69"/>
      <c r="M35" s="141"/>
      <c r="N35" s="59">
        <v>4</v>
      </c>
      <c r="O35" s="59">
        <v>3.5</v>
      </c>
      <c r="P35" s="105" t="s">
        <v>32</v>
      </c>
      <c r="Q35" s="105" t="s">
        <v>31</v>
      </c>
      <c r="R35" s="105"/>
      <c r="S35" s="105" t="s">
        <v>1130</v>
      </c>
      <c r="T35" s="105" t="s">
        <v>150</v>
      </c>
      <c r="U35" s="90">
        <v>45966</v>
      </c>
      <c r="V35" s="90">
        <v>45989</v>
      </c>
      <c r="W35" s="90">
        <v>45989</v>
      </c>
      <c r="X35" s="90"/>
      <c r="Y35" s="93" t="s">
        <v>1199</v>
      </c>
      <c r="Z35" s="96" t="s">
        <v>619</v>
      </c>
      <c r="AA35" s="96" t="s">
        <v>1170</v>
      </c>
      <c r="AB35" s="29">
        <v>0</v>
      </c>
      <c r="AC35" s="145">
        <v>0</v>
      </c>
      <c r="AD35" s="145">
        <v>0</v>
      </c>
      <c r="AE35" s="145">
        <v>0</v>
      </c>
      <c r="AF35" s="145">
        <v>0</v>
      </c>
      <c r="AG35" s="145">
        <v>0</v>
      </c>
      <c r="AH35" s="145">
        <v>0</v>
      </c>
      <c r="AI35" s="142">
        <f t="shared" si="3"/>
        <v>0</v>
      </c>
      <c r="AJ35" s="141"/>
      <c r="AK35" s="67"/>
      <c r="AL35" s="67"/>
      <c r="AM35" s="24"/>
      <c r="AN35" s="24"/>
      <c r="AO35" s="24"/>
      <c r="AP35" s="71"/>
      <c r="AQ35" s="69" t="s">
        <v>778</v>
      </c>
      <c r="AR35" s="141">
        <v>5</v>
      </c>
      <c r="AS35" s="141" t="s">
        <v>761</v>
      </c>
      <c r="AT35" s="141"/>
      <c r="AU35" s="141"/>
      <c r="AV35" s="141"/>
      <c r="AW35" s="141"/>
      <c r="AX35" s="141" t="s">
        <v>757</v>
      </c>
      <c r="AY35" s="141"/>
      <c r="AZ35" s="141"/>
      <c r="BA35" s="141" t="s">
        <v>757</v>
      </c>
    </row>
    <row r="36" spans="1:53" ht="45" customHeight="1">
      <c r="A36" s="153">
        <f t="shared" ref="A36:A67" si="4">A35+1</f>
        <v>33</v>
      </c>
      <c r="B36" s="153" t="s">
        <v>57</v>
      </c>
      <c r="C36" s="153" t="s">
        <v>65</v>
      </c>
      <c r="D36" s="28" t="s">
        <v>658</v>
      </c>
      <c r="E36" s="69" t="s">
        <v>804</v>
      </c>
      <c r="F36" s="39">
        <v>2</v>
      </c>
      <c r="G36" s="141" t="s">
        <v>150</v>
      </c>
      <c r="H36" s="141" t="s">
        <v>805</v>
      </c>
      <c r="I36" s="141"/>
      <c r="J36" s="141" t="s">
        <v>6</v>
      </c>
      <c r="K36" s="141"/>
      <c r="L36" s="69"/>
      <c r="M36" s="141"/>
      <c r="N36" s="59">
        <v>4</v>
      </c>
      <c r="O36" s="59">
        <v>4</v>
      </c>
      <c r="P36" s="105" t="s">
        <v>34</v>
      </c>
      <c r="Q36" s="105" t="s">
        <v>34</v>
      </c>
      <c r="R36" s="105"/>
      <c r="S36" s="105" t="s">
        <v>1077</v>
      </c>
      <c r="T36" s="105" t="s">
        <v>1104</v>
      </c>
      <c r="U36" s="90">
        <v>45980</v>
      </c>
      <c r="V36" s="90">
        <v>45992</v>
      </c>
      <c r="W36" s="90">
        <v>45992</v>
      </c>
      <c r="X36" s="90"/>
      <c r="Y36" s="129"/>
      <c r="Z36" s="96" t="s">
        <v>1079</v>
      </c>
      <c r="AA36" s="96" t="s">
        <v>661</v>
      </c>
      <c r="AB36" s="29">
        <v>0</v>
      </c>
      <c r="AC36" s="145">
        <v>0</v>
      </c>
      <c r="AD36" s="145">
        <v>0</v>
      </c>
      <c r="AE36" s="145">
        <v>0</v>
      </c>
      <c r="AF36" s="145">
        <v>0</v>
      </c>
      <c r="AG36" s="145">
        <v>0</v>
      </c>
      <c r="AH36" s="145">
        <v>0</v>
      </c>
      <c r="AI36" s="142">
        <f t="shared" si="3"/>
        <v>0</v>
      </c>
      <c r="AJ36" s="141"/>
      <c r="AK36" s="67"/>
      <c r="AL36" s="67"/>
      <c r="AM36" s="24"/>
      <c r="AN36" s="24"/>
      <c r="AO36" s="24"/>
      <c r="AP36" s="71"/>
      <c r="AQ36" s="69" t="s">
        <v>806</v>
      </c>
      <c r="AR36" s="141">
        <v>4</v>
      </c>
      <c r="AS36" s="141" t="s">
        <v>761</v>
      </c>
      <c r="AT36" s="141"/>
      <c r="AU36" s="141"/>
      <c r="AV36" s="141"/>
      <c r="AW36" s="141"/>
      <c r="AX36" s="141" t="s">
        <v>757</v>
      </c>
      <c r="AY36" s="141"/>
      <c r="AZ36" s="141" t="s">
        <v>757</v>
      </c>
      <c r="BA36" s="141"/>
    </row>
    <row r="37" spans="1:53" ht="45" customHeight="1">
      <c r="A37" s="153">
        <f t="shared" si="4"/>
        <v>34</v>
      </c>
      <c r="B37" s="153" t="s">
        <v>57</v>
      </c>
      <c r="C37" s="153" t="s">
        <v>63</v>
      </c>
      <c r="D37" s="28" t="s">
        <v>680</v>
      </c>
      <c r="E37" s="69"/>
      <c r="F37" s="39">
        <v>1</v>
      </c>
      <c r="G37" s="141" t="s">
        <v>150</v>
      </c>
      <c r="H37" s="141" t="s">
        <v>765</v>
      </c>
      <c r="I37" s="141"/>
      <c r="J37" s="141" t="s">
        <v>26</v>
      </c>
      <c r="K37" s="141"/>
      <c r="L37" s="69"/>
      <c r="M37" s="141"/>
      <c r="N37" s="59">
        <v>5</v>
      </c>
      <c r="O37" s="59">
        <v>5</v>
      </c>
      <c r="P37" s="105" t="s">
        <v>34</v>
      </c>
      <c r="Q37" s="105" t="s">
        <v>31</v>
      </c>
      <c r="R37" s="105"/>
      <c r="S37" s="105" t="s">
        <v>1171</v>
      </c>
      <c r="T37" s="105" t="s">
        <v>1172</v>
      </c>
      <c r="U37" s="90">
        <v>45971</v>
      </c>
      <c r="V37" s="90">
        <v>45986</v>
      </c>
      <c r="W37" s="90">
        <v>45986</v>
      </c>
      <c r="X37" s="90"/>
      <c r="Y37" s="93" t="s">
        <v>1173</v>
      </c>
      <c r="Z37" s="134" t="s">
        <v>1200</v>
      </c>
      <c r="AA37" s="96"/>
      <c r="AB37" s="29">
        <v>0</v>
      </c>
      <c r="AC37" s="145">
        <v>0</v>
      </c>
      <c r="AD37" s="145">
        <v>0</v>
      </c>
      <c r="AE37" s="145">
        <v>0</v>
      </c>
      <c r="AF37" s="145">
        <v>0</v>
      </c>
      <c r="AG37" s="145">
        <v>0</v>
      </c>
      <c r="AH37" s="145">
        <v>0</v>
      </c>
      <c r="AI37" s="142">
        <f t="shared" si="3"/>
        <v>0</v>
      </c>
      <c r="AJ37" s="141"/>
      <c r="AK37" s="67"/>
      <c r="AL37" s="67"/>
      <c r="AM37" s="24"/>
      <c r="AN37" s="24"/>
      <c r="AO37" s="24"/>
      <c r="AP37" s="71"/>
      <c r="AQ37" s="69" t="s">
        <v>860</v>
      </c>
      <c r="AR37" s="141">
        <v>5</v>
      </c>
      <c r="AS37" s="141" t="s">
        <v>756</v>
      </c>
      <c r="AT37" s="141"/>
      <c r="AU37" s="141"/>
      <c r="AV37" s="141"/>
      <c r="AW37" s="141"/>
      <c r="AX37" s="141"/>
      <c r="AY37" s="141"/>
      <c r="AZ37" s="141"/>
      <c r="BA37" s="141" t="s">
        <v>757</v>
      </c>
    </row>
    <row r="38" spans="1:53" ht="45" customHeight="1">
      <c r="A38" s="153">
        <f t="shared" si="4"/>
        <v>35</v>
      </c>
      <c r="B38" s="153" t="s">
        <v>57</v>
      </c>
      <c r="C38" s="153" t="s">
        <v>63</v>
      </c>
      <c r="D38" s="28" t="s">
        <v>648</v>
      </c>
      <c r="E38" s="69"/>
      <c r="F38" s="39">
        <v>2</v>
      </c>
      <c r="G38" s="141" t="s">
        <v>150</v>
      </c>
      <c r="H38" s="141" t="s">
        <v>805</v>
      </c>
      <c r="I38" s="141"/>
      <c r="J38" s="141" t="s">
        <v>6</v>
      </c>
      <c r="K38" s="141"/>
      <c r="L38" s="69"/>
      <c r="M38" s="141"/>
      <c r="N38" s="59"/>
      <c r="O38" s="59"/>
      <c r="P38" s="105" t="s">
        <v>33</v>
      </c>
      <c r="Q38" s="105" t="s">
        <v>33</v>
      </c>
      <c r="R38" s="105"/>
      <c r="S38" s="105" t="s">
        <v>1175</v>
      </c>
      <c r="T38" s="105" t="s">
        <v>805</v>
      </c>
      <c r="U38" s="90">
        <v>45925</v>
      </c>
      <c r="V38" s="90">
        <v>45967</v>
      </c>
      <c r="W38" s="90">
        <v>45982</v>
      </c>
      <c r="X38" s="90"/>
      <c r="Y38" s="93"/>
      <c r="Z38" s="93" t="s">
        <v>1176</v>
      </c>
      <c r="AA38" s="96"/>
      <c r="AB38" s="29">
        <v>0</v>
      </c>
      <c r="AC38" s="145">
        <v>0</v>
      </c>
      <c r="AD38" s="145">
        <v>0</v>
      </c>
      <c r="AE38" s="145">
        <v>0</v>
      </c>
      <c r="AF38" s="145">
        <v>0</v>
      </c>
      <c r="AG38" s="145">
        <v>0</v>
      </c>
      <c r="AH38" s="145">
        <v>0</v>
      </c>
      <c r="AI38" s="142">
        <f t="shared" si="3"/>
        <v>0</v>
      </c>
      <c r="AJ38" s="141"/>
      <c r="AK38" s="67"/>
      <c r="AL38" s="67"/>
      <c r="AM38" s="24"/>
      <c r="AN38" s="24"/>
      <c r="AO38" s="24"/>
      <c r="AP38" s="71"/>
      <c r="AQ38" s="69" t="s">
        <v>866</v>
      </c>
      <c r="AR38" s="141"/>
      <c r="AS38" s="141"/>
      <c r="AT38" s="141"/>
      <c r="AU38" s="141">
        <v>30</v>
      </c>
      <c r="AV38" s="86">
        <v>45901</v>
      </c>
      <c r="AW38" s="141" t="s">
        <v>757</v>
      </c>
      <c r="AX38" s="141" t="s">
        <v>757</v>
      </c>
      <c r="AY38" s="141" t="s">
        <v>757</v>
      </c>
      <c r="AZ38" s="141"/>
      <c r="BA38" s="141"/>
    </row>
    <row r="39" spans="1:53" ht="45" customHeight="1">
      <c r="A39" s="153">
        <f t="shared" si="4"/>
        <v>36</v>
      </c>
      <c r="B39" s="153" t="s">
        <v>57</v>
      </c>
      <c r="C39" s="153" t="s">
        <v>65</v>
      </c>
      <c r="D39" s="28" t="s">
        <v>650</v>
      </c>
      <c r="E39" s="69" t="s">
        <v>827</v>
      </c>
      <c r="F39" s="39">
        <v>3</v>
      </c>
      <c r="G39" s="141" t="s">
        <v>150</v>
      </c>
      <c r="H39" s="141" t="s">
        <v>797</v>
      </c>
      <c r="I39" s="141"/>
      <c r="J39" s="141" t="s">
        <v>14</v>
      </c>
      <c r="K39" s="21"/>
      <c r="L39" s="69"/>
      <c r="M39" s="141"/>
      <c r="N39" s="59">
        <v>4</v>
      </c>
      <c r="O39" s="59">
        <v>4</v>
      </c>
      <c r="P39" s="105" t="s">
        <v>34</v>
      </c>
      <c r="Q39" s="105" t="s">
        <v>31</v>
      </c>
      <c r="R39" s="105"/>
      <c r="S39" s="105" t="s">
        <v>1065</v>
      </c>
      <c r="T39" s="105" t="s">
        <v>759</v>
      </c>
      <c r="U39" s="90">
        <v>45965</v>
      </c>
      <c r="V39" s="90">
        <v>45994</v>
      </c>
      <c r="W39" s="90">
        <v>45994</v>
      </c>
      <c r="X39" s="90"/>
      <c r="Y39" s="93" t="s">
        <v>1222</v>
      </c>
      <c r="Z39" s="96" t="s">
        <v>1003</v>
      </c>
      <c r="AA39" s="96"/>
      <c r="AB39" s="29">
        <v>0</v>
      </c>
      <c r="AC39" s="145">
        <v>0</v>
      </c>
      <c r="AD39" s="145">
        <v>0</v>
      </c>
      <c r="AE39" s="145">
        <v>0</v>
      </c>
      <c r="AF39" s="145">
        <v>0</v>
      </c>
      <c r="AG39" s="145">
        <v>0</v>
      </c>
      <c r="AH39" s="145">
        <v>0</v>
      </c>
      <c r="AI39" s="142">
        <f t="shared" si="3"/>
        <v>0</v>
      </c>
      <c r="AJ39" s="141"/>
      <c r="AK39" s="67"/>
      <c r="AL39" s="67"/>
      <c r="AM39" s="24"/>
      <c r="AN39" s="24"/>
      <c r="AO39" s="24"/>
      <c r="AP39" s="71"/>
      <c r="AQ39" s="69" t="s">
        <v>828</v>
      </c>
      <c r="AR39" s="141"/>
      <c r="AS39" s="141"/>
      <c r="AT39" s="141">
        <v>80</v>
      </c>
      <c r="AU39" s="141"/>
      <c r="AV39" s="141"/>
      <c r="AW39" s="141"/>
      <c r="AX39" s="141" t="s">
        <v>757</v>
      </c>
      <c r="AY39" s="141" t="s">
        <v>757</v>
      </c>
      <c r="AZ39" s="141"/>
      <c r="BA39" s="141"/>
    </row>
    <row r="40" spans="1:53" ht="127.5" customHeight="1">
      <c r="A40" s="153">
        <f t="shared" si="4"/>
        <v>37</v>
      </c>
      <c r="B40" s="153" t="s">
        <v>57</v>
      </c>
      <c r="C40" s="153" t="s">
        <v>63</v>
      </c>
      <c r="D40" s="28" t="s">
        <v>608</v>
      </c>
      <c r="E40" s="69"/>
      <c r="F40" s="39">
        <v>1</v>
      </c>
      <c r="G40" s="141" t="s">
        <v>150</v>
      </c>
      <c r="H40" s="141" t="s">
        <v>765</v>
      </c>
      <c r="I40" s="141"/>
      <c r="J40" s="141" t="s">
        <v>26</v>
      </c>
      <c r="K40" s="141"/>
      <c r="L40" s="69"/>
      <c r="M40" s="141"/>
      <c r="N40" s="59">
        <v>0</v>
      </c>
      <c r="O40" s="59">
        <v>0</v>
      </c>
      <c r="P40" s="105" t="s">
        <v>34</v>
      </c>
      <c r="Q40" s="105" t="s">
        <v>31</v>
      </c>
      <c r="R40" s="105"/>
      <c r="S40" s="105" t="s">
        <v>1201</v>
      </c>
      <c r="T40" s="105" t="s">
        <v>1085</v>
      </c>
      <c r="U40" s="90">
        <v>45966</v>
      </c>
      <c r="V40" s="90">
        <v>45982</v>
      </c>
      <c r="W40" s="90">
        <v>45982</v>
      </c>
      <c r="X40" s="90"/>
      <c r="Y40" s="93" t="s">
        <v>1101</v>
      </c>
      <c r="Z40" s="96" t="s">
        <v>1102</v>
      </c>
      <c r="AA40" s="96"/>
      <c r="AB40" s="29">
        <v>0</v>
      </c>
      <c r="AC40" s="145">
        <v>0</v>
      </c>
      <c r="AD40" s="145">
        <v>0</v>
      </c>
      <c r="AE40" s="145">
        <v>0</v>
      </c>
      <c r="AF40" s="145">
        <v>0</v>
      </c>
      <c r="AG40" s="145">
        <v>0</v>
      </c>
      <c r="AH40" s="145">
        <v>0</v>
      </c>
      <c r="AI40" s="142">
        <f t="shared" si="3"/>
        <v>0</v>
      </c>
      <c r="AJ40" s="141"/>
      <c r="AK40" s="67"/>
      <c r="AL40" s="67"/>
      <c r="AM40" s="24"/>
      <c r="AN40" s="24"/>
      <c r="AO40" s="24"/>
      <c r="AP40" s="71"/>
      <c r="AQ40" s="69" t="s">
        <v>857</v>
      </c>
      <c r="AR40" s="141">
        <v>5</v>
      </c>
      <c r="AS40" s="141" t="s">
        <v>761</v>
      </c>
      <c r="AT40" s="141"/>
      <c r="AU40" s="141">
        <v>80</v>
      </c>
      <c r="AV40" s="86">
        <v>45931</v>
      </c>
      <c r="AW40" s="141" t="s">
        <v>757</v>
      </c>
      <c r="AX40" s="141" t="s">
        <v>757</v>
      </c>
      <c r="AY40" s="141"/>
      <c r="AZ40" s="141"/>
      <c r="BA40" s="141" t="s">
        <v>757</v>
      </c>
    </row>
    <row r="41" spans="1:53" ht="121.5" customHeight="1">
      <c r="A41" s="153">
        <f t="shared" si="4"/>
        <v>38</v>
      </c>
      <c r="B41" s="153" t="s">
        <v>57</v>
      </c>
      <c r="C41" s="153" t="s">
        <v>63</v>
      </c>
      <c r="D41" s="28" t="s">
        <v>1202</v>
      </c>
      <c r="E41" s="69"/>
      <c r="F41" s="39">
        <v>1</v>
      </c>
      <c r="G41" s="141" t="s">
        <v>150</v>
      </c>
      <c r="H41" s="141" t="s">
        <v>764</v>
      </c>
      <c r="I41" s="141"/>
      <c r="J41" s="141" t="s">
        <v>6</v>
      </c>
      <c r="K41" s="141"/>
      <c r="L41" s="69"/>
      <c r="M41" s="141"/>
      <c r="N41" s="59">
        <v>4</v>
      </c>
      <c r="O41" s="59">
        <v>4</v>
      </c>
      <c r="P41" s="105" t="s">
        <v>34</v>
      </c>
      <c r="Q41" s="105" t="s">
        <v>32</v>
      </c>
      <c r="R41" s="105"/>
      <c r="S41" s="105"/>
      <c r="T41" s="105"/>
      <c r="U41" s="90"/>
      <c r="V41" s="90">
        <v>45925</v>
      </c>
      <c r="W41" s="90"/>
      <c r="X41" s="90"/>
      <c r="Y41" s="93" t="s">
        <v>714</v>
      </c>
      <c r="Z41" s="93" t="s">
        <v>715</v>
      </c>
      <c r="AA41" s="96"/>
      <c r="AB41" s="29">
        <v>0</v>
      </c>
      <c r="AC41" s="145">
        <v>0</v>
      </c>
      <c r="AD41" s="145">
        <v>0</v>
      </c>
      <c r="AE41" s="145">
        <v>0</v>
      </c>
      <c r="AF41" s="145">
        <v>0</v>
      </c>
      <c r="AG41" s="145">
        <v>0</v>
      </c>
      <c r="AH41" s="145">
        <v>0</v>
      </c>
      <c r="AI41" s="142">
        <f t="shared" si="3"/>
        <v>0</v>
      </c>
      <c r="AJ41" s="141"/>
      <c r="AK41" s="67"/>
      <c r="AL41" s="67"/>
      <c r="AM41" s="24"/>
      <c r="AN41" s="24"/>
      <c r="AO41" s="24"/>
      <c r="AP41" s="71"/>
      <c r="AQ41" s="69" t="s">
        <v>864</v>
      </c>
      <c r="AR41" s="141"/>
      <c r="AS41" s="141"/>
      <c r="AT41" s="141"/>
      <c r="AU41" s="141">
        <v>50</v>
      </c>
      <c r="AV41" s="86">
        <v>45901</v>
      </c>
      <c r="AW41" s="141" t="s">
        <v>757</v>
      </c>
      <c r="AX41" s="141" t="s">
        <v>757</v>
      </c>
      <c r="AY41" s="141"/>
      <c r="AZ41" s="141"/>
      <c r="BA41" s="141" t="s">
        <v>757</v>
      </c>
    </row>
    <row r="42" spans="1:53" ht="69" customHeight="1">
      <c r="A42" s="153">
        <f t="shared" si="4"/>
        <v>39</v>
      </c>
      <c r="B42" s="153" t="s">
        <v>57</v>
      </c>
      <c r="C42" s="153" t="s">
        <v>63</v>
      </c>
      <c r="D42" s="28" t="s">
        <v>705</v>
      </c>
      <c r="E42" s="69"/>
      <c r="F42" s="39">
        <v>2</v>
      </c>
      <c r="G42" s="141" t="s">
        <v>409</v>
      </c>
      <c r="H42" s="141" t="s">
        <v>861</v>
      </c>
      <c r="I42" s="141"/>
      <c r="J42" s="141" t="s">
        <v>26</v>
      </c>
      <c r="K42" s="141"/>
      <c r="L42" s="69"/>
      <c r="M42" s="141"/>
      <c r="N42" s="59"/>
      <c r="O42" s="59"/>
      <c r="P42" s="105" t="s">
        <v>33</v>
      </c>
      <c r="Q42" s="105" t="s">
        <v>33</v>
      </c>
      <c r="R42" s="105"/>
      <c r="S42" s="105" t="s">
        <v>1223</v>
      </c>
      <c r="T42" s="105" t="s">
        <v>759</v>
      </c>
      <c r="U42" s="90"/>
      <c r="V42" s="90"/>
      <c r="W42" s="90"/>
      <c r="X42" s="90"/>
      <c r="Y42" s="93" t="s">
        <v>1204</v>
      </c>
      <c r="Z42" s="96" t="s">
        <v>706</v>
      </c>
      <c r="AA42" s="96"/>
      <c r="AB42" s="29">
        <v>0</v>
      </c>
      <c r="AC42" s="145">
        <v>0</v>
      </c>
      <c r="AD42" s="145">
        <v>0</v>
      </c>
      <c r="AE42" s="145">
        <v>0</v>
      </c>
      <c r="AF42" s="145">
        <v>0</v>
      </c>
      <c r="AG42" s="145">
        <v>0</v>
      </c>
      <c r="AH42" s="145">
        <v>0</v>
      </c>
      <c r="AI42" s="142">
        <f t="shared" si="3"/>
        <v>0</v>
      </c>
      <c r="AJ42" s="141"/>
      <c r="AK42" s="67"/>
      <c r="AL42" s="67"/>
      <c r="AM42" s="24"/>
      <c r="AN42" s="24"/>
      <c r="AO42" s="24"/>
      <c r="AP42" s="71"/>
      <c r="AQ42" s="69" t="s">
        <v>862</v>
      </c>
      <c r="AR42" s="141">
        <v>10</v>
      </c>
      <c r="AS42" s="141" t="s">
        <v>761</v>
      </c>
      <c r="AT42" s="141"/>
      <c r="AU42" s="141"/>
      <c r="AV42" s="141"/>
      <c r="AW42" s="141" t="s">
        <v>757</v>
      </c>
      <c r="AX42" s="141" t="s">
        <v>757</v>
      </c>
      <c r="AY42" s="141" t="s">
        <v>757</v>
      </c>
      <c r="AZ42" s="141"/>
      <c r="BA42" s="141"/>
    </row>
    <row r="43" spans="1:53" ht="89.25">
      <c r="A43" s="153">
        <f t="shared" si="4"/>
        <v>40</v>
      </c>
      <c r="B43" s="153" t="s">
        <v>57</v>
      </c>
      <c r="C43" s="153" t="s">
        <v>65</v>
      </c>
      <c r="D43" s="28" t="s">
        <v>667</v>
      </c>
      <c r="E43" s="69" t="s">
        <v>839</v>
      </c>
      <c r="F43" s="39">
        <v>2</v>
      </c>
      <c r="G43" s="141" t="s">
        <v>123</v>
      </c>
      <c r="H43" s="141" t="s">
        <v>797</v>
      </c>
      <c r="I43" s="141"/>
      <c r="J43" s="141" t="s">
        <v>26</v>
      </c>
      <c r="K43" s="141"/>
      <c r="L43" s="69"/>
      <c r="M43" s="141"/>
      <c r="N43" s="59">
        <v>4</v>
      </c>
      <c r="O43" s="59">
        <v>4</v>
      </c>
      <c r="P43" s="105" t="s">
        <v>33</v>
      </c>
      <c r="Q43" s="105" t="s">
        <v>33</v>
      </c>
      <c r="R43" s="105"/>
      <c r="S43" s="105" t="s">
        <v>1140</v>
      </c>
      <c r="T43" s="105" t="s">
        <v>1141</v>
      </c>
      <c r="U43" s="90">
        <v>45967</v>
      </c>
      <c r="V43" s="90">
        <v>45992</v>
      </c>
      <c r="W43" s="90">
        <v>45992</v>
      </c>
      <c r="X43" s="90"/>
      <c r="Y43" s="93" t="s">
        <v>1142</v>
      </c>
      <c r="Z43" s="96" t="s">
        <v>1019</v>
      </c>
      <c r="AA43" s="96"/>
      <c r="AB43" s="29">
        <v>0</v>
      </c>
      <c r="AC43" s="145">
        <v>0</v>
      </c>
      <c r="AD43" s="145">
        <v>0</v>
      </c>
      <c r="AE43" s="145">
        <v>0</v>
      </c>
      <c r="AF43" s="145">
        <v>0</v>
      </c>
      <c r="AG43" s="145">
        <v>0</v>
      </c>
      <c r="AH43" s="145">
        <v>0</v>
      </c>
      <c r="AI43" s="142">
        <f t="shared" si="3"/>
        <v>0</v>
      </c>
      <c r="AJ43" s="141"/>
      <c r="AK43" s="67"/>
      <c r="AL43" s="67"/>
      <c r="AM43" s="24"/>
      <c r="AN43" s="24"/>
      <c r="AO43" s="24"/>
      <c r="AP43" s="71"/>
      <c r="AQ43" s="69" t="s">
        <v>840</v>
      </c>
      <c r="AR43" s="141"/>
      <c r="AS43" s="141"/>
      <c r="AT43" s="141"/>
      <c r="AU43" s="141">
        <v>15</v>
      </c>
      <c r="AV43" s="86">
        <v>45992</v>
      </c>
      <c r="AW43" s="141" t="s">
        <v>757</v>
      </c>
      <c r="AX43" s="141"/>
      <c r="AY43" s="141"/>
      <c r="AZ43" s="141"/>
      <c r="BA43" s="141"/>
    </row>
    <row r="44" spans="1:53" ht="45" customHeight="1">
      <c r="A44" s="153">
        <f t="shared" si="4"/>
        <v>41</v>
      </c>
      <c r="B44" s="153" t="s">
        <v>59</v>
      </c>
      <c r="C44" s="153" t="s">
        <v>65</v>
      </c>
      <c r="D44" s="28" t="s">
        <v>605</v>
      </c>
      <c r="E44" s="69" t="s">
        <v>842</v>
      </c>
      <c r="F44" s="39">
        <v>2</v>
      </c>
      <c r="G44" s="141" t="s">
        <v>123</v>
      </c>
      <c r="H44" s="141" t="s">
        <v>811</v>
      </c>
      <c r="I44" s="141"/>
      <c r="J44" s="141" t="s">
        <v>6</v>
      </c>
      <c r="K44" s="21"/>
      <c r="L44" s="69"/>
      <c r="M44" s="141"/>
      <c r="N44" s="59"/>
      <c r="O44" s="59"/>
      <c r="P44" s="105"/>
      <c r="Q44" s="105" t="s">
        <v>32</v>
      </c>
      <c r="R44" s="105" t="s">
        <v>897</v>
      </c>
      <c r="S44" s="105"/>
      <c r="T44" s="105"/>
      <c r="U44" s="90"/>
      <c r="V44" s="90"/>
      <c r="W44" s="90"/>
      <c r="X44" s="90"/>
      <c r="Y44" s="93" t="s">
        <v>994</v>
      </c>
      <c r="Z44" s="96" t="s">
        <v>1224</v>
      </c>
      <c r="AA44" s="96"/>
      <c r="AB44" s="29">
        <v>0</v>
      </c>
      <c r="AC44" s="145">
        <v>0</v>
      </c>
      <c r="AD44" s="145">
        <v>0</v>
      </c>
      <c r="AE44" s="145">
        <v>0</v>
      </c>
      <c r="AF44" s="145">
        <v>0</v>
      </c>
      <c r="AG44" s="145">
        <v>0</v>
      </c>
      <c r="AH44" s="145">
        <v>0</v>
      </c>
      <c r="AI44" s="142">
        <f t="shared" si="3"/>
        <v>0</v>
      </c>
      <c r="AJ44" s="141"/>
      <c r="AK44" s="67"/>
      <c r="AL44" s="67"/>
      <c r="AM44" s="24"/>
      <c r="AN44" s="24"/>
      <c r="AO44" s="24"/>
      <c r="AP44" s="71"/>
      <c r="AQ44" s="69" t="s">
        <v>843</v>
      </c>
      <c r="AR44" s="141"/>
      <c r="AS44" s="141"/>
      <c r="AT44" s="141"/>
      <c r="AU44" s="141">
        <v>15</v>
      </c>
      <c r="AV44" s="86">
        <v>45901</v>
      </c>
      <c r="AW44" s="141" t="s">
        <v>757</v>
      </c>
      <c r="AX44" s="141"/>
      <c r="AY44" s="141"/>
      <c r="AZ44" s="141"/>
      <c r="BA44" s="141"/>
    </row>
    <row r="45" spans="1:53" ht="45" customHeight="1">
      <c r="A45" s="153">
        <f t="shared" si="4"/>
        <v>42</v>
      </c>
      <c r="B45" s="153" t="s">
        <v>57</v>
      </c>
      <c r="C45" s="153" t="s">
        <v>65</v>
      </c>
      <c r="D45" s="28" t="s">
        <v>125</v>
      </c>
      <c r="E45" s="69"/>
      <c r="F45" s="39">
        <v>3</v>
      </c>
      <c r="G45" s="141" t="s">
        <v>123</v>
      </c>
      <c r="H45" s="141" t="s">
        <v>797</v>
      </c>
      <c r="I45" s="141"/>
      <c r="J45" s="141" t="s">
        <v>26</v>
      </c>
      <c r="K45" s="141"/>
      <c r="L45" s="69"/>
      <c r="M45" s="141"/>
      <c r="N45" s="59">
        <v>0</v>
      </c>
      <c r="O45" s="59">
        <v>0</v>
      </c>
      <c r="P45" s="105" t="s">
        <v>32</v>
      </c>
      <c r="Q45" s="105" t="s">
        <v>32</v>
      </c>
      <c r="R45" s="105" t="s">
        <v>981</v>
      </c>
      <c r="S45" s="105" t="s">
        <v>1225</v>
      </c>
      <c r="T45" s="105" t="s">
        <v>123</v>
      </c>
      <c r="U45" s="90">
        <v>45964</v>
      </c>
      <c r="V45" s="90">
        <v>45999</v>
      </c>
      <c r="W45" s="90">
        <v>45999</v>
      </c>
      <c r="X45" s="90"/>
      <c r="Y45" s="93" t="s">
        <v>1226</v>
      </c>
      <c r="Z45" s="96" t="s">
        <v>1120</v>
      </c>
      <c r="AA45" s="121" t="s">
        <v>986</v>
      </c>
      <c r="AB45" s="29">
        <v>0</v>
      </c>
      <c r="AC45" s="145">
        <v>0</v>
      </c>
      <c r="AD45" s="145">
        <v>0</v>
      </c>
      <c r="AE45" s="145">
        <v>0</v>
      </c>
      <c r="AF45" s="145">
        <v>0</v>
      </c>
      <c r="AG45" s="145">
        <v>0</v>
      </c>
      <c r="AH45" s="145">
        <v>0</v>
      </c>
      <c r="AI45" s="142">
        <f t="shared" si="3"/>
        <v>0</v>
      </c>
      <c r="AJ45" s="141"/>
      <c r="AK45" s="67"/>
      <c r="AL45" s="67"/>
      <c r="AM45" s="24"/>
      <c r="AN45" s="24"/>
      <c r="AO45" s="24"/>
      <c r="AP45" s="71"/>
      <c r="AQ45" s="69" t="s">
        <v>819</v>
      </c>
      <c r="AR45" s="141">
        <v>2</v>
      </c>
      <c r="AS45" s="141" t="s">
        <v>761</v>
      </c>
      <c r="AT45" s="141"/>
      <c r="AU45" s="141"/>
      <c r="AV45" s="141"/>
      <c r="AW45" s="141"/>
      <c r="AX45" s="141" t="s">
        <v>757</v>
      </c>
      <c r="AY45" s="141"/>
      <c r="AZ45" s="141"/>
      <c r="BA45" s="141" t="s">
        <v>757</v>
      </c>
    </row>
    <row r="46" spans="1:53" ht="45" customHeight="1">
      <c r="A46" s="153">
        <f t="shared" si="4"/>
        <v>43</v>
      </c>
      <c r="B46" s="153" t="s">
        <v>57</v>
      </c>
      <c r="C46" s="153" t="s">
        <v>65</v>
      </c>
      <c r="D46" s="28" t="s">
        <v>995</v>
      </c>
      <c r="E46" s="69"/>
      <c r="F46" s="39">
        <v>3</v>
      </c>
      <c r="G46" s="141" t="s">
        <v>123</v>
      </c>
      <c r="H46" s="141" t="s">
        <v>805</v>
      </c>
      <c r="I46" s="141"/>
      <c r="J46" s="141" t="s">
        <v>26</v>
      </c>
      <c r="K46" s="141" t="s">
        <v>45</v>
      </c>
      <c r="L46" s="69"/>
      <c r="M46" s="141"/>
      <c r="N46" s="59"/>
      <c r="O46" s="59"/>
      <c r="P46" s="105" t="s">
        <v>34</v>
      </c>
      <c r="Q46" s="105" t="s">
        <v>34</v>
      </c>
      <c r="R46" s="105"/>
      <c r="S46" s="105" t="s">
        <v>1227</v>
      </c>
      <c r="T46" s="105" t="s">
        <v>123</v>
      </c>
      <c r="U46" s="90">
        <v>45978</v>
      </c>
      <c r="V46" s="90">
        <v>45992</v>
      </c>
      <c r="W46" s="90">
        <v>45992</v>
      </c>
      <c r="X46" s="90"/>
      <c r="Y46" s="93" t="s">
        <v>1128</v>
      </c>
      <c r="Z46" s="96" t="s">
        <v>1129</v>
      </c>
      <c r="AA46" s="96" t="s">
        <v>999</v>
      </c>
      <c r="AB46" s="29">
        <v>0</v>
      </c>
      <c r="AC46" s="145">
        <v>0</v>
      </c>
      <c r="AD46" s="145">
        <v>0</v>
      </c>
      <c r="AE46" s="145">
        <v>0</v>
      </c>
      <c r="AF46" s="145">
        <v>0</v>
      </c>
      <c r="AG46" s="145">
        <v>0</v>
      </c>
      <c r="AH46" s="145">
        <v>0</v>
      </c>
      <c r="AI46" s="142">
        <f t="shared" si="3"/>
        <v>0</v>
      </c>
      <c r="AJ46" s="141"/>
      <c r="AK46" s="67"/>
      <c r="AL46" s="67"/>
      <c r="AM46" s="24"/>
      <c r="AN46" s="24"/>
      <c r="AO46" s="24"/>
      <c r="AP46" s="71"/>
      <c r="AQ46" s="69" t="s">
        <v>818</v>
      </c>
      <c r="AR46" s="141">
        <v>2</v>
      </c>
      <c r="AS46" s="141" t="s">
        <v>761</v>
      </c>
      <c r="AT46" s="141"/>
      <c r="AU46" s="141"/>
      <c r="AV46" s="141"/>
      <c r="AW46" s="141" t="s">
        <v>757</v>
      </c>
      <c r="AX46" s="141" t="s">
        <v>757</v>
      </c>
      <c r="AY46" s="141" t="s">
        <v>757</v>
      </c>
      <c r="AZ46" s="141"/>
      <c r="BA46" s="141"/>
    </row>
    <row r="47" spans="1:53" ht="77.25" customHeight="1">
      <c r="A47" s="153">
        <f t="shared" si="4"/>
        <v>44</v>
      </c>
      <c r="B47" s="153" t="s">
        <v>57</v>
      </c>
      <c r="C47" s="153" t="s">
        <v>65</v>
      </c>
      <c r="D47" s="28" t="s">
        <v>655</v>
      </c>
      <c r="E47" s="69" t="s">
        <v>824</v>
      </c>
      <c r="F47" s="39">
        <v>2</v>
      </c>
      <c r="G47" s="141" t="s">
        <v>123</v>
      </c>
      <c r="H47" s="141" t="s">
        <v>811</v>
      </c>
      <c r="I47" s="141"/>
      <c r="J47" s="141" t="s">
        <v>22</v>
      </c>
      <c r="K47" s="141"/>
      <c r="L47" s="69"/>
      <c r="M47" s="141"/>
      <c r="N47" s="59">
        <v>5</v>
      </c>
      <c r="O47" s="59">
        <v>5</v>
      </c>
      <c r="P47" s="105" t="s">
        <v>34</v>
      </c>
      <c r="Q47" s="105" t="s">
        <v>34</v>
      </c>
      <c r="R47" s="105"/>
      <c r="S47" s="105" t="s">
        <v>1228</v>
      </c>
      <c r="T47" s="105" t="s">
        <v>123</v>
      </c>
      <c r="U47" s="90">
        <v>45973</v>
      </c>
      <c r="V47" s="90">
        <v>45996</v>
      </c>
      <c r="W47" s="90">
        <v>45996</v>
      </c>
      <c r="X47" s="90"/>
      <c r="Y47" s="93" t="s">
        <v>1207</v>
      </c>
      <c r="Z47" s="95" t="s">
        <v>1208</v>
      </c>
      <c r="AA47" s="95" t="s">
        <v>1091</v>
      </c>
      <c r="AB47" s="29">
        <v>0</v>
      </c>
      <c r="AC47" s="145">
        <v>0</v>
      </c>
      <c r="AD47" s="145">
        <v>0</v>
      </c>
      <c r="AE47" s="145">
        <v>0</v>
      </c>
      <c r="AF47" s="145">
        <v>0</v>
      </c>
      <c r="AG47" s="145">
        <v>0</v>
      </c>
      <c r="AH47" s="145">
        <v>0</v>
      </c>
      <c r="AI47" s="142">
        <f t="shared" si="3"/>
        <v>0</v>
      </c>
      <c r="AJ47" s="141"/>
      <c r="AK47" s="67"/>
      <c r="AL47" s="67"/>
      <c r="AM47" s="24"/>
      <c r="AN47" s="24"/>
      <c r="AO47" s="24"/>
      <c r="AP47" s="71"/>
      <c r="AQ47" s="69" t="s">
        <v>825</v>
      </c>
      <c r="AR47" s="141">
        <v>4</v>
      </c>
      <c r="AS47" s="141" t="s">
        <v>756</v>
      </c>
      <c r="AT47" s="141"/>
      <c r="AU47" s="141"/>
      <c r="AV47" s="141"/>
      <c r="AW47" s="141" t="s">
        <v>757</v>
      </c>
      <c r="AX47" s="141" t="s">
        <v>757</v>
      </c>
      <c r="AY47" s="141"/>
      <c r="AZ47" s="141"/>
      <c r="BA47" s="141" t="s">
        <v>757</v>
      </c>
    </row>
    <row r="48" spans="1:53" ht="45" customHeight="1">
      <c r="A48" s="153">
        <f t="shared" si="4"/>
        <v>45</v>
      </c>
      <c r="B48" s="153" t="s">
        <v>57</v>
      </c>
      <c r="C48" s="153" t="s">
        <v>65</v>
      </c>
      <c r="D48" s="28" t="s">
        <v>620</v>
      </c>
      <c r="E48" s="69"/>
      <c r="F48" s="39">
        <v>1</v>
      </c>
      <c r="G48" s="141" t="s">
        <v>123</v>
      </c>
      <c r="H48" s="141" t="s">
        <v>811</v>
      </c>
      <c r="I48" s="141"/>
      <c r="J48" s="141" t="s">
        <v>26</v>
      </c>
      <c r="K48" s="141"/>
      <c r="L48" s="69"/>
      <c r="M48" s="141" t="s">
        <v>1209</v>
      </c>
      <c r="N48" s="59">
        <v>4</v>
      </c>
      <c r="O48" s="59">
        <v>4</v>
      </c>
      <c r="P48" s="105" t="s">
        <v>34</v>
      </c>
      <c r="Q48" s="105" t="s">
        <v>32</v>
      </c>
      <c r="R48" s="105"/>
      <c r="S48" s="105" t="s">
        <v>1229</v>
      </c>
      <c r="T48" s="105" t="s">
        <v>1074</v>
      </c>
      <c r="U48" s="90">
        <v>45979</v>
      </c>
      <c r="V48" s="90">
        <v>45993</v>
      </c>
      <c r="W48" s="90">
        <v>45993</v>
      </c>
      <c r="X48" s="90">
        <v>45994</v>
      </c>
      <c r="Y48" s="93" t="s">
        <v>1210</v>
      </c>
      <c r="Z48" s="122" t="s">
        <v>1211</v>
      </c>
      <c r="AA48" s="96" t="s">
        <v>1076</v>
      </c>
      <c r="AB48" s="29">
        <v>0</v>
      </c>
      <c r="AC48" s="145">
        <v>0</v>
      </c>
      <c r="AD48" s="145">
        <v>0</v>
      </c>
      <c r="AE48" s="145">
        <v>0</v>
      </c>
      <c r="AF48" s="145">
        <v>0</v>
      </c>
      <c r="AG48" s="145">
        <v>0</v>
      </c>
      <c r="AH48" s="145">
        <v>0</v>
      </c>
      <c r="AI48" s="142">
        <f t="shared" si="3"/>
        <v>0</v>
      </c>
      <c r="AJ48" s="141"/>
      <c r="AK48" s="67"/>
      <c r="AL48" s="67"/>
      <c r="AM48" s="24"/>
      <c r="AN48" s="24"/>
      <c r="AO48" s="24"/>
      <c r="AP48" s="71"/>
      <c r="AQ48" s="69"/>
      <c r="AR48" s="141">
        <v>12</v>
      </c>
      <c r="AS48" s="141" t="s">
        <v>812</v>
      </c>
      <c r="AT48" s="141"/>
      <c r="AU48" s="141">
        <v>100</v>
      </c>
      <c r="AV48" s="86">
        <v>45901</v>
      </c>
      <c r="AW48" s="141" t="s">
        <v>757</v>
      </c>
      <c r="AX48" s="141" t="s">
        <v>757</v>
      </c>
      <c r="AY48" s="141"/>
      <c r="AZ48" s="141" t="s">
        <v>757</v>
      </c>
      <c r="BA48" s="141"/>
    </row>
    <row r="49" spans="1:53" ht="45" customHeight="1">
      <c r="A49" s="153">
        <f t="shared" si="4"/>
        <v>46</v>
      </c>
      <c r="B49" s="153" t="s">
        <v>57</v>
      </c>
      <c r="C49" s="153" t="s">
        <v>65</v>
      </c>
      <c r="D49" s="28" t="s">
        <v>690</v>
      </c>
      <c r="E49" s="69"/>
      <c r="F49" s="39">
        <v>3</v>
      </c>
      <c r="G49" s="141" t="s">
        <v>123</v>
      </c>
      <c r="H49" s="141" t="s">
        <v>816</v>
      </c>
      <c r="I49" s="141"/>
      <c r="J49" s="141" t="s">
        <v>26</v>
      </c>
      <c r="K49" s="141" t="s">
        <v>48</v>
      </c>
      <c r="L49" s="69"/>
      <c r="M49" s="141"/>
      <c r="N49" s="59">
        <v>4</v>
      </c>
      <c r="O49" s="59">
        <v>4</v>
      </c>
      <c r="P49" s="105" t="s">
        <v>34</v>
      </c>
      <c r="Q49" s="105" t="s">
        <v>34</v>
      </c>
      <c r="R49" s="105"/>
      <c r="S49" s="105" t="s">
        <v>1230</v>
      </c>
      <c r="T49" s="105" t="s">
        <v>123</v>
      </c>
      <c r="U49" s="90">
        <v>45958</v>
      </c>
      <c r="V49" s="90">
        <v>45993</v>
      </c>
      <c r="W49" s="90">
        <v>45993</v>
      </c>
      <c r="X49" s="90">
        <v>45993</v>
      </c>
      <c r="Y49" s="93" t="s">
        <v>1212</v>
      </c>
      <c r="Z49" s="96" t="s">
        <v>1213</v>
      </c>
      <c r="AA49" s="96"/>
      <c r="AB49" s="29">
        <v>0</v>
      </c>
      <c r="AC49" s="145">
        <v>0</v>
      </c>
      <c r="AD49" s="145">
        <v>0</v>
      </c>
      <c r="AE49" s="145">
        <v>0</v>
      </c>
      <c r="AF49" s="145">
        <v>0</v>
      </c>
      <c r="AG49" s="145">
        <v>0</v>
      </c>
      <c r="AH49" s="145">
        <v>0</v>
      </c>
      <c r="AI49" s="142">
        <f t="shared" si="3"/>
        <v>0</v>
      </c>
      <c r="AJ49" s="141"/>
      <c r="AK49" s="67"/>
      <c r="AL49" s="67"/>
      <c r="AM49" s="24"/>
      <c r="AN49" s="24"/>
      <c r="AO49" s="24"/>
      <c r="AP49" s="71"/>
      <c r="AQ49" s="69" t="s">
        <v>817</v>
      </c>
      <c r="AR49" s="141">
        <v>35</v>
      </c>
      <c r="AS49" s="141" t="s">
        <v>756</v>
      </c>
      <c r="AT49" s="141"/>
      <c r="AU49" s="141"/>
      <c r="AV49" s="141"/>
      <c r="AW49" s="141"/>
      <c r="AX49" s="141" t="s">
        <v>757</v>
      </c>
      <c r="AY49" s="141"/>
      <c r="AZ49" s="141"/>
      <c r="BA49" s="141" t="s">
        <v>757</v>
      </c>
    </row>
    <row r="50" spans="1:53" ht="105.75" customHeight="1">
      <c r="A50" s="153">
        <f t="shared" si="4"/>
        <v>47</v>
      </c>
      <c r="B50" s="153" t="s">
        <v>57</v>
      </c>
      <c r="C50" s="153" t="s">
        <v>65</v>
      </c>
      <c r="D50" s="28" t="s">
        <v>1231</v>
      </c>
      <c r="E50" s="69" t="s">
        <v>910</v>
      </c>
      <c r="F50" s="39">
        <v>1</v>
      </c>
      <c r="G50" s="141" t="s">
        <v>123</v>
      </c>
      <c r="H50" s="141" t="s">
        <v>911</v>
      </c>
      <c r="I50" s="141"/>
      <c r="J50" s="141" t="s">
        <v>14</v>
      </c>
      <c r="K50" s="141"/>
      <c r="L50" s="69"/>
      <c r="M50" s="141" t="s">
        <v>1232</v>
      </c>
      <c r="N50" s="59"/>
      <c r="O50" s="59"/>
      <c r="P50" s="105" t="s">
        <v>33</v>
      </c>
      <c r="Q50" s="105" t="s">
        <v>33</v>
      </c>
      <c r="R50" s="105"/>
      <c r="S50" s="105" t="s">
        <v>1233</v>
      </c>
      <c r="T50" s="105" t="s">
        <v>123</v>
      </c>
      <c r="U50" s="90">
        <v>45957</v>
      </c>
      <c r="V50" s="90" t="s">
        <v>1013</v>
      </c>
      <c r="W50" s="90">
        <v>46013</v>
      </c>
      <c r="X50" s="90">
        <v>46013</v>
      </c>
      <c r="Y50" s="93" t="s">
        <v>1234</v>
      </c>
      <c r="Z50" s="96"/>
      <c r="AA50" s="96" t="s">
        <v>1015</v>
      </c>
      <c r="AB50" s="29"/>
      <c r="AC50" s="145"/>
      <c r="AD50" s="145"/>
      <c r="AE50" s="145"/>
      <c r="AF50" s="145"/>
      <c r="AG50" s="145"/>
      <c r="AH50" s="145"/>
      <c r="AI50" s="142"/>
      <c r="AJ50" s="141"/>
      <c r="AK50" s="67"/>
      <c r="AL50" s="67"/>
      <c r="AM50" s="24"/>
      <c r="AN50" s="24"/>
      <c r="AO50" s="24"/>
      <c r="AP50" s="71"/>
      <c r="AQ50" s="69" t="s">
        <v>914</v>
      </c>
      <c r="AR50" s="141"/>
      <c r="AS50" s="141"/>
      <c r="AT50" s="141"/>
      <c r="AU50" s="141"/>
      <c r="AV50" s="86"/>
      <c r="AW50" s="141"/>
      <c r="AX50" s="141"/>
      <c r="AY50" s="141"/>
      <c r="AZ50" s="141"/>
      <c r="BA50" s="141"/>
    </row>
    <row r="51" spans="1:53" ht="45" customHeight="1">
      <c r="A51" s="153">
        <f t="shared" si="4"/>
        <v>48</v>
      </c>
      <c r="B51" s="153" t="s">
        <v>57</v>
      </c>
      <c r="C51" s="153" t="s">
        <v>65</v>
      </c>
      <c r="D51" s="28" t="s">
        <v>624</v>
      </c>
      <c r="E51" s="69"/>
      <c r="F51" s="39">
        <v>2</v>
      </c>
      <c r="G51" s="141" t="s">
        <v>123</v>
      </c>
      <c r="H51" s="141" t="s">
        <v>797</v>
      </c>
      <c r="I51" s="141"/>
      <c r="J51" s="141" t="s">
        <v>26</v>
      </c>
      <c r="K51" s="141"/>
      <c r="L51" s="69"/>
      <c r="M51" s="141" t="s">
        <v>1216</v>
      </c>
      <c r="N51" s="59">
        <v>4</v>
      </c>
      <c r="O51" s="59">
        <v>4</v>
      </c>
      <c r="P51" s="105" t="s">
        <v>34</v>
      </c>
      <c r="Q51" s="105" t="s">
        <v>31</v>
      </c>
      <c r="R51" s="105" t="s">
        <v>987</v>
      </c>
      <c r="S51" s="105" t="s">
        <v>1235</v>
      </c>
      <c r="T51" s="105" t="s">
        <v>1236</v>
      </c>
      <c r="U51" s="90">
        <v>45965</v>
      </c>
      <c r="V51" s="90">
        <v>45995</v>
      </c>
      <c r="W51" s="90">
        <v>45995</v>
      </c>
      <c r="X51" s="90"/>
      <c r="Y51" s="93" t="s">
        <v>1237</v>
      </c>
      <c r="Z51" s="96" t="s">
        <v>990</v>
      </c>
      <c r="AA51" s="96" t="s">
        <v>991</v>
      </c>
      <c r="AB51" s="29">
        <v>0</v>
      </c>
      <c r="AC51" s="145">
        <v>0</v>
      </c>
      <c r="AD51" s="145">
        <v>0</v>
      </c>
      <c r="AE51" s="145">
        <v>0</v>
      </c>
      <c r="AF51" s="145">
        <v>0</v>
      </c>
      <c r="AG51" s="145">
        <v>0</v>
      </c>
      <c r="AH51" s="145">
        <v>0</v>
      </c>
      <c r="AI51" s="142">
        <f>AVERAGE(AB51:AH51)</f>
        <v>0</v>
      </c>
      <c r="AJ51" s="141"/>
      <c r="AK51" s="67"/>
      <c r="AL51" s="67"/>
      <c r="AM51" s="24"/>
      <c r="AN51" s="24"/>
      <c r="AO51" s="24"/>
      <c r="AP51" s="71"/>
      <c r="AQ51" s="69" t="s">
        <v>809</v>
      </c>
      <c r="AR51" s="141">
        <v>16</v>
      </c>
      <c r="AS51" s="141" t="s">
        <v>761</v>
      </c>
      <c r="AT51" s="141"/>
      <c r="AU51" s="141"/>
      <c r="AV51" s="141"/>
      <c r="AW51" s="141"/>
      <c r="AX51" s="141" t="s">
        <v>757</v>
      </c>
      <c r="AY51" s="141"/>
      <c r="AZ51" s="141"/>
      <c r="BA51" s="141"/>
    </row>
    <row r="52" spans="1:53" ht="82.5" customHeight="1">
      <c r="A52" s="153">
        <f t="shared" si="4"/>
        <v>49</v>
      </c>
      <c r="B52" s="153" t="s">
        <v>57</v>
      </c>
      <c r="C52" s="153" t="s">
        <v>65</v>
      </c>
      <c r="D52" s="28" t="s">
        <v>665</v>
      </c>
      <c r="E52" s="69"/>
      <c r="F52" s="39">
        <v>1</v>
      </c>
      <c r="G52" s="141" t="s">
        <v>123</v>
      </c>
      <c r="H52" s="141" t="s">
        <v>797</v>
      </c>
      <c r="I52" s="141"/>
      <c r="J52" s="141" t="s">
        <v>14</v>
      </c>
      <c r="K52" s="141" t="s">
        <v>48</v>
      </c>
      <c r="L52" s="69"/>
      <c r="M52" s="141"/>
      <c r="N52" s="59">
        <v>0</v>
      </c>
      <c r="O52" s="59">
        <v>0</v>
      </c>
      <c r="P52" s="105" t="s">
        <v>34</v>
      </c>
      <c r="Q52" s="105" t="s">
        <v>32</v>
      </c>
      <c r="R52" s="105" t="s">
        <v>977</v>
      </c>
      <c r="S52" s="105" t="s">
        <v>1116</v>
      </c>
      <c r="T52" s="105" t="s">
        <v>123</v>
      </c>
      <c r="U52" s="90">
        <v>45979</v>
      </c>
      <c r="V52" s="90">
        <v>45989</v>
      </c>
      <c r="W52" s="90">
        <v>45989</v>
      </c>
      <c r="X52" s="90">
        <v>46010</v>
      </c>
      <c r="Y52" s="93" t="s">
        <v>1238</v>
      </c>
      <c r="Z52" s="96" t="s">
        <v>1118</v>
      </c>
      <c r="AA52" s="96" t="s">
        <v>980</v>
      </c>
      <c r="AB52" s="29">
        <v>0</v>
      </c>
      <c r="AC52" s="145">
        <v>0</v>
      </c>
      <c r="AD52" s="145">
        <v>0</v>
      </c>
      <c r="AE52" s="145">
        <v>0</v>
      </c>
      <c r="AF52" s="145">
        <v>0</v>
      </c>
      <c r="AG52" s="145">
        <v>0</v>
      </c>
      <c r="AH52" s="145">
        <v>0</v>
      </c>
      <c r="AI52" s="142">
        <f>AVERAGE(AB52:AH52)</f>
        <v>0</v>
      </c>
      <c r="AJ52" s="141"/>
      <c r="AK52" s="67"/>
      <c r="AL52" s="67"/>
      <c r="AM52" s="24"/>
      <c r="AN52" s="24"/>
      <c r="AO52" s="24"/>
      <c r="AP52" s="71"/>
      <c r="AQ52" s="69" t="s">
        <v>814</v>
      </c>
      <c r="AR52" s="141">
        <v>70</v>
      </c>
      <c r="AS52" s="141" t="s">
        <v>812</v>
      </c>
      <c r="AT52" s="141"/>
      <c r="AU52" s="141"/>
      <c r="AV52" s="141"/>
      <c r="AW52" s="141" t="s">
        <v>757</v>
      </c>
      <c r="AX52" s="141" t="s">
        <v>757</v>
      </c>
      <c r="AY52" s="141"/>
      <c r="AZ52" s="141" t="s">
        <v>757</v>
      </c>
      <c r="BA52" s="141" t="s">
        <v>757</v>
      </c>
    </row>
    <row r="53" spans="1:53" ht="45" customHeight="1">
      <c r="A53" s="153">
        <f t="shared" si="4"/>
        <v>50</v>
      </c>
      <c r="B53" s="153" t="s">
        <v>57</v>
      </c>
      <c r="C53" s="153" t="s">
        <v>65</v>
      </c>
      <c r="D53" s="28" t="s">
        <v>688</v>
      </c>
      <c r="E53" s="69" t="s">
        <v>832</v>
      </c>
      <c r="F53" s="39">
        <v>1</v>
      </c>
      <c r="G53" s="141" t="s">
        <v>123</v>
      </c>
      <c r="H53" s="141" t="s">
        <v>805</v>
      </c>
      <c r="I53" s="141"/>
      <c r="J53" s="141" t="s">
        <v>6</v>
      </c>
      <c r="K53" s="141"/>
      <c r="L53" s="69"/>
      <c r="M53" s="141"/>
      <c r="N53" s="59"/>
      <c r="O53" s="59"/>
      <c r="P53" s="105"/>
      <c r="Q53" s="105"/>
      <c r="R53" s="105"/>
      <c r="S53" s="105" t="s">
        <v>1010</v>
      </c>
      <c r="T53" s="105" t="s">
        <v>123</v>
      </c>
      <c r="U53" s="90">
        <v>45936</v>
      </c>
      <c r="V53" s="90">
        <v>45993</v>
      </c>
      <c r="W53" s="90">
        <v>45993</v>
      </c>
      <c r="X53" s="90"/>
      <c r="Y53" s="93" t="s">
        <v>689</v>
      </c>
      <c r="Z53" s="96"/>
      <c r="AA53" s="96"/>
      <c r="AB53" s="29">
        <v>0</v>
      </c>
      <c r="AC53" s="145">
        <v>0</v>
      </c>
      <c r="AD53" s="145">
        <v>0</v>
      </c>
      <c r="AE53" s="145">
        <v>0</v>
      </c>
      <c r="AF53" s="145">
        <v>0</v>
      </c>
      <c r="AG53" s="145">
        <v>0</v>
      </c>
      <c r="AH53" s="145">
        <v>0</v>
      </c>
      <c r="AI53" s="142">
        <f>AVERAGE(AB53:AH53)</f>
        <v>0</v>
      </c>
      <c r="AJ53" s="141"/>
      <c r="AK53" s="67"/>
      <c r="AL53" s="67"/>
      <c r="AM53" s="24"/>
      <c r="AN53" s="24"/>
      <c r="AO53" s="24"/>
      <c r="AP53" s="71"/>
      <c r="AQ53" s="69" t="s">
        <v>833</v>
      </c>
      <c r="AR53" s="141"/>
      <c r="AS53" s="141"/>
      <c r="AT53" s="141"/>
      <c r="AU53" s="141">
        <v>400</v>
      </c>
      <c r="AV53" s="86">
        <v>45931</v>
      </c>
      <c r="AW53" s="141" t="s">
        <v>757</v>
      </c>
      <c r="AX53" s="141" t="s">
        <v>757</v>
      </c>
      <c r="AY53" s="141"/>
      <c r="AZ53" s="141"/>
      <c r="BA53" s="141" t="s">
        <v>757</v>
      </c>
    </row>
    <row r="54" spans="1:53" ht="45" customHeight="1">
      <c r="A54" s="153">
        <f t="shared" si="4"/>
        <v>51</v>
      </c>
      <c r="B54" s="153" t="s">
        <v>57</v>
      </c>
      <c r="C54" s="153" t="s">
        <v>65</v>
      </c>
      <c r="D54" s="28" t="s">
        <v>915</v>
      </c>
      <c r="E54" s="69" t="s">
        <v>916</v>
      </c>
      <c r="F54" s="39"/>
      <c r="G54" s="141" t="s">
        <v>123</v>
      </c>
      <c r="H54" s="141" t="s">
        <v>759</v>
      </c>
      <c r="I54" s="141"/>
      <c r="J54" s="141" t="s">
        <v>6</v>
      </c>
      <c r="K54" s="141"/>
      <c r="L54" s="69"/>
      <c r="M54" s="141"/>
      <c r="N54" s="59"/>
      <c r="O54" s="59"/>
      <c r="P54" s="105"/>
      <c r="Q54" s="105"/>
      <c r="R54" s="105"/>
      <c r="S54" s="105" t="s">
        <v>1219</v>
      </c>
      <c r="T54" s="105" t="s">
        <v>1137</v>
      </c>
      <c r="U54" s="90">
        <v>45966</v>
      </c>
      <c r="V54" s="90">
        <v>45992</v>
      </c>
      <c r="W54" s="90">
        <v>45992</v>
      </c>
      <c r="X54" s="90"/>
      <c r="Y54" s="93" t="s">
        <v>1220</v>
      </c>
      <c r="Z54" s="96" t="s">
        <v>1139</v>
      </c>
      <c r="AA54" s="96"/>
      <c r="AB54" s="29"/>
      <c r="AC54" s="145"/>
      <c r="AD54" s="145"/>
      <c r="AE54" s="145"/>
      <c r="AF54" s="145"/>
      <c r="AG54" s="145"/>
      <c r="AH54" s="145"/>
      <c r="AI54" s="142"/>
      <c r="AJ54" s="141"/>
      <c r="AK54" s="67"/>
      <c r="AL54" s="67"/>
      <c r="AM54" s="24"/>
      <c r="AN54" s="24"/>
      <c r="AO54" s="24"/>
      <c r="AP54" s="71"/>
      <c r="AQ54" s="69" t="s">
        <v>919</v>
      </c>
      <c r="AR54" s="141"/>
      <c r="AS54" s="141"/>
      <c r="AT54" s="141"/>
      <c r="AU54" s="141"/>
      <c r="AV54" s="86"/>
      <c r="AW54" s="141"/>
      <c r="AX54" s="141"/>
      <c r="AY54" s="141"/>
      <c r="AZ54" s="141"/>
      <c r="BA54" s="141"/>
    </row>
    <row r="55" spans="1:53" ht="45" customHeight="1">
      <c r="A55" s="153">
        <f t="shared" si="4"/>
        <v>52</v>
      </c>
      <c r="B55" s="153" t="s">
        <v>57</v>
      </c>
      <c r="C55" s="153"/>
      <c r="D55" s="28"/>
      <c r="E55" s="69"/>
      <c r="F55" s="39">
        <v>0</v>
      </c>
      <c r="G55" s="141"/>
      <c r="H55" s="141"/>
      <c r="I55" s="141"/>
      <c r="J55" s="141"/>
      <c r="K55" s="141"/>
      <c r="L55" s="69"/>
      <c r="M55" s="141"/>
      <c r="N55" s="59"/>
      <c r="O55" s="59"/>
      <c r="P55" s="105"/>
      <c r="Q55" s="105"/>
      <c r="R55" s="105"/>
      <c r="S55" s="105"/>
      <c r="T55" s="105"/>
      <c r="U55" s="90"/>
      <c r="V55" s="90"/>
      <c r="W55" s="90"/>
      <c r="X55" s="90"/>
      <c r="Y55" s="93"/>
      <c r="Z55" s="96"/>
      <c r="AA55" s="96"/>
      <c r="AB55" s="29">
        <v>0</v>
      </c>
      <c r="AC55" s="145">
        <v>0</v>
      </c>
      <c r="AD55" s="145">
        <v>0</v>
      </c>
      <c r="AE55" s="145">
        <v>0</v>
      </c>
      <c r="AF55" s="145">
        <v>0</v>
      </c>
      <c r="AG55" s="145">
        <v>0</v>
      </c>
      <c r="AH55" s="145">
        <v>0</v>
      </c>
      <c r="AI55" s="142">
        <f t="shared" ref="AI55:AI86" si="5">AVERAGE(AB55:AH55)</f>
        <v>0</v>
      </c>
      <c r="AJ55" s="141"/>
      <c r="AK55" s="67"/>
      <c r="AL55" s="67"/>
      <c r="AM55" s="24"/>
      <c r="AN55" s="24"/>
      <c r="AO55" s="24"/>
      <c r="AP55" s="71"/>
      <c r="AQ55" s="69"/>
      <c r="AR55" s="141"/>
      <c r="AS55" s="141"/>
      <c r="AT55" s="141"/>
      <c r="AU55" s="141"/>
      <c r="AV55" s="141"/>
      <c r="AW55" s="141"/>
      <c r="AX55" s="141"/>
      <c r="AY55" s="141"/>
      <c r="AZ55" s="141"/>
      <c r="BA55" s="141"/>
    </row>
    <row r="56" spans="1:53" ht="45" customHeight="1">
      <c r="A56" s="153">
        <f t="shared" si="4"/>
        <v>53</v>
      </c>
      <c r="B56" s="153" t="s">
        <v>57</v>
      </c>
      <c r="C56" s="153"/>
      <c r="D56" s="28"/>
      <c r="E56" s="69"/>
      <c r="F56" s="39">
        <v>0</v>
      </c>
      <c r="G56" s="141"/>
      <c r="H56" s="141"/>
      <c r="I56" s="141"/>
      <c r="J56" s="141"/>
      <c r="K56" s="141"/>
      <c r="L56" s="69"/>
      <c r="M56" s="141"/>
      <c r="N56" s="59"/>
      <c r="O56" s="59"/>
      <c r="P56" s="105"/>
      <c r="Q56" s="105"/>
      <c r="R56" s="105"/>
      <c r="S56" s="105"/>
      <c r="T56" s="105"/>
      <c r="U56" s="90"/>
      <c r="V56" s="90"/>
      <c r="W56" s="90"/>
      <c r="X56" s="90"/>
      <c r="Y56" s="93"/>
      <c r="Z56" s="96"/>
      <c r="AA56" s="96"/>
      <c r="AB56" s="29">
        <v>0</v>
      </c>
      <c r="AC56" s="145">
        <v>0</v>
      </c>
      <c r="AD56" s="145">
        <v>0</v>
      </c>
      <c r="AE56" s="145">
        <v>0</v>
      </c>
      <c r="AF56" s="145">
        <v>0</v>
      </c>
      <c r="AG56" s="145">
        <v>0</v>
      </c>
      <c r="AH56" s="145">
        <v>0</v>
      </c>
      <c r="AI56" s="142">
        <f t="shared" si="5"/>
        <v>0</v>
      </c>
      <c r="AJ56" s="141"/>
      <c r="AK56" s="67"/>
      <c r="AL56" s="67"/>
      <c r="AM56" s="24"/>
      <c r="AN56" s="24"/>
      <c r="AO56" s="24"/>
      <c r="AP56" s="71"/>
      <c r="AQ56" s="69"/>
      <c r="AR56" s="141"/>
      <c r="AS56" s="141"/>
      <c r="AT56" s="141"/>
      <c r="AU56" s="141"/>
      <c r="AV56" s="141"/>
      <c r="AW56" s="141"/>
      <c r="AX56" s="141"/>
      <c r="AY56" s="141"/>
      <c r="AZ56" s="141"/>
      <c r="BA56" s="141"/>
    </row>
    <row r="57" spans="1:53" ht="45" customHeight="1">
      <c r="A57" s="153">
        <f t="shared" si="4"/>
        <v>54</v>
      </c>
      <c r="B57" s="153" t="s">
        <v>57</v>
      </c>
      <c r="C57" s="153"/>
      <c r="D57" s="28"/>
      <c r="E57" s="69"/>
      <c r="F57" s="39">
        <v>0</v>
      </c>
      <c r="G57" s="141"/>
      <c r="H57" s="141"/>
      <c r="I57" s="141"/>
      <c r="J57" s="141"/>
      <c r="K57" s="141"/>
      <c r="L57" s="69"/>
      <c r="M57" s="141"/>
      <c r="N57" s="59"/>
      <c r="O57" s="59"/>
      <c r="P57" s="105"/>
      <c r="Q57" s="105"/>
      <c r="R57" s="105"/>
      <c r="S57" s="105"/>
      <c r="T57" s="105"/>
      <c r="U57" s="90"/>
      <c r="V57" s="90"/>
      <c r="W57" s="90"/>
      <c r="X57" s="90"/>
      <c r="Y57" s="93"/>
      <c r="Z57" s="96"/>
      <c r="AA57" s="96"/>
      <c r="AB57" s="29">
        <v>0</v>
      </c>
      <c r="AC57" s="145">
        <v>0</v>
      </c>
      <c r="AD57" s="145">
        <v>0</v>
      </c>
      <c r="AE57" s="145">
        <v>0</v>
      </c>
      <c r="AF57" s="145">
        <v>0</v>
      </c>
      <c r="AG57" s="145">
        <v>0</v>
      </c>
      <c r="AH57" s="145">
        <v>0</v>
      </c>
      <c r="AI57" s="142">
        <f t="shared" si="5"/>
        <v>0</v>
      </c>
      <c r="AJ57" s="141"/>
      <c r="AK57" s="67"/>
      <c r="AL57" s="67"/>
      <c r="AM57" s="24"/>
      <c r="AN57" s="24"/>
      <c r="AO57" s="24"/>
      <c r="AP57" s="71"/>
      <c r="AQ57" s="69"/>
      <c r="AR57" s="141"/>
      <c r="AS57" s="141"/>
      <c r="AT57" s="141"/>
      <c r="AU57" s="141"/>
      <c r="AV57" s="141"/>
      <c r="AW57" s="141"/>
      <c r="AX57" s="141"/>
      <c r="AY57" s="141"/>
      <c r="AZ57" s="141"/>
      <c r="BA57" s="141"/>
    </row>
    <row r="58" spans="1:53" ht="45" customHeight="1">
      <c r="A58" s="153">
        <f t="shared" si="4"/>
        <v>55</v>
      </c>
      <c r="B58" s="153" t="s">
        <v>57</v>
      </c>
      <c r="C58" s="153"/>
      <c r="D58" s="28"/>
      <c r="E58" s="69"/>
      <c r="F58" s="39">
        <v>0</v>
      </c>
      <c r="G58" s="141"/>
      <c r="H58" s="141"/>
      <c r="I58" s="141"/>
      <c r="J58" s="141"/>
      <c r="K58" s="141"/>
      <c r="L58" s="69"/>
      <c r="M58" s="141"/>
      <c r="N58" s="59"/>
      <c r="O58" s="59"/>
      <c r="P58" s="105"/>
      <c r="Q58" s="105"/>
      <c r="R58" s="105"/>
      <c r="S58" s="105"/>
      <c r="T58" s="105"/>
      <c r="U58" s="90"/>
      <c r="V58" s="90"/>
      <c r="W58" s="90"/>
      <c r="X58" s="90"/>
      <c r="Y58" s="93"/>
      <c r="Z58" s="96"/>
      <c r="AA58" s="96"/>
      <c r="AB58" s="29">
        <v>0</v>
      </c>
      <c r="AC58" s="145">
        <v>0</v>
      </c>
      <c r="AD58" s="145">
        <v>0</v>
      </c>
      <c r="AE58" s="145">
        <v>0</v>
      </c>
      <c r="AF58" s="145">
        <v>0</v>
      </c>
      <c r="AG58" s="145">
        <v>0</v>
      </c>
      <c r="AH58" s="145">
        <v>0</v>
      </c>
      <c r="AI58" s="142">
        <f t="shared" si="5"/>
        <v>0</v>
      </c>
      <c r="AJ58" s="141"/>
      <c r="AK58" s="67"/>
      <c r="AL58" s="67"/>
      <c r="AM58" s="24"/>
      <c r="AN58" s="24"/>
      <c r="AO58" s="24"/>
      <c r="AP58" s="71"/>
      <c r="AQ58" s="69"/>
      <c r="AR58" s="141"/>
      <c r="AS58" s="141"/>
      <c r="AT58" s="141"/>
      <c r="AU58" s="141"/>
      <c r="AV58" s="141"/>
      <c r="AW58" s="141"/>
      <c r="AX58" s="141"/>
      <c r="AY58" s="141"/>
      <c r="AZ58" s="141"/>
      <c r="BA58" s="141"/>
    </row>
    <row r="59" spans="1:53" ht="45" customHeight="1">
      <c r="A59" s="153">
        <f t="shared" si="4"/>
        <v>56</v>
      </c>
      <c r="B59" s="153" t="s">
        <v>57</v>
      </c>
      <c r="C59" s="153"/>
      <c r="D59" s="28"/>
      <c r="E59" s="69"/>
      <c r="F59" s="39">
        <v>0</v>
      </c>
      <c r="G59" s="141"/>
      <c r="H59" s="141"/>
      <c r="I59" s="141"/>
      <c r="J59" s="141"/>
      <c r="K59" s="141"/>
      <c r="L59" s="69"/>
      <c r="M59" s="141"/>
      <c r="N59" s="59"/>
      <c r="O59" s="59"/>
      <c r="P59" s="105"/>
      <c r="Q59" s="105"/>
      <c r="R59" s="105"/>
      <c r="S59" s="105"/>
      <c r="T59" s="105"/>
      <c r="U59" s="90"/>
      <c r="V59" s="90"/>
      <c r="W59" s="90"/>
      <c r="X59" s="90"/>
      <c r="Y59" s="93"/>
      <c r="Z59" s="96"/>
      <c r="AA59" s="96"/>
      <c r="AB59" s="29">
        <v>0</v>
      </c>
      <c r="AC59" s="145">
        <v>0</v>
      </c>
      <c r="AD59" s="145">
        <v>0</v>
      </c>
      <c r="AE59" s="145">
        <v>0</v>
      </c>
      <c r="AF59" s="145">
        <v>0</v>
      </c>
      <c r="AG59" s="145">
        <v>0</v>
      </c>
      <c r="AH59" s="145">
        <v>0</v>
      </c>
      <c r="AI59" s="142">
        <f t="shared" si="5"/>
        <v>0</v>
      </c>
      <c r="AJ59" s="141"/>
      <c r="AK59" s="67"/>
      <c r="AL59" s="67"/>
      <c r="AM59" s="24"/>
      <c r="AN59" s="24"/>
      <c r="AO59" s="24"/>
      <c r="AP59" s="71"/>
      <c r="AQ59" s="69"/>
      <c r="AR59" s="141"/>
      <c r="AS59" s="141"/>
      <c r="AT59" s="141"/>
      <c r="AU59" s="141"/>
      <c r="AV59" s="141"/>
      <c r="AW59" s="141"/>
      <c r="AX59" s="141"/>
      <c r="AY59" s="141"/>
      <c r="AZ59" s="141"/>
      <c r="BA59" s="141"/>
    </row>
    <row r="60" spans="1:53" ht="45" customHeight="1">
      <c r="A60" s="153">
        <f t="shared" si="4"/>
        <v>57</v>
      </c>
      <c r="B60" s="153" t="s">
        <v>57</v>
      </c>
      <c r="C60" s="153"/>
      <c r="D60" s="28"/>
      <c r="E60" s="69"/>
      <c r="F60" s="39">
        <v>0</v>
      </c>
      <c r="G60" s="141"/>
      <c r="H60" s="141"/>
      <c r="I60" s="141"/>
      <c r="J60" s="141"/>
      <c r="K60" s="141"/>
      <c r="L60" s="69"/>
      <c r="M60" s="141"/>
      <c r="N60" s="59"/>
      <c r="O60" s="59"/>
      <c r="P60" s="105"/>
      <c r="Q60" s="105"/>
      <c r="R60" s="105"/>
      <c r="S60" s="105"/>
      <c r="T60" s="105"/>
      <c r="U60" s="90"/>
      <c r="V60" s="90"/>
      <c r="W60" s="90"/>
      <c r="X60" s="90"/>
      <c r="Y60" s="93"/>
      <c r="Z60" s="94"/>
      <c r="AA60" s="94"/>
      <c r="AB60" s="29">
        <v>0</v>
      </c>
      <c r="AC60" s="145">
        <v>0</v>
      </c>
      <c r="AD60" s="145">
        <v>0</v>
      </c>
      <c r="AE60" s="145">
        <v>0</v>
      </c>
      <c r="AF60" s="145">
        <v>0</v>
      </c>
      <c r="AG60" s="145">
        <v>0</v>
      </c>
      <c r="AH60" s="145">
        <v>0</v>
      </c>
      <c r="AI60" s="142">
        <f t="shared" si="5"/>
        <v>0</v>
      </c>
      <c r="AJ60" s="141"/>
      <c r="AK60" s="67"/>
      <c r="AL60" s="67"/>
      <c r="AM60" s="24"/>
      <c r="AN60" s="24"/>
      <c r="AO60" s="24"/>
      <c r="AP60" s="71"/>
      <c r="AQ60" s="69"/>
      <c r="AR60" s="141"/>
      <c r="AS60" s="141"/>
      <c r="AT60" s="141"/>
      <c r="AU60" s="141"/>
      <c r="AV60" s="141"/>
      <c r="AW60" s="141"/>
      <c r="AX60" s="141"/>
      <c r="AY60" s="141"/>
      <c r="AZ60" s="141"/>
      <c r="BA60" s="141"/>
    </row>
    <row r="61" spans="1:53" ht="45" customHeight="1">
      <c r="A61" s="153">
        <f t="shared" si="4"/>
        <v>58</v>
      </c>
      <c r="B61" s="153" t="s">
        <v>57</v>
      </c>
      <c r="C61" s="153"/>
      <c r="D61" s="28"/>
      <c r="E61" s="69"/>
      <c r="F61" s="39">
        <v>0</v>
      </c>
      <c r="G61" s="141"/>
      <c r="H61" s="141"/>
      <c r="I61" s="141"/>
      <c r="J61" s="141"/>
      <c r="K61" s="141"/>
      <c r="L61" s="69"/>
      <c r="M61" s="141"/>
      <c r="N61" s="59"/>
      <c r="O61" s="59"/>
      <c r="P61" s="105"/>
      <c r="Q61" s="105"/>
      <c r="R61" s="105"/>
      <c r="S61" s="105"/>
      <c r="T61" s="105"/>
      <c r="U61" s="90"/>
      <c r="V61" s="90"/>
      <c r="W61" s="90"/>
      <c r="X61" s="90"/>
      <c r="Y61" s="93"/>
      <c r="Z61" s="96"/>
      <c r="AA61" s="96"/>
      <c r="AB61" s="29">
        <v>0</v>
      </c>
      <c r="AC61" s="145">
        <v>0</v>
      </c>
      <c r="AD61" s="145">
        <v>0</v>
      </c>
      <c r="AE61" s="145">
        <v>0</v>
      </c>
      <c r="AF61" s="145">
        <v>0</v>
      </c>
      <c r="AG61" s="145">
        <v>0</v>
      </c>
      <c r="AH61" s="145">
        <v>0</v>
      </c>
      <c r="AI61" s="142">
        <f t="shared" si="5"/>
        <v>0</v>
      </c>
      <c r="AJ61" s="141"/>
      <c r="AK61" s="67"/>
      <c r="AL61" s="67"/>
      <c r="AM61" s="24"/>
      <c r="AN61" s="24"/>
      <c r="AO61" s="24"/>
      <c r="AP61" s="71"/>
      <c r="AQ61" s="69"/>
      <c r="AR61" s="141"/>
      <c r="AS61" s="141"/>
      <c r="AT61" s="141"/>
      <c r="AU61" s="141"/>
      <c r="AV61" s="141"/>
      <c r="AW61" s="141"/>
      <c r="AX61" s="141"/>
      <c r="AY61" s="141"/>
      <c r="AZ61" s="141"/>
      <c r="BA61" s="141"/>
    </row>
    <row r="62" spans="1:53" ht="45" customHeight="1">
      <c r="A62" s="153">
        <f t="shared" si="4"/>
        <v>59</v>
      </c>
      <c r="B62" s="153" t="s">
        <v>57</v>
      </c>
      <c r="C62" s="28"/>
      <c r="D62" s="28"/>
      <c r="E62" s="69"/>
      <c r="F62" s="39">
        <v>0</v>
      </c>
      <c r="G62" s="141"/>
      <c r="H62" s="141"/>
      <c r="I62" s="141"/>
      <c r="J62" s="141"/>
      <c r="K62" s="141"/>
      <c r="L62" s="69"/>
      <c r="M62" s="141"/>
      <c r="N62" s="59"/>
      <c r="O62" s="59"/>
      <c r="P62" s="105"/>
      <c r="Q62" s="105"/>
      <c r="R62" s="105"/>
      <c r="S62" s="105"/>
      <c r="T62" s="105"/>
      <c r="U62" s="90"/>
      <c r="V62" s="90"/>
      <c r="W62" s="90"/>
      <c r="X62" s="90"/>
      <c r="Y62" s="93"/>
      <c r="Z62" s="96"/>
      <c r="AA62" s="96"/>
      <c r="AB62" s="29">
        <v>0</v>
      </c>
      <c r="AC62" s="145">
        <v>0</v>
      </c>
      <c r="AD62" s="145">
        <v>0</v>
      </c>
      <c r="AE62" s="145">
        <v>0</v>
      </c>
      <c r="AF62" s="145">
        <v>0</v>
      </c>
      <c r="AG62" s="145">
        <v>0</v>
      </c>
      <c r="AH62" s="145">
        <v>0</v>
      </c>
      <c r="AI62" s="142">
        <f t="shared" si="5"/>
        <v>0</v>
      </c>
      <c r="AJ62" s="141"/>
      <c r="AK62" s="67"/>
      <c r="AL62" s="67"/>
      <c r="AM62" s="24"/>
      <c r="AN62" s="24"/>
      <c r="AO62" s="24"/>
      <c r="AP62" s="71"/>
      <c r="AQ62" s="69"/>
      <c r="AR62" s="141"/>
      <c r="AS62" s="141"/>
      <c r="AT62" s="141"/>
      <c r="AU62" s="141"/>
      <c r="AV62" s="141"/>
      <c r="AW62" s="141"/>
      <c r="AX62" s="141"/>
      <c r="AY62" s="141"/>
      <c r="AZ62" s="141"/>
      <c r="BA62" s="141"/>
    </row>
    <row r="63" spans="1:53" ht="45" customHeight="1">
      <c r="A63" s="153">
        <f t="shared" si="4"/>
        <v>60</v>
      </c>
      <c r="B63" s="153" t="s">
        <v>57</v>
      </c>
      <c r="C63" s="140"/>
      <c r="D63" s="28"/>
      <c r="E63" s="69"/>
      <c r="F63" s="39">
        <v>0</v>
      </c>
      <c r="G63" s="141"/>
      <c r="H63" s="141"/>
      <c r="I63" s="141"/>
      <c r="J63" s="141"/>
      <c r="K63" s="141"/>
      <c r="L63" s="69"/>
      <c r="M63" s="141"/>
      <c r="N63" s="59"/>
      <c r="O63" s="59"/>
      <c r="P63" s="105"/>
      <c r="Q63" s="105"/>
      <c r="R63" s="105"/>
      <c r="S63" s="105"/>
      <c r="T63" s="105"/>
      <c r="U63" s="90"/>
      <c r="V63" s="90"/>
      <c r="W63" s="90"/>
      <c r="X63" s="90"/>
      <c r="Y63" s="93"/>
      <c r="Z63" s="96"/>
      <c r="AA63" s="96"/>
      <c r="AB63" s="29">
        <v>0</v>
      </c>
      <c r="AC63" s="145">
        <v>0</v>
      </c>
      <c r="AD63" s="145">
        <v>0</v>
      </c>
      <c r="AE63" s="145">
        <v>0</v>
      </c>
      <c r="AF63" s="145">
        <v>0</v>
      </c>
      <c r="AG63" s="145">
        <v>0</v>
      </c>
      <c r="AH63" s="145">
        <v>0</v>
      </c>
      <c r="AI63" s="142">
        <f t="shared" si="5"/>
        <v>0</v>
      </c>
      <c r="AJ63" s="141"/>
      <c r="AK63" s="67"/>
      <c r="AL63" s="67"/>
      <c r="AM63" s="24"/>
      <c r="AN63" s="24"/>
      <c r="AO63" s="24"/>
      <c r="AP63" s="71"/>
      <c r="AQ63" s="69"/>
      <c r="AR63" s="141"/>
      <c r="AS63" s="141"/>
      <c r="AT63" s="141"/>
      <c r="AU63" s="141"/>
      <c r="AV63" s="141"/>
      <c r="AW63" s="141"/>
      <c r="AX63" s="141"/>
      <c r="AY63" s="141"/>
      <c r="AZ63" s="141"/>
      <c r="BA63" s="141"/>
    </row>
    <row r="64" spans="1:53" ht="45" customHeight="1">
      <c r="A64" s="153">
        <f t="shared" si="4"/>
        <v>61</v>
      </c>
      <c r="B64" s="153" t="s">
        <v>57</v>
      </c>
      <c r="C64" s="140"/>
      <c r="D64" s="28"/>
      <c r="E64" s="69"/>
      <c r="F64" s="39">
        <v>0</v>
      </c>
      <c r="G64" s="141"/>
      <c r="H64" s="141"/>
      <c r="I64" s="141"/>
      <c r="J64" s="141"/>
      <c r="K64" s="21"/>
      <c r="L64" s="69"/>
      <c r="M64" s="141"/>
      <c r="N64" s="59"/>
      <c r="O64" s="59"/>
      <c r="P64" s="105"/>
      <c r="Q64" s="105"/>
      <c r="R64" s="105"/>
      <c r="S64" s="105"/>
      <c r="T64" s="105"/>
      <c r="U64" s="90"/>
      <c r="V64" s="90"/>
      <c r="W64" s="90"/>
      <c r="X64" s="90"/>
      <c r="Y64" s="93"/>
      <c r="Z64" s="96"/>
      <c r="AA64" s="96"/>
      <c r="AB64" s="29">
        <v>0</v>
      </c>
      <c r="AC64" s="145">
        <v>0</v>
      </c>
      <c r="AD64" s="145">
        <v>0</v>
      </c>
      <c r="AE64" s="145">
        <v>0</v>
      </c>
      <c r="AF64" s="145">
        <v>0</v>
      </c>
      <c r="AG64" s="145">
        <v>0</v>
      </c>
      <c r="AH64" s="145">
        <v>0</v>
      </c>
      <c r="AI64" s="142">
        <f t="shared" si="5"/>
        <v>0</v>
      </c>
      <c r="AJ64" s="141"/>
      <c r="AK64" s="67"/>
      <c r="AL64" s="67"/>
      <c r="AM64" s="24"/>
      <c r="AN64" s="24"/>
      <c r="AO64" s="24"/>
      <c r="AP64" s="71"/>
      <c r="AQ64" s="69"/>
      <c r="AR64" s="141"/>
      <c r="AS64" s="141"/>
      <c r="AT64" s="141"/>
      <c r="AU64" s="141"/>
      <c r="AV64" s="141"/>
      <c r="AW64" s="141"/>
      <c r="AX64" s="141"/>
      <c r="AY64" s="141"/>
      <c r="AZ64" s="141"/>
      <c r="BA64" s="141"/>
    </row>
    <row r="65" spans="1:53" ht="45" customHeight="1">
      <c r="A65" s="153">
        <f t="shared" si="4"/>
        <v>62</v>
      </c>
      <c r="B65" s="153" t="s">
        <v>57</v>
      </c>
      <c r="C65" s="140"/>
      <c r="D65" s="28"/>
      <c r="E65" s="69"/>
      <c r="F65" s="39">
        <v>0</v>
      </c>
      <c r="G65" s="141"/>
      <c r="H65" s="141"/>
      <c r="I65" s="141"/>
      <c r="J65" s="141"/>
      <c r="K65" s="141"/>
      <c r="L65" s="69"/>
      <c r="M65" s="141"/>
      <c r="N65" s="59"/>
      <c r="O65" s="59"/>
      <c r="P65" s="105"/>
      <c r="Q65" s="105"/>
      <c r="R65" s="105"/>
      <c r="S65" s="105"/>
      <c r="T65" s="105"/>
      <c r="U65" s="90"/>
      <c r="V65" s="90"/>
      <c r="W65" s="90"/>
      <c r="X65" s="90"/>
      <c r="Y65" s="93"/>
      <c r="Z65" s="96"/>
      <c r="AA65" s="96"/>
      <c r="AB65" s="29">
        <v>0</v>
      </c>
      <c r="AC65" s="145">
        <v>0</v>
      </c>
      <c r="AD65" s="145">
        <v>0</v>
      </c>
      <c r="AE65" s="145">
        <v>0</v>
      </c>
      <c r="AF65" s="145">
        <v>0</v>
      </c>
      <c r="AG65" s="145">
        <v>0</v>
      </c>
      <c r="AH65" s="145">
        <v>0</v>
      </c>
      <c r="AI65" s="142">
        <f t="shared" si="5"/>
        <v>0</v>
      </c>
      <c r="AJ65" s="141"/>
      <c r="AK65" s="67"/>
      <c r="AL65" s="67"/>
      <c r="AM65" s="24"/>
      <c r="AN65" s="24"/>
      <c r="AO65" s="24"/>
      <c r="AP65" s="71"/>
      <c r="AQ65" s="69"/>
      <c r="AR65" s="141"/>
      <c r="AS65" s="141"/>
      <c r="AT65" s="141"/>
      <c r="AU65" s="141"/>
      <c r="AV65" s="141"/>
      <c r="AW65" s="141"/>
      <c r="AX65" s="141"/>
      <c r="AY65" s="141"/>
      <c r="AZ65" s="141"/>
      <c r="BA65" s="141"/>
    </row>
    <row r="66" spans="1:53" ht="45" customHeight="1">
      <c r="A66" s="153">
        <f t="shared" si="4"/>
        <v>63</v>
      </c>
      <c r="B66" s="153" t="s">
        <v>57</v>
      </c>
      <c r="C66" s="140"/>
      <c r="D66" s="28"/>
      <c r="E66" s="69"/>
      <c r="F66" s="39">
        <v>0</v>
      </c>
      <c r="G66" s="141"/>
      <c r="H66" s="141"/>
      <c r="I66" s="141"/>
      <c r="J66" s="141"/>
      <c r="K66" s="141"/>
      <c r="L66" s="69"/>
      <c r="M66" s="141"/>
      <c r="N66" s="59"/>
      <c r="O66" s="59"/>
      <c r="P66" s="105"/>
      <c r="Q66" s="105"/>
      <c r="R66" s="105"/>
      <c r="S66" s="105"/>
      <c r="T66" s="105"/>
      <c r="U66" s="90"/>
      <c r="V66" s="90"/>
      <c r="W66" s="90"/>
      <c r="X66" s="90"/>
      <c r="Y66" s="93"/>
      <c r="Z66" s="96"/>
      <c r="AA66" s="96"/>
      <c r="AB66" s="29">
        <v>0</v>
      </c>
      <c r="AC66" s="145">
        <v>0</v>
      </c>
      <c r="AD66" s="145">
        <v>0</v>
      </c>
      <c r="AE66" s="145">
        <v>0</v>
      </c>
      <c r="AF66" s="145">
        <v>0</v>
      </c>
      <c r="AG66" s="145">
        <v>0</v>
      </c>
      <c r="AH66" s="145">
        <v>0</v>
      </c>
      <c r="AI66" s="142">
        <f t="shared" si="5"/>
        <v>0</v>
      </c>
      <c r="AJ66" s="141"/>
      <c r="AK66" s="67"/>
      <c r="AL66" s="67"/>
      <c r="AM66" s="24"/>
      <c r="AN66" s="24"/>
      <c r="AO66" s="24"/>
      <c r="AP66" s="71"/>
      <c r="AQ66" s="69"/>
      <c r="AR66" s="141"/>
      <c r="AS66" s="141"/>
      <c r="AT66" s="141"/>
      <c r="AU66" s="141"/>
      <c r="AV66" s="141"/>
      <c r="AW66" s="141"/>
      <c r="AX66" s="141"/>
      <c r="AY66" s="141"/>
      <c r="AZ66" s="141"/>
      <c r="BA66" s="141"/>
    </row>
    <row r="67" spans="1:53" ht="45" customHeight="1">
      <c r="A67" s="153">
        <f t="shared" si="4"/>
        <v>64</v>
      </c>
      <c r="B67" s="153" t="s">
        <v>57</v>
      </c>
      <c r="C67" s="58"/>
      <c r="D67" s="28"/>
      <c r="E67" s="69"/>
      <c r="F67" s="39">
        <v>0</v>
      </c>
      <c r="G67" s="141"/>
      <c r="H67" s="141"/>
      <c r="I67" s="141"/>
      <c r="J67" s="141"/>
      <c r="K67" s="141"/>
      <c r="L67" s="69"/>
      <c r="M67" s="141"/>
      <c r="N67" s="59"/>
      <c r="O67" s="59"/>
      <c r="P67" s="105"/>
      <c r="Q67" s="105"/>
      <c r="R67" s="105"/>
      <c r="S67" s="105"/>
      <c r="T67" s="105"/>
      <c r="U67" s="90"/>
      <c r="V67" s="90"/>
      <c r="W67" s="90"/>
      <c r="X67" s="90"/>
      <c r="Y67" s="93"/>
      <c r="Z67" s="96"/>
      <c r="AA67" s="96"/>
      <c r="AB67" s="29">
        <v>0</v>
      </c>
      <c r="AC67" s="145">
        <v>0</v>
      </c>
      <c r="AD67" s="145">
        <v>0</v>
      </c>
      <c r="AE67" s="145">
        <v>0</v>
      </c>
      <c r="AF67" s="145">
        <v>0</v>
      </c>
      <c r="AG67" s="145">
        <v>0</v>
      </c>
      <c r="AH67" s="145">
        <v>0</v>
      </c>
      <c r="AI67" s="142">
        <f t="shared" si="5"/>
        <v>0</v>
      </c>
      <c r="AJ67" s="141"/>
      <c r="AK67" s="67"/>
      <c r="AL67" s="67"/>
      <c r="AM67" s="24"/>
      <c r="AN67" s="24"/>
      <c r="AO67" s="24"/>
      <c r="AP67" s="71"/>
      <c r="AQ67" s="69"/>
      <c r="AR67" s="141"/>
      <c r="AS67" s="141"/>
      <c r="AT67" s="141"/>
      <c r="AU67" s="141"/>
      <c r="AV67" s="141"/>
      <c r="AW67" s="141"/>
      <c r="AX67" s="141"/>
      <c r="AY67" s="141"/>
      <c r="AZ67" s="141"/>
      <c r="BA67" s="141"/>
    </row>
    <row r="68" spans="1:53" ht="45" customHeight="1">
      <c r="A68" s="153">
        <f t="shared" ref="A68:A99" si="6">A67+1</f>
        <v>65</v>
      </c>
      <c r="B68" s="153" t="s">
        <v>57</v>
      </c>
      <c r="C68" s="140"/>
      <c r="D68" s="28"/>
      <c r="E68" s="69"/>
      <c r="F68" s="39">
        <v>0</v>
      </c>
      <c r="G68" s="21"/>
      <c r="H68" s="21"/>
      <c r="I68" s="21"/>
      <c r="J68" s="141"/>
      <c r="K68" s="21"/>
      <c r="L68" s="69"/>
      <c r="M68" s="141"/>
      <c r="N68" s="59"/>
      <c r="O68" s="59"/>
      <c r="P68" s="105"/>
      <c r="Q68" s="105"/>
      <c r="R68" s="105"/>
      <c r="S68" s="105"/>
      <c r="T68" s="105"/>
      <c r="U68" s="90"/>
      <c r="V68" s="90"/>
      <c r="W68" s="90"/>
      <c r="X68" s="90"/>
      <c r="Y68" s="93"/>
      <c r="Z68" s="96"/>
      <c r="AA68" s="96"/>
      <c r="AB68" s="29">
        <v>0</v>
      </c>
      <c r="AC68" s="145">
        <v>0</v>
      </c>
      <c r="AD68" s="145">
        <v>0</v>
      </c>
      <c r="AE68" s="145">
        <v>0</v>
      </c>
      <c r="AF68" s="145">
        <v>0</v>
      </c>
      <c r="AG68" s="145">
        <v>0</v>
      </c>
      <c r="AH68" s="145">
        <v>0</v>
      </c>
      <c r="AI68" s="142">
        <f t="shared" si="5"/>
        <v>0</v>
      </c>
      <c r="AJ68" s="141"/>
      <c r="AK68" s="67"/>
      <c r="AL68" s="67"/>
      <c r="AM68" s="24"/>
      <c r="AN68" s="24"/>
      <c r="AO68" s="24"/>
      <c r="AP68" s="71"/>
      <c r="AQ68" s="69"/>
      <c r="AR68" s="141"/>
      <c r="AS68" s="141"/>
      <c r="AT68" s="141"/>
      <c r="AU68" s="141"/>
      <c r="AV68" s="141"/>
      <c r="AW68" s="141"/>
      <c r="AX68" s="141"/>
      <c r="AY68" s="141"/>
      <c r="AZ68" s="141"/>
      <c r="BA68" s="141"/>
    </row>
    <row r="69" spans="1:53" ht="45" customHeight="1">
      <c r="A69" s="153">
        <f t="shared" si="6"/>
        <v>66</v>
      </c>
      <c r="B69" s="153" t="s">
        <v>57</v>
      </c>
      <c r="C69" s="140"/>
      <c r="D69" s="28"/>
      <c r="E69" s="69"/>
      <c r="F69" s="39">
        <v>0</v>
      </c>
      <c r="G69" s="141"/>
      <c r="H69" s="141"/>
      <c r="I69" s="141"/>
      <c r="J69" s="141"/>
      <c r="K69" s="141"/>
      <c r="L69" s="69"/>
      <c r="M69" s="141"/>
      <c r="N69" s="59"/>
      <c r="O69" s="59"/>
      <c r="P69" s="105"/>
      <c r="Q69" s="105"/>
      <c r="R69" s="105"/>
      <c r="S69" s="105"/>
      <c r="T69" s="105"/>
      <c r="U69" s="90"/>
      <c r="V69" s="90"/>
      <c r="W69" s="90"/>
      <c r="X69" s="90"/>
      <c r="Y69" s="93"/>
      <c r="Z69" s="96"/>
      <c r="AA69" s="96"/>
      <c r="AB69" s="29">
        <v>0</v>
      </c>
      <c r="AC69" s="145">
        <v>0</v>
      </c>
      <c r="AD69" s="145">
        <v>0</v>
      </c>
      <c r="AE69" s="145">
        <v>0</v>
      </c>
      <c r="AF69" s="145">
        <v>0</v>
      </c>
      <c r="AG69" s="145">
        <v>0</v>
      </c>
      <c r="AH69" s="145">
        <v>0</v>
      </c>
      <c r="AI69" s="142">
        <f t="shared" si="5"/>
        <v>0</v>
      </c>
      <c r="AJ69" s="141"/>
      <c r="AK69" s="67"/>
      <c r="AL69" s="67"/>
      <c r="AM69" s="24"/>
      <c r="AN69" s="24"/>
      <c r="AO69" s="24"/>
      <c r="AP69" s="71"/>
      <c r="AQ69" s="69"/>
      <c r="AR69" s="141"/>
      <c r="AS69" s="141"/>
      <c r="AT69" s="141"/>
      <c r="AU69" s="141"/>
      <c r="AV69" s="141"/>
      <c r="AW69" s="141"/>
      <c r="AX69" s="141"/>
      <c r="AY69" s="141"/>
      <c r="AZ69" s="141"/>
      <c r="BA69" s="141"/>
    </row>
    <row r="70" spans="1:53" ht="45" customHeight="1">
      <c r="A70" s="153">
        <f t="shared" si="6"/>
        <v>67</v>
      </c>
      <c r="B70" s="153" t="s">
        <v>57</v>
      </c>
      <c r="C70" s="140"/>
      <c r="D70" s="28"/>
      <c r="E70" s="69"/>
      <c r="F70" s="39">
        <v>0</v>
      </c>
      <c r="G70" s="141"/>
      <c r="H70" s="141"/>
      <c r="I70" s="141"/>
      <c r="J70" s="141"/>
      <c r="K70" s="141"/>
      <c r="L70" s="69"/>
      <c r="M70" s="141"/>
      <c r="N70" s="59"/>
      <c r="O70" s="59"/>
      <c r="P70" s="105"/>
      <c r="Q70" s="105"/>
      <c r="R70" s="105"/>
      <c r="S70" s="105"/>
      <c r="T70" s="105"/>
      <c r="U70" s="90"/>
      <c r="V70" s="90"/>
      <c r="W70" s="90"/>
      <c r="X70" s="90"/>
      <c r="Y70" s="93"/>
      <c r="Z70" s="96"/>
      <c r="AA70" s="96"/>
      <c r="AB70" s="29">
        <v>0</v>
      </c>
      <c r="AC70" s="145">
        <v>0</v>
      </c>
      <c r="AD70" s="145">
        <v>0</v>
      </c>
      <c r="AE70" s="145">
        <v>0</v>
      </c>
      <c r="AF70" s="145">
        <v>0</v>
      </c>
      <c r="AG70" s="145">
        <v>0</v>
      </c>
      <c r="AH70" s="145">
        <v>0</v>
      </c>
      <c r="AI70" s="142">
        <f t="shared" si="5"/>
        <v>0</v>
      </c>
      <c r="AJ70" s="141"/>
      <c r="AK70" s="67"/>
      <c r="AL70" s="67"/>
      <c r="AM70" s="24"/>
      <c r="AN70" s="24"/>
      <c r="AO70" s="24"/>
      <c r="AP70" s="71"/>
      <c r="AQ70" s="69"/>
      <c r="AR70" s="141"/>
      <c r="AS70" s="141"/>
      <c r="AT70" s="141"/>
      <c r="AU70" s="141"/>
      <c r="AV70" s="141"/>
      <c r="AW70" s="141"/>
      <c r="AX70" s="141"/>
      <c r="AY70" s="141"/>
      <c r="AZ70" s="141"/>
      <c r="BA70" s="141"/>
    </row>
    <row r="71" spans="1:53" ht="45" customHeight="1">
      <c r="A71" s="153">
        <f t="shared" si="6"/>
        <v>68</v>
      </c>
      <c r="B71" s="153"/>
      <c r="C71" s="140"/>
      <c r="D71" s="28"/>
      <c r="E71" s="69"/>
      <c r="F71" s="39">
        <v>0</v>
      </c>
      <c r="G71" s="141"/>
      <c r="H71" s="141"/>
      <c r="I71" s="141"/>
      <c r="J71" s="141"/>
      <c r="K71" s="141"/>
      <c r="L71" s="69"/>
      <c r="M71" s="141"/>
      <c r="N71" s="59"/>
      <c r="O71" s="59"/>
      <c r="P71" s="105"/>
      <c r="Q71" s="105"/>
      <c r="R71" s="105"/>
      <c r="S71" s="105"/>
      <c r="T71" s="105"/>
      <c r="U71" s="90"/>
      <c r="V71" s="90"/>
      <c r="W71" s="90"/>
      <c r="X71" s="90"/>
      <c r="Y71" s="93"/>
      <c r="Z71" s="96"/>
      <c r="AA71" s="96"/>
      <c r="AB71" s="29">
        <v>0</v>
      </c>
      <c r="AC71" s="145">
        <v>0</v>
      </c>
      <c r="AD71" s="145">
        <v>0</v>
      </c>
      <c r="AE71" s="145">
        <v>0</v>
      </c>
      <c r="AF71" s="145">
        <v>0</v>
      </c>
      <c r="AG71" s="145">
        <v>0</v>
      </c>
      <c r="AH71" s="145">
        <v>0</v>
      </c>
      <c r="AI71" s="142">
        <f t="shared" si="5"/>
        <v>0</v>
      </c>
      <c r="AJ71" s="141"/>
      <c r="AK71" s="67"/>
      <c r="AL71" s="67"/>
      <c r="AM71" s="24"/>
      <c r="AN71" s="24"/>
      <c r="AO71" s="24"/>
      <c r="AP71" s="71"/>
      <c r="AQ71" s="69"/>
      <c r="AR71" s="141"/>
      <c r="AS71" s="141"/>
      <c r="AT71" s="141"/>
      <c r="AU71" s="141"/>
      <c r="AV71" s="141"/>
      <c r="AW71" s="141"/>
      <c r="AX71" s="141"/>
      <c r="AY71" s="141"/>
      <c r="AZ71" s="141"/>
      <c r="BA71" s="141"/>
    </row>
    <row r="72" spans="1:53" ht="45" customHeight="1">
      <c r="A72" s="153">
        <f t="shared" si="6"/>
        <v>69</v>
      </c>
      <c r="B72" s="153"/>
      <c r="C72" s="140"/>
      <c r="D72" s="28"/>
      <c r="E72" s="69"/>
      <c r="F72" s="39">
        <v>0</v>
      </c>
      <c r="G72" s="141"/>
      <c r="H72" s="141"/>
      <c r="I72" s="141"/>
      <c r="J72" s="141"/>
      <c r="K72" s="141"/>
      <c r="L72" s="69"/>
      <c r="M72" s="141"/>
      <c r="N72" s="59"/>
      <c r="O72" s="59"/>
      <c r="P72" s="105"/>
      <c r="Q72" s="105"/>
      <c r="R72" s="105"/>
      <c r="S72" s="105"/>
      <c r="T72" s="105"/>
      <c r="U72" s="90"/>
      <c r="V72" s="90"/>
      <c r="W72" s="90"/>
      <c r="X72" s="90"/>
      <c r="Y72" s="93"/>
      <c r="Z72" s="96"/>
      <c r="AA72" s="96"/>
      <c r="AB72" s="29">
        <v>0</v>
      </c>
      <c r="AC72" s="145">
        <v>0</v>
      </c>
      <c r="AD72" s="145">
        <v>0</v>
      </c>
      <c r="AE72" s="145">
        <v>0</v>
      </c>
      <c r="AF72" s="145">
        <v>0</v>
      </c>
      <c r="AG72" s="145">
        <v>0</v>
      </c>
      <c r="AH72" s="145">
        <v>0</v>
      </c>
      <c r="AI72" s="142">
        <f t="shared" si="5"/>
        <v>0</v>
      </c>
      <c r="AJ72" s="141"/>
      <c r="AK72" s="67"/>
      <c r="AL72" s="67"/>
      <c r="AM72" s="24"/>
      <c r="AN72" s="24"/>
      <c r="AO72" s="24"/>
      <c r="AP72" s="71"/>
      <c r="AQ72" s="69"/>
      <c r="AR72" s="141"/>
      <c r="AS72" s="141"/>
      <c r="AT72" s="141"/>
      <c r="AU72" s="141"/>
      <c r="AV72" s="141"/>
      <c r="AW72" s="141"/>
      <c r="AX72" s="141"/>
      <c r="AY72" s="141"/>
      <c r="AZ72" s="141"/>
      <c r="BA72" s="141"/>
    </row>
    <row r="73" spans="1:53" ht="45" customHeight="1">
      <c r="A73" s="153">
        <f t="shared" si="6"/>
        <v>70</v>
      </c>
      <c r="B73" s="153"/>
      <c r="C73" s="140"/>
      <c r="D73" s="28"/>
      <c r="E73" s="69"/>
      <c r="F73" s="39">
        <v>0</v>
      </c>
      <c r="G73" s="141"/>
      <c r="H73" s="141"/>
      <c r="I73" s="141"/>
      <c r="J73" s="141"/>
      <c r="K73" s="141"/>
      <c r="L73" s="69"/>
      <c r="M73" s="141"/>
      <c r="N73" s="59"/>
      <c r="O73" s="59"/>
      <c r="P73" s="105"/>
      <c r="Q73" s="105"/>
      <c r="R73" s="105"/>
      <c r="S73" s="105"/>
      <c r="T73" s="105"/>
      <c r="U73" s="90"/>
      <c r="V73" s="90"/>
      <c r="W73" s="90"/>
      <c r="X73" s="90"/>
      <c r="Y73" s="93"/>
      <c r="Z73" s="96"/>
      <c r="AA73" s="96"/>
      <c r="AB73" s="29">
        <v>0</v>
      </c>
      <c r="AC73" s="145">
        <v>0</v>
      </c>
      <c r="AD73" s="145">
        <v>0</v>
      </c>
      <c r="AE73" s="145">
        <v>0</v>
      </c>
      <c r="AF73" s="145">
        <v>0</v>
      </c>
      <c r="AG73" s="145">
        <v>0</v>
      </c>
      <c r="AH73" s="145">
        <v>0</v>
      </c>
      <c r="AI73" s="142">
        <f t="shared" si="5"/>
        <v>0</v>
      </c>
      <c r="AJ73" s="141"/>
      <c r="AK73" s="67"/>
      <c r="AL73" s="67"/>
      <c r="AM73" s="24"/>
      <c r="AN73" s="24"/>
      <c r="AO73" s="24"/>
      <c r="AP73" s="71"/>
      <c r="AQ73" s="69"/>
      <c r="AR73" s="141"/>
      <c r="AS73" s="141"/>
      <c r="AT73" s="141"/>
      <c r="AU73" s="141"/>
      <c r="AV73" s="141"/>
      <c r="AW73" s="141"/>
      <c r="AX73" s="141"/>
      <c r="AY73" s="141"/>
      <c r="AZ73" s="141"/>
      <c r="BA73" s="141"/>
    </row>
    <row r="74" spans="1:53" ht="45" customHeight="1">
      <c r="A74" s="153">
        <f t="shared" si="6"/>
        <v>71</v>
      </c>
      <c r="B74" s="153"/>
      <c r="C74" s="140"/>
      <c r="D74" s="28"/>
      <c r="E74" s="69"/>
      <c r="F74" s="39">
        <v>0</v>
      </c>
      <c r="G74" s="141"/>
      <c r="H74" s="141"/>
      <c r="I74" s="141"/>
      <c r="J74" s="141"/>
      <c r="K74" s="141"/>
      <c r="L74" s="69"/>
      <c r="M74" s="141"/>
      <c r="N74" s="59"/>
      <c r="O74" s="59"/>
      <c r="P74" s="105"/>
      <c r="Q74" s="105"/>
      <c r="R74" s="105"/>
      <c r="S74" s="105"/>
      <c r="T74" s="105"/>
      <c r="U74" s="90"/>
      <c r="V74" s="90"/>
      <c r="W74" s="90"/>
      <c r="X74" s="90"/>
      <c r="Y74" s="93"/>
      <c r="Z74" s="96"/>
      <c r="AA74" s="96"/>
      <c r="AB74" s="29">
        <v>0</v>
      </c>
      <c r="AC74" s="145">
        <v>0</v>
      </c>
      <c r="AD74" s="145">
        <v>0</v>
      </c>
      <c r="AE74" s="145">
        <v>0</v>
      </c>
      <c r="AF74" s="145">
        <v>0</v>
      </c>
      <c r="AG74" s="145">
        <v>0</v>
      </c>
      <c r="AH74" s="145">
        <v>0</v>
      </c>
      <c r="AI74" s="142">
        <f t="shared" si="5"/>
        <v>0</v>
      </c>
      <c r="AJ74" s="141"/>
      <c r="AK74" s="67"/>
      <c r="AL74" s="67"/>
      <c r="AM74" s="24"/>
      <c r="AN74" s="24"/>
      <c r="AO74" s="24"/>
      <c r="AP74" s="71"/>
      <c r="AQ74" s="69"/>
      <c r="AR74" s="141"/>
      <c r="AS74" s="141"/>
      <c r="AT74" s="141"/>
      <c r="AU74" s="141"/>
      <c r="AV74" s="141"/>
      <c r="AW74" s="141"/>
      <c r="AX74" s="141"/>
      <c r="AY74" s="141"/>
      <c r="AZ74" s="141"/>
      <c r="BA74" s="141"/>
    </row>
    <row r="75" spans="1:53" ht="45" customHeight="1">
      <c r="A75" s="153">
        <f t="shared" si="6"/>
        <v>72</v>
      </c>
      <c r="B75" s="153"/>
      <c r="C75" s="140"/>
      <c r="D75" s="28"/>
      <c r="E75" s="69"/>
      <c r="F75" s="39">
        <v>0</v>
      </c>
      <c r="G75" s="141"/>
      <c r="H75" s="35"/>
      <c r="I75" s="35"/>
      <c r="J75" s="35"/>
      <c r="K75" s="65"/>
      <c r="L75" s="69"/>
      <c r="M75" s="141"/>
      <c r="N75" s="59"/>
      <c r="O75" s="59"/>
      <c r="P75" s="105"/>
      <c r="Q75" s="105"/>
      <c r="R75" s="105"/>
      <c r="S75" s="105"/>
      <c r="T75" s="105"/>
      <c r="U75" s="90"/>
      <c r="V75" s="90"/>
      <c r="W75" s="90"/>
      <c r="X75" s="90"/>
      <c r="Y75" s="93"/>
      <c r="Z75" s="95"/>
      <c r="AA75" s="95"/>
      <c r="AB75" s="29">
        <v>0</v>
      </c>
      <c r="AC75" s="145">
        <v>0</v>
      </c>
      <c r="AD75" s="145">
        <v>0</v>
      </c>
      <c r="AE75" s="145">
        <v>0</v>
      </c>
      <c r="AF75" s="145">
        <v>0</v>
      </c>
      <c r="AG75" s="145">
        <v>0</v>
      </c>
      <c r="AH75" s="145">
        <v>0</v>
      </c>
      <c r="AI75" s="142">
        <f t="shared" si="5"/>
        <v>0</v>
      </c>
      <c r="AJ75" s="141"/>
      <c r="AK75" s="67"/>
      <c r="AL75" s="67"/>
      <c r="AM75" s="24"/>
      <c r="AN75" s="24"/>
      <c r="AO75" s="24"/>
      <c r="AP75" s="71"/>
      <c r="AQ75" s="69"/>
      <c r="AR75" s="141"/>
      <c r="AS75" s="141"/>
      <c r="AT75" s="141"/>
      <c r="AU75" s="141"/>
      <c r="AV75" s="141"/>
      <c r="AW75" s="141"/>
      <c r="AX75" s="141"/>
      <c r="AY75" s="141"/>
      <c r="AZ75" s="141"/>
      <c r="BA75" s="141"/>
    </row>
    <row r="76" spans="1:53" ht="45" customHeight="1">
      <c r="A76" s="153">
        <f t="shared" si="6"/>
        <v>73</v>
      </c>
      <c r="B76" s="153"/>
      <c r="C76" s="140"/>
      <c r="D76" s="28"/>
      <c r="E76" s="69"/>
      <c r="F76" s="39">
        <v>0</v>
      </c>
      <c r="G76" s="141"/>
      <c r="H76" s="141"/>
      <c r="I76" s="141"/>
      <c r="J76" s="141"/>
      <c r="K76" s="141"/>
      <c r="L76" s="69"/>
      <c r="M76" s="141"/>
      <c r="N76" s="59"/>
      <c r="O76" s="59"/>
      <c r="P76" s="105"/>
      <c r="Q76" s="105"/>
      <c r="R76" s="105"/>
      <c r="S76" s="105"/>
      <c r="T76" s="105"/>
      <c r="U76" s="90"/>
      <c r="V76" s="90"/>
      <c r="W76" s="90"/>
      <c r="X76" s="90"/>
      <c r="Y76" s="93"/>
      <c r="Z76" s="93"/>
      <c r="AA76" s="93"/>
      <c r="AB76" s="29">
        <v>0</v>
      </c>
      <c r="AC76" s="145">
        <v>0</v>
      </c>
      <c r="AD76" s="145">
        <v>0</v>
      </c>
      <c r="AE76" s="145">
        <v>0</v>
      </c>
      <c r="AF76" s="145">
        <v>0</v>
      </c>
      <c r="AG76" s="145">
        <v>0</v>
      </c>
      <c r="AH76" s="145">
        <v>0</v>
      </c>
      <c r="AI76" s="142">
        <f t="shared" si="5"/>
        <v>0</v>
      </c>
      <c r="AJ76" s="141"/>
      <c r="AK76" s="67"/>
      <c r="AL76" s="67"/>
      <c r="AM76" s="24"/>
      <c r="AN76" s="24"/>
      <c r="AO76" s="24"/>
      <c r="AP76" s="71"/>
      <c r="AQ76" s="69"/>
      <c r="AR76" s="141"/>
      <c r="AS76" s="141"/>
      <c r="AT76" s="141"/>
      <c r="AU76" s="141"/>
      <c r="AV76" s="141"/>
      <c r="AW76" s="141"/>
      <c r="AX76" s="141"/>
      <c r="AY76" s="141"/>
      <c r="AZ76" s="141"/>
      <c r="BA76" s="141"/>
    </row>
    <row r="77" spans="1:53" ht="45" customHeight="1">
      <c r="A77" s="153">
        <f t="shared" si="6"/>
        <v>74</v>
      </c>
      <c r="B77" s="153"/>
      <c r="C77" s="140"/>
      <c r="D77" s="28"/>
      <c r="E77" s="69"/>
      <c r="F77" s="39">
        <v>0</v>
      </c>
      <c r="G77" s="141"/>
      <c r="H77" s="141"/>
      <c r="I77" s="141"/>
      <c r="J77" s="141"/>
      <c r="K77" s="141"/>
      <c r="L77" s="69"/>
      <c r="M77" s="141"/>
      <c r="N77" s="59"/>
      <c r="O77" s="59"/>
      <c r="P77" s="105"/>
      <c r="Q77" s="105"/>
      <c r="R77" s="105"/>
      <c r="S77" s="105"/>
      <c r="T77" s="105"/>
      <c r="U77" s="90"/>
      <c r="V77" s="90"/>
      <c r="W77" s="90"/>
      <c r="X77" s="90"/>
      <c r="Y77" s="93"/>
      <c r="Z77" s="93"/>
      <c r="AA77" s="93"/>
      <c r="AB77" s="29">
        <v>0</v>
      </c>
      <c r="AC77" s="145">
        <v>0</v>
      </c>
      <c r="AD77" s="145">
        <v>0</v>
      </c>
      <c r="AE77" s="145">
        <v>0</v>
      </c>
      <c r="AF77" s="145">
        <v>0</v>
      </c>
      <c r="AG77" s="145">
        <v>0</v>
      </c>
      <c r="AH77" s="145">
        <v>0</v>
      </c>
      <c r="AI77" s="142">
        <f t="shared" si="5"/>
        <v>0</v>
      </c>
      <c r="AJ77" s="141"/>
      <c r="AK77" s="67"/>
      <c r="AL77" s="67"/>
      <c r="AM77" s="24"/>
      <c r="AN77" s="24"/>
      <c r="AO77" s="24"/>
      <c r="AP77" s="71"/>
      <c r="AQ77" s="69"/>
      <c r="AR77" s="141"/>
      <c r="AS77" s="141"/>
      <c r="AT77" s="141"/>
      <c r="AU77" s="141"/>
      <c r="AV77" s="141"/>
      <c r="AW77" s="141"/>
      <c r="AX77" s="141"/>
      <c r="AY77" s="141"/>
      <c r="AZ77" s="141"/>
      <c r="BA77" s="141"/>
    </row>
    <row r="78" spans="1:53" ht="45" customHeight="1">
      <c r="A78" s="153">
        <f t="shared" si="6"/>
        <v>75</v>
      </c>
      <c r="B78" s="153"/>
      <c r="C78" s="140"/>
      <c r="D78" s="28"/>
      <c r="E78" s="69"/>
      <c r="F78" s="39">
        <v>0</v>
      </c>
      <c r="G78" s="141"/>
      <c r="H78" s="141"/>
      <c r="I78" s="141"/>
      <c r="J78" s="141"/>
      <c r="K78" s="141"/>
      <c r="L78" s="69"/>
      <c r="M78" s="141"/>
      <c r="N78" s="59"/>
      <c r="O78" s="59"/>
      <c r="P78" s="105"/>
      <c r="Q78" s="105"/>
      <c r="R78" s="105"/>
      <c r="S78" s="105"/>
      <c r="T78" s="105"/>
      <c r="U78" s="90"/>
      <c r="V78" s="90"/>
      <c r="W78" s="90"/>
      <c r="X78" s="90"/>
      <c r="Y78" s="93"/>
      <c r="Z78" s="93"/>
      <c r="AA78" s="93"/>
      <c r="AB78" s="29">
        <v>0</v>
      </c>
      <c r="AC78" s="145">
        <v>0</v>
      </c>
      <c r="AD78" s="145">
        <v>0</v>
      </c>
      <c r="AE78" s="145">
        <v>0</v>
      </c>
      <c r="AF78" s="145">
        <v>0</v>
      </c>
      <c r="AG78" s="145">
        <v>0</v>
      </c>
      <c r="AH78" s="145">
        <v>0</v>
      </c>
      <c r="AI78" s="142">
        <f t="shared" si="5"/>
        <v>0</v>
      </c>
      <c r="AJ78" s="141"/>
      <c r="AK78" s="67"/>
      <c r="AL78" s="67"/>
      <c r="AM78" s="24"/>
      <c r="AN78" s="24"/>
      <c r="AO78" s="24"/>
      <c r="AP78" s="71"/>
      <c r="AQ78" s="69"/>
      <c r="AR78" s="141"/>
      <c r="AS78" s="141"/>
      <c r="AT78" s="141"/>
      <c r="AU78" s="141"/>
      <c r="AV78" s="141"/>
      <c r="AW78" s="141"/>
      <c r="AX78" s="141"/>
      <c r="AY78" s="141"/>
      <c r="AZ78" s="141"/>
      <c r="BA78" s="141"/>
    </row>
    <row r="79" spans="1:53" ht="45" customHeight="1">
      <c r="A79" s="153">
        <f t="shared" si="6"/>
        <v>76</v>
      </c>
      <c r="B79" s="153"/>
      <c r="C79" s="140"/>
      <c r="D79" s="28"/>
      <c r="E79" s="69"/>
      <c r="F79" s="39">
        <v>0</v>
      </c>
      <c r="G79" s="141"/>
      <c r="H79" s="141"/>
      <c r="I79" s="141"/>
      <c r="J79" s="141"/>
      <c r="K79" s="141"/>
      <c r="L79" s="69"/>
      <c r="M79" s="141"/>
      <c r="N79" s="59"/>
      <c r="O79" s="59"/>
      <c r="P79" s="105"/>
      <c r="Q79" s="105"/>
      <c r="R79" s="105"/>
      <c r="S79" s="105"/>
      <c r="T79" s="105"/>
      <c r="U79" s="90"/>
      <c r="V79" s="90"/>
      <c r="W79" s="90"/>
      <c r="X79" s="90"/>
      <c r="Y79" s="93"/>
      <c r="Z79" s="93"/>
      <c r="AA79" s="93"/>
      <c r="AB79" s="29">
        <v>0</v>
      </c>
      <c r="AC79" s="145">
        <v>0</v>
      </c>
      <c r="AD79" s="145">
        <v>0</v>
      </c>
      <c r="AE79" s="145">
        <v>0</v>
      </c>
      <c r="AF79" s="145">
        <v>0</v>
      </c>
      <c r="AG79" s="145">
        <v>0</v>
      </c>
      <c r="AH79" s="145">
        <v>0</v>
      </c>
      <c r="AI79" s="142">
        <f t="shared" si="5"/>
        <v>0</v>
      </c>
      <c r="AJ79" s="141"/>
      <c r="AK79" s="67"/>
      <c r="AL79" s="67"/>
      <c r="AM79" s="24"/>
      <c r="AN79" s="24"/>
      <c r="AO79" s="24"/>
      <c r="AP79" s="71"/>
      <c r="AQ79" s="69"/>
      <c r="AR79" s="141"/>
      <c r="AS79" s="141"/>
      <c r="AT79" s="141"/>
      <c r="AU79" s="141"/>
      <c r="AV79" s="141"/>
      <c r="AW79" s="141"/>
      <c r="AX79" s="141"/>
      <c r="AY79" s="141"/>
      <c r="AZ79" s="141"/>
      <c r="BA79" s="141"/>
    </row>
    <row r="80" spans="1:53" ht="45" customHeight="1">
      <c r="A80" s="153">
        <f t="shared" si="6"/>
        <v>77</v>
      </c>
      <c r="B80" s="153"/>
      <c r="C80" s="140"/>
      <c r="D80" s="28"/>
      <c r="E80" s="69"/>
      <c r="F80" s="39">
        <v>0</v>
      </c>
      <c r="G80" s="141"/>
      <c r="H80" s="141"/>
      <c r="I80" s="141"/>
      <c r="J80" s="141"/>
      <c r="K80" s="141"/>
      <c r="L80" s="69"/>
      <c r="M80" s="141"/>
      <c r="N80" s="59"/>
      <c r="O80" s="59"/>
      <c r="P80" s="105"/>
      <c r="Q80" s="105"/>
      <c r="R80" s="105"/>
      <c r="S80" s="105"/>
      <c r="T80" s="105"/>
      <c r="U80" s="90"/>
      <c r="V80" s="90"/>
      <c r="W80" s="90"/>
      <c r="X80" s="90"/>
      <c r="Y80" s="93"/>
      <c r="Z80" s="93"/>
      <c r="AA80" s="93"/>
      <c r="AB80" s="29">
        <v>0</v>
      </c>
      <c r="AC80" s="145">
        <v>0</v>
      </c>
      <c r="AD80" s="145">
        <v>0</v>
      </c>
      <c r="AE80" s="145">
        <v>0</v>
      </c>
      <c r="AF80" s="145">
        <v>0</v>
      </c>
      <c r="AG80" s="145">
        <v>0</v>
      </c>
      <c r="AH80" s="145">
        <v>0</v>
      </c>
      <c r="AI80" s="142">
        <f t="shared" si="5"/>
        <v>0</v>
      </c>
      <c r="AJ80" s="141"/>
      <c r="AK80" s="67"/>
      <c r="AL80" s="67"/>
      <c r="AM80" s="24"/>
      <c r="AN80" s="24"/>
      <c r="AO80" s="24"/>
      <c r="AP80" s="71"/>
      <c r="AQ80" s="69"/>
      <c r="AR80" s="141"/>
      <c r="AS80" s="141"/>
      <c r="AT80" s="141"/>
      <c r="AU80" s="141"/>
      <c r="AV80" s="141"/>
      <c r="AW80" s="141"/>
      <c r="AX80" s="141"/>
      <c r="AY80" s="141"/>
      <c r="AZ80" s="141"/>
      <c r="BA80" s="141"/>
    </row>
    <row r="81" spans="1:53" ht="45" customHeight="1">
      <c r="A81" s="153">
        <f t="shared" si="6"/>
        <v>78</v>
      </c>
      <c r="B81" s="153"/>
      <c r="C81" s="140"/>
      <c r="D81" s="28"/>
      <c r="E81" s="69"/>
      <c r="F81" s="39">
        <v>0</v>
      </c>
      <c r="G81" s="21"/>
      <c r="H81" s="21"/>
      <c r="I81" s="21"/>
      <c r="J81" s="141"/>
      <c r="K81" s="21"/>
      <c r="L81" s="69"/>
      <c r="M81" s="141"/>
      <c r="N81" s="59"/>
      <c r="O81" s="59"/>
      <c r="P81" s="105"/>
      <c r="Q81" s="105"/>
      <c r="R81" s="105"/>
      <c r="S81" s="105"/>
      <c r="T81" s="105"/>
      <c r="U81" s="90"/>
      <c r="V81" s="90"/>
      <c r="W81" s="90"/>
      <c r="X81" s="90"/>
      <c r="Y81" s="93"/>
      <c r="Z81" s="93"/>
      <c r="AA81" s="93"/>
      <c r="AB81" s="29">
        <v>0</v>
      </c>
      <c r="AC81" s="145">
        <v>0</v>
      </c>
      <c r="AD81" s="145">
        <v>0</v>
      </c>
      <c r="AE81" s="145">
        <v>0</v>
      </c>
      <c r="AF81" s="145">
        <v>0</v>
      </c>
      <c r="AG81" s="145">
        <v>0</v>
      </c>
      <c r="AH81" s="145">
        <v>0</v>
      </c>
      <c r="AI81" s="142">
        <f t="shared" si="5"/>
        <v>0</v>
      </c>
      <c r="AJ81" s="141"/>
      <c r="AK81" s="67"/>
      <c r="AL81" s="67"/>
      <c r="AM81" s="24"/>
      <c r="AN81" s="24"/>
      <c r="AO81" s="24"/>
      <c r="AP81" s="71"/>
      <c r="AQ81" s="69"/>
      <c r="AR81" s="141"/>
      <c r="AS81" s="141"/>
      <c r="AT81" s="141"/>
      <c r="AU81" s="141"/>
      <c r="AV81" s="141"/>
      <c r="AW81" s="141"/>
      <c r="AX81" s="141"/>
      <c r="AY81" s="141"/>
      <c r="AZ81" s="141"/>
      <c r="BA81" s="141"/>
    </row>
    <row r="82" spans="1:53" ht="45" customHeight="1">
      <c r="A82" s="153">
        <f t="shared" si="6"/>
        <v>79</v>
      </c>
      <c r="B82" s="153"/>
      <c r="C82" s="140"/>
      <c r="D82" s="28"/>
      <c r="E82" s="69"/>
      <c r="F82" s="39">
        <v>0</v>
      </c>
      <c r="G82" s="53"/>
      <c r="H82" s="53"/>
      <c r="I82" s="53"/>
      <c r="J82" s="141"/>
      <c r="K82" s="141"/>
      <c r="L82" s="69"/>
      <c r="M82" s="141"/>
      <c r="N82" s="59"/>
      <c r="O82" s="59"/>
      <c r="P82" s="105"/>
      <c r="Q82" s="105"/>
      <c r="R82" s="105"/>
      <c r="S82" s="105"/>
      <c r="T82" s="105"/>
      <c r="U82" s="90"/>
      <c r="V82" s="90"/>
      <c r="W82" s="90"/>
      <c r="X82" s="90"/>
      <c r="Y82" s="93"/>
      <c r="Z82" s="93"/>
      <c r="AA82" s="93"/>
      <c r="AB82" s="29">
        <v>0</v>
      </c>
      <c r="AC82" s="145">
        <v>0</v>
      </c>
      <c r="AD82" s="145">
        <v>0</v>
      </c>
      <c r="AE82" s="145">
        <v>0</v>
      </c>
      <c r="AF82" s="145">
        <v>0</v>
      </c>
      <c r="AG82" s="145">
        <v>0</v>
      </c>
      <c r="AH82" s="145">
        <v>0</v>
      </c>
      <c r="AI82" s="142">
        <f t="shared" si="5"/>
        <v>0</v>
      </c>
      <c r="AJ82" s="141"/>
      <c r="AK82" s="67"/>
      <c r="AL82" s="67"/>
      <c r="AM82" s="24"/>
      <c r="AN82" s="24"/>
      <c r="AO82" s="24"/>
      <c r="AP82" s="71"/>
      <c r="AQ82" s="69"/>
      <c r="AR82" s="141"/>
      <c r="AS82" s="141"/>
      <c r="AT82" s="141"/>
      <c r="AU82" s="141"/>
      <c r="AV82" s="141"/>
      <c r="AW82" s="141"/>
      <c r="AX82" s="141"/>
      <c r="AY82" s="141"/>
      <c r="AZ82" s="141"/>
      <c r="BA82" s="141"/>
    </row>
    <row r="83" spans="1:53" ht="45" customHeight="1">
      <c r="A83" s="153">
        <f t="shared" si="6"/>
        <v>80</v>
      </c>
      <c r="B83" s="153"/>
      <c r="C83" s="140"/>
      <c r="D83" s="28"/>
      <c r="E83" s="69"/>
      <c r="F83" s="39">
        <v>0</v>
      </c>
      <c r="G83" s="141"/>
      <c r="H83" s="141"/>
      <c r="I83" s="141"/>
      <c r="J83" s="141"/>
      <c r="K83" s="141"/>
      <c r="L83" s="69"/>
      <c r="M83" s="141"/>
      <c r="N83" s="59"/>
      <c r="O83" s="59"/>
      <c r="P83" s="105"/>
      <c r="Q83" s="105"/>
      <c r="R83" s="105"/>
      <c r="S83" s="105"/>
      <c r="T83" s="105"/>
      <c r="U83" s="90"/>
      <c r="V83" s="90"/>
      <c r="W83" s="90"/>
      <c r="X83" s="90"/>
      <c r="Y83" s="93"/>
      <c r="Z83" s="93"/>
      <c r="AA83" s="93"/>
      <c r="AB83" s="29">
        <v>0</v>
      </c>
      <c r="AC83" s="145">
        <v>0</v>
      </c>
      <c r="AD83" s="145">
        <v>0</v>
      </c>
      <c r="AE83" s="145">
        <v>0</v>
      </c>
      <c r="AF83" s="145">
        <v>0</v>
      </c>
      <c r="AG83" s="145">
        <v>0</v>
      </c>
      <c r="AH83" s="145">
        <v>0</v>
      </c>
      <c r="AI83" s="142">
        <f t="shared" si="5"/>
        <v>0</v>
      </c>
      <c r="AJ83" s="141"/>
      <c r="AK83" s="67"/>
      <c r="AL83" s="67"/>
      <c r="AM83" s="24"/>
      <c r="AN83" s="24"/>
      <c r="AO83" s="24"/>
      <c r="AP83" s="71"/>
      <c r="AQ83" s="69"/>
      <c r="AR83" s="141"/>
      <c r="AS83" s="141"/>
      <c r="AT83" s="141"/>
      <c r="AU83" s="141"/>
      <c r="AV83" s="141"/>
      <c r="AW83" s="141"/>
      <c r="AX83" s="141"/>
      <c r="AY83" s="141"/>
      <c r="AZ83" s="141"/>
      <c r="BA83" s="141"/>
    </row>
    <row r="84" spans="1:53" ht="45" customHeight="1">
      <c r="A84" s="153">
        <f t="shared" si="6"/>
        <v>81</v>
      </c>
      <c r="B84" s="153"/>
      <c r="C84" s="140"/>
      <c r="D84" s="28"/>
      <c r="E84" s="69"/>
      <c r="F84" s="39">
        <v>0</v>
      </c>
      <c r="G84" s="141"/>
      <c r="H84" s="141"/>
      <c r="I84" s="141"/>
      <c r="J84" s="141"/>
      <c r="K84" s="141"/>
      <c r="L84" s="69"/>
      <c r="M84" s="141"/>
      <c r="N84" s="59"/>
      <c r="O84" s="59"/>
      <c r="P84" s="105"/>
      <c r="Q84" s="105"/>
      <c r="R84" s="105"/>
      <c r="S84" s="105"/>
      <c r="T84" s="105"/>
      <c r="U84" s="90"/>
      <c r="V84" s="90"/>
      <c r="W84" s="90"/>
      <c r="X84" s="90"/>
      <c r="Y84" s="93"/>
      <c r="Z84" s="93"/>
      <c r="AA84" s="93"/>
      <c r="AB84" s="29">
        <v>0</v>
      </c>
      <c r="AC84" s="145">
        <v>0</v>
      </c>
      <c r="AD84" s="145">
        <v>0</v>
      </c>
      <c r="AE84" s="145">
        <v>0</v>
      </c>
      <c r="AF84" s="145">
        <v>0</v>
      </c>
      <c r="AG84" s="145">
        <v>0</v>
      </c>
      <c r="AH84" s="145">
        <v>0</v>
      </c>
      <c r="AI84" s="142">
        <f t="shared" si="5"/>
        <v>0</v>
      </c>
      <c r="AJ84" s="141"/>
      <c r="AK84" s="67"/>
      <c r="AL84" s="67"/>
      <c r="AM84" s="24"/>
      <c r="AN84" s="24"/>
      <c r="AO84" s="24"/>
      <c r="AP84" s="71"/>
      <c r="AQ84" s="69"/>
      <c r="AR84" s="141"/>
      <c r="AS84" s="141"/>
      <c r="AT84" s="141"/>
      <c r="AU84" s="141"/>
      <c r="AV84" s="141"/>
      <c r="AW84" s="141"/>
      <c r="AX84" s="141"/>
      <c r="AY84" s="141"/>
      <c r="AZ84" s="141"/>
      <c r="BA84" s="141"/>
    </row>
    <row r="85" spans="1:53" ht="45" customHeight="1">
      <c r="A85" s="153">
        <f t="shared" si="6"/>
        <v>82</v>
      </c>
      <c r="B85" s="153"/>
      <c r="C85" s="140"/>
      <c r="D85" s="28"/>
      <c r="E85" s="69"/>
      <c r="F85" s="39">
        <v>0</v>
      </c>
      <c r="G85" s="141"/>
      <c r="H85" s="141"/>
      <c r="I85" s="141"/>
      <c r="J85" s="141"/>
      <c r="K85" s="141"/>
      <c r="L85" s="69"/>
      <c r="M85" s="141"/>
      <c r="N85" s="59"/>
      <c r="O85" s="59"/>
      <c r="P85" s="105"/>
      <c r="Q85" s="105"/>
      <c r="R85" s="105"/>
      <c r="S85" s="105"/>
      <c r="T85" s="105"/>
      <c r="U85" s="90"/>
      <c r="V85" s="90"/>
      <c r="W85" s="90"/>
      <c r="X85" s="90"/>
      <c r="Y85" s="93"/>
      <c r="Z85" s="96"/>
      <c r="AA85" s="96"/>
      <c r="AB85" s="29">
        <v>0</v>
      </c>
      <c r="AC85" s="145">
        <v>0</v>
      </c>
      <c r="AD85" s="145">
        <v>0</v>
      </c>
      <c r="AE85" s="145">
        <v>0</v>
      </c>
      <c r="AF85" s="145">
        <v>0</v>
      </c>
      <c r="AG85" s="145">
        <v>0</v>
      </c>
      <c r="AH85" s="145">
        <v>0</v>
      </c>
      <c r="AI85" s="142">
        <f t="shared" si="5"/>
        <v>0</v>
      </c>
      <c r="AJ85" s="141"/>
      <c r="AK85" s="67"/>
      <c r="AL85" s="67"/>
      <c r="AM85" s="24"/>
      <c r="AN85" s="24"/>
      <c r="AO85" s="24"/>
      <c r="AP85" s="71"/>
      <c r="AQ85" s="69"/>
      <c r="AR85" s="141"/>
      <c r="AS85" s="141"/>
      <c r="AT85" s="141"/>
      <c r="AU85" s="141"/>
      <c r="AV85" s="141"/>
      <c r="AW85" s="141"/>
      <c r="AX85" s="141"/>
      <c r="AY85" s="141"/>
      <c r="AZ85" s="141"/>
      <c r="BA85" s="141"/>
    </row>
    <row r="86" spans="1:53" ht="45" customHeight="1">
      <c r="A86" s="153">
        <f t="shared" si="6"/>
        <v>83</v>
      </c>
      <c r="B86" s="153"/>
      <c r="C86" s="140"/>
      <c r="D86" s="28"/>
      <c r="E86" s="69"/>
      <c r="F86" s="39">
        <v>0</v>
      </c>
      <c r="G86" s="141"/>
      <c r="H86" s="141"/>
      <c r="I86" s="141"/>
      <c r="J86" s="141"/>
      <c r="K86" s="21"/>
      <c r="L86" s="69"/>
      <c r="M86" s="141"/>
      <c r="N86" s="59"/>
      <c r="O86" s="59"/>
      <c r="P86" s="105"/>
      <c r="Q86" s="105"/>
      <c r="R86" s="105"/>
      <c r="S86" s="105"/>
      <c r="T86" s="105"/>
      <c r="U86" s="90"/>
      <c r="V86" s="90"/>
      <c r="W86" s="90"/>
      <c r="X86" s="90"/>
      <c r="Y86" s="93"/>
      <c r="Z86" s="93"/>
      <c r="AA86" s="93"/>
      <c r="AB86" s="29">
        <v>0</v>
      </c>
      <c r="AC86" s="145">
        <v>0</v>
      </c>
      <c r="AD86" s="145">
        <v>0</v>
      </c>
      <c r="AE86" s="145">
        <v>0</v>
      </c>
      <c r="AF86" s="145">
        <v>0</v>
      </c>
      <c r="AG86" s="145">
        <v>0</v>
      </c>
      <c r="AH86" s="145">
        <v>0</v>
      </c>
      <c r="AI86" s="142">
        <f t="shared" si="5"/>
        <v>0</v>
      </c>
      <c r="AJ86" s="141"/>
      <c r="AK86" s="67"/>
      <c r="AL86" s="67"/>
      <c r="AM86" s="24"/>
      <c r="AN86" s="24"/>
      <c r="AO86" s="24"/>
      <c r="AP86" s="71"/>
      <c r="AQ86" s="69"/>
      <c r="AR86" s="141"/>
      <c r="AS86" s="141"/>
      <c r="AT86" s="141"/>
      <c r="AU86" s="141"/>
      <c r="AV86" s="141"/>
      <c r="AW86" s="141"/>
      <c r="AX86" s="141"/>
      <c r="AY86" s="141"/>
      <c r="AZ86" s="141"/>
      <c r="BA86" s="141"/>
    </row>
    <row r="87" spans="1:53" ht="45" customHeight="1">
      <c r="A87" s="153">
        <f t="shared" si="6"/>
        <v>84</v>
      </c>
      <c r="B87" s="153"/>
      <c r="C87" s="140"/>
      <c r="D87" s="28"/>
      <c r="E87" s="69"/>
      <c r="F87" s="39">
        <v>0</v>
      </c>
      <c r="G87" s="21"/>
      <c r="H87" s="21"/>
      <c r="I87" s="21"/>
      <c r="J87" s="141"/>
      <c r="K87" s="21"/>
      <c r="L87" s="69"/>
      <c r="M87" s="141"/>
      <c r="N87" s="59"/>
      <c r="O87" s="59"/>
      <c r="P87" s="105"/>
      <c r="Q87" s="105"/>
      <c r="R87" s="105"/>
      <c r="S87" s="105"/>
      <c r="T87" s="105"/>
      <c r="U87" s="90"/>
      <c r="V87" s="90"/>
      <c r="W87" s="90"/>
      <c r="X87" s="90"/>
      <c r="Y87" s="93"/>
      <c r="Z87" s="93"/>
      <c r="AA87" s="93"/>
      <c r="AB87" s="29">
        <v>0</v>
      </c>
      <c r="AC87" s="145">
        <v>0</v>
      </c>
      <c r="AD87" s="145">
        <v>0</v>
      </c>
      <c r="AE87" s="145">
        <v>0</v>
      </c>
      <c r="AF87" s="145">
        <v>0</v>
      </c>
      <c r="AG87" s="145">
        <v>0</v>
      </c>
      <c r="AH87" s="145">
        <v>0</v>
      </c>
      <c r="AI87" s="142">
        <f t="shared" ref="AI87:AI118" si="7">AVERAGE(AB87:AH87)</f>
        <v>0</v>
      </c>
      <c r="AJ87" s="141"/>
      <c r="AK87" s="67"/>
      <c r="AL87" s="67"/>
      <c r="AM87" s="24"/>
      <c r="AN87" s="24"/>
      <c r="AO87" s="24"/>
      <c r="AP87" s="71"/>
      <c r="AQ87" s="69"/>
      <c r="AR87" s="141"/>
      <c r="AS87" s="141"/>
      <c r="AT87" s="141"/>
      <c r="AU87" s="141"/>
      <c r="AV87" s="141"/>
      <c r="AW87" s="141"/>
      <c r="AX87" s="141"/>
      <c r="AY87" s="141"/>
      <c r="AZ87" s="141"/>
      <c r="BA87" s="141"/>
    </row>
    <row r="88" spans="1:53" ht="45" customHeight="1">
      <c r="A88" s="153">
        <f t="shared" si="6"/>
        <v>85</v>
      </c>
      <c r="B88" s="153"/>
      <c r="C88" s="140"/>
      <c r="D88" s="140"/>
      <c r="E88" s="69"/>
      <c r="F88" s="39">
        <v>0</v>
      </c>
      <c r="G88" s="21"/>
      <c r="H88" s="21"/>
      <c r="I88" s="21"/>
      <c r="J88" s="141"/>
      <c r="K88" s="21"/>
      <c r="L88" s="69"/>
      <c r="M88" s="141"/>
      <c r="N88" s="59"/>
      <c r="O88" s="59"/>
      <c r="P88" s="105"/>
      <c r="Q88" s="105"/>
      <c r="R88" s="105"/>
      <c r="S88" s="105"/>
      <c r="T88" s="105"/>
      <c r="U88" s="90"/>
      <c r="V88" s="90"/>
      <c r="W88" s="90"/>
      <c r="X88" s="90"/>
      <c r="Y88" s="93"/>
      <c r="Z88" s="93"/>
      <c r="AA88" s="93"/>
      <c r="AB88" s="29">
        <v>0</v>
      </c>
      <c r="AC88" s="145">
        <v>0</v>
      </c>
      <c r="AD88" s="145">
        <v>0</v>
      </c>
      <c r="AE88" s="145">
        <v>0</v>
      </c>
      <c r="AF88" s="145">
        <v>0</v>
      </c>
      <c r="AG88" s="145">
        <v>0</v>
      </c>
      <c r="AH88" s="145">
        <v>0</v>
      </c>
      <c r="AI88" s="142">
        <f t="shared" si="7"/>
        <v>0</v>
      </c>
      <c r="AJ88" s="141"/>
      <c r="AK88" s="67"/>
      <c r="AL88" s="67"/>
      <c r="AM88" s="24"/>
      <c r="AN88" s="24"/>
      <c r="AO88" s="24"/>
      <c r="AP88" s="71"/>
      <c r="AQ88" s="69"/>
      <c r="AR88" s="141"/>
      <c r="AS88" s="141"/>
      <c r="AT88" s="141"/>
      <c r="AU88" s="141"/>
      <c r="AV88" s="141"/>
      <c r="AW88" s="141"/>
      <c r="AX88" s="141"/>
      <c r="AY88" s="141"/>
      <c r="AZ88" s="141"/>
      <c r="BA88" s="141"/>
    </row>
    <row r="89" spans="1:53" ht="45" customHeight="1">
      <c r="A89" s="153">
        <f t="shared" si="6"/>
        <v>86</v>
      </c>
      <c r="B89" s="153"/>
      <c r="C89" s="140"/>
      <c r="D89" s="28"/>
      <c r="E89" s="69"/>
      <c r="F89" s="39">
        <v>0</v>
      </c>
      <c r="G89" s="21"/>
      <c r="H89" s="21"/>
      <c r="I89" s="21"/>
      <c r="J89" s="141"/>
      <c r="K89" s="21"/>
      <c r="L89" s="69"/>
      <c r="M89" s="141"/>
      <c r="N89" s="59"/>
      <c r="O89" s="59"/>
      <c r="P89" s="105"/>
      <c r="Q89" s="105"/>
      <c r="R89" s="105"/>
      <c r="S89" s="105"/>
      <c r="T89" s="105"/>
      <c r="U89" s="90"/>
      <c r="V89" s="90"/>
      <c r="W89" s="90"/>
      <c r="X89" s="90"/>
      <c r="Y89" s="93"/>
      <c r="Z89" s="93"/>
      <c r="AA89" s="93"/>
      <c r="AB89" s="29">
        <v>0</v>
      </c>
      <c r="AC89" s="145">
        <v>0</v>
      </c>
      <c r="AD89" s="145">
        <v>0</v>
      </c>
      <c r="AE89" s="145">
        <v>0</v>
      </c>
      <c r="AF89" s="145">
        <v>0</v>
      </c>
      <c r="AG89" s="145">
        <v>0</v>
      </c>
      <c r="AH89" s="145">
        <v>0</v>
      </c>
      <c r="AI89" s="142">
        <f t="shared" si="7"/>
        <v>0</v>
      </c>
      <c r="AJ89" s="141"/>
      <c r="AK89" s="67"/>
      <c r="AL89" s="67"/>
      <c r="AM89" s="24"/>
      <c r="AN89" s="24"/>
      <c r="AO89" s="24"/>
      <c r="AP89" s="71"/>
      <c r="AQ89" s="69"/>
      <c r="AR89" s="141"/>
      <c r="AS89" s="141"/>
      <c r="AT89" s="141"/>
      <c r="AU89" s="141"/>
      <c r="AV89" s="141"/>
      <c r="AW89" s="141"/>
      <c r="AX89" s="141"/>
      <c r="AY89" s="141"/>
      <c r="AZ89" s="141"/>
      <c r="BA89" s="141"/>
    </row>
    <row r="90" spans="1:53" ht="45" customHeight="1">
      <c r="A90" s="153">
        <f t="shared" si="6"/>
        <v>87</v>
      </c>
      <c r="B90" s="153"/>
      <c r="C90" s="140"/>
      <c r="D90" s="28"/>
      <c r="E90" s="69"/>
      <c r="F90" s="39">
        <v>0</v>
      </c>
      <c r="G90" s="21"/>
      <c r="H90" s="21"/>
      <c r="I90" s="21"/>
      <c r="J90" s="141"/>
      <c r="K90" s="21"/>
      <c r="L90" s="69"/>
      <c r="M90" s="141"/>
      <c r="N90" s="59"/>
      <c r="O90" s="59"/>
      <c r="P90" s="105"/>
      <c r="Q90" s="105"/>
      <c r="R90" s="105"/>
      <c r="S90" s="105"/>
      <c r="T90" s="105"/>
      <c r="U90" s="90"/>
      <c r="V90" s="90"/>
      <c r="W90" s="90"/>
      <c r="X90" s="90"/>
      <c r="Y90" s="93"/>
      <c r="Z90" s="93"/>
      <c r="AA90" s="93"/>
      <c r="AB90" s="29">
        <v>0</v>
      </c>
      <c r="AC90" s="145">
        <v>0</v>
      </c>
      <c r="AD90" s="145">
        <v>0</v>
      </c>
      <c r="AE90" s="145">
        <v>0</v>
      </c>
      <c r="AF90" s="145">
        <v>0</v>
      </c>
      <c r="AG90" s="145">
        <v>0</v>
      </c>
      <c r="AH90" s="145">
        <v>0</v>
      </c>
      <c r="AI90" s="142">
        <f t="shared" si="7"/>
        <v>0</v>
      </c>
      <c r="AJ90" s="141"/>
      <c r="AK90" s="67"/>
      <c r="AL90" s="67"/>
      <c r="AM90" s="24"/>
      <c r="AN90" s="24"/>
      <c r="AO90" s="24"/>
      <c r="AP90" s="71"/>
      <c r="AQ90" s="69"/>
      <c r="AR90" s="141"/>
      <c r="AS90" s="141"/>
      <c r="AT90" s="141"/>
      <c r="AU90" s="141"/>
      <c r="AV90" s="141"/>
      <c r="AW90" s="141"/>
      <c r="AX90" s="141"/>
      <c r="AY90" s="141"/>
      <c r="AZ90" s="141"/>
      <c r="BA90" s="141"/>
    </row>
    <row r="91" spans="1:53" ht="45" customHeight="1">
      <c r="A91" s="153">
        <f t="shared" si="6"/>
        <v>88</v>
      </c>
      <c r="B91" s="153"/>
      <c r="C91" s="140"/>
      <c r="D91" s="28"/>
      <c r="E91" s="69"/>
      <c r="F91" s="39">
        <v>0</v>
      </c>
      <c r="G91" s="21"/>
      <c r="H91" s="21"/>
      <c r="I91" s="21"/>
      <c r="J91" s="141"/>
      <c r="K91" s="21"/>
      <c r="L91" s="69"/>
      <c r="M91" s="141"/>
      <c r="N91" s="59"/>
      <c r="O91" s="59"/>
      <c r="P91" s="105"/>
      <c r="Q91" s="105"/>
      <c r="R91" s="105"/>
      <c r="S91" s="105"/>
      <c r="T91" s="105"/>
      <c r="U91" s="90"/>
      <c r="V91" s="90"/>
      <c r="W91" s="90"/>
      <c r="X91" s="90"/>
      <c r="Y91" s="93"/>
      <c r="Z91" s="93"/>
      <c r="AA91" s="93"/>
      <c r="AB91" s="29">
        <v>0</v>
      </c>
      <c r="AC91" s="145">
        <v>0</v>
      </c>
      <c r="AD91" s="145">
        <v>0</v>
      </c>
      <c r="AE91" s="145">
        <v>0</v>
      </c>
      <c r="AF91" s="145">
        <v>0</v>
      </c>
      <c r="AG91" s="145">
        <v>0</v>
      </c>
      <c r="AH91" s="145">
        <v>0</v>
      </c>
      <c r="AI91" s="142">
        <f t="shared" si="7"/>
        <v>0</v>
      </c>
      <c r="AJ91" s="141"/>
      <c r="AK91" s="67"/>
      <c r="AL91" s="67"/>
      <c r="AM91" s="24"/>
      <c r="AN91" s="24"/>
      <c r="AO91" s="24"/>
      <c r="AP91" s="71"/>
      <c r="AQ91" s="69"/>
      <c r="AR91" s="141"/>
      <c r="AS91" s="141"/>
      <c r="AT91" s="141"/>
      <c r="AU91" s="141"/>
      <c r="AV91" s="141"/>
      <c r="AW91" s="141"/>
      <c r="AX91" s="141"/>
      <c r="AY91" s="141"/>
      <c r="AZ91" s="141"/>
      <c r="BA91" s="141"/>
    </row>
    <row r="92" spans="1:53" ht="45" customHeight="1">
      <c r="A92" s="153">
        <f t="shared" si="6"/>
        <v>89</v>
      </c>
      <c r="B92" s="153"/>
      <c r="C92" s="140"/>
      <c r="D92" s="28"/>
      <c r="E92" s="69"/>
      <c r="F92" s="39">
        <v>0</v>
      </c>
      <c r="G92" s="21"/>
      <c r="H92" s="21"/>
      <c r="I92" s="21"/>
      <c r="J92" s="141"/>
      <c r="K92" s="21"/>
      <c r="L92" s="69"/>
      <c r="M92" s="141"/>
      <c r="N92" s="59"/>
      <c r="O92" s="59"/>
      <c r="P92" s="105"/>
      <c r="Q92" s="105"/>
      <c r="R92" s="105"/>
      <c r="S92" s="105"/>
      <c r="T92" s="105"/>
      <c r="U92" s="90"/>
      <c r="V92" s="90"/>
      <c r="W92" s="90"/>
      <c r="X92" s="90"/>
      <c r="Y92" s="93"/>
      <c r="Z92" s="93"/>
      <c r="AA92" s="93"/>
      <c r="AB92" s="29">
        <v>0</v>
      </c>
      <c r="AC92" s="145">
        <v>0</v>
      </c>
      <c r="AD92" s="145">
        <v>0</v>
      </c>
      <c r="AE92" s="145">
        <v>0</v>
      </c>
      <c r="AF92" s="145">
        <v>0</v>
      </c>
      <c r="AG92" s="145">
        <v>0</v>
      </c>
      <c r="AH92" s="145">
        <v>0</v>
      </c>
      <c r="AI92" s="142">
        <f t="shared" si="7"/>
        <v>0</v>
      </c>
      <c r="AJ92" s="141"/>
      <c r="AK92" s="67"/>
      <c r="AL92" s="67"/>
      <c r="AM92" s="24"/>
      <c r="AN92" s="24"/>
      <c r="AO92" s="24"/>
      <c r="AP92" s="71"/>
      <c r="AQ92" s="69"/>
      <c r="AR92" s="141"/>
      <c r="AS92" s="141"/>
      <c r="AT92" s="141"/>
      <c r="AU92" s="141"/>
      <c r="AV92" s="141"/>
      <c r="AW92" s="141"/>
      <c r="AX92" s="141"/>
      <c r="AY92" s="141"/>
      <c r="AZ92" s="141"/>
      <c r="BA92" s="141"/>
    </row>
    <row r="93" spans="1:53" ht="45" customHeight="1">
      <c r="A93" s="153">
        <f t="shared" si="6"/>
        <v>90</v>
      </c>
      <c r="B93" s="153"/>
      <c r="C93" s="140"/>
      <c r="D93" s="28"/>
      <c r="E93" s="69"/>
      <c r="F93" s="39">
        <v>0</v>
      </c>
      <c r="G93" s="21"/>
      <c r="H93" s="21"/>
      <c r="I93" s="21"/>
      <c r="J93" s="141"/>
      <c r="K93" s="21"/>
      <c r="L93" s="69"/>
      <c r="M93" s="141"/>
      <c r="N93" s="59"/>
      <c r="O93" s="59"/>
      <c r="P93" s="105"/>
      <c r="Q93" s="105"/>
      <c r="R93" s="105"/>
      <c r="S93" s="105"/>
      <c r="T93" s="105"/>
      <c r="U93" s="90"/>
      <c r="V93" s="90"/>
      <c r="W93" s="90"/>
      <c r="X93" s="90"/>
      <c r="Y93" s="93"/>
      <c r="Z93" s="93"/>
      <c r="AA93" s="93"/>
      <c r="AB93" s="29">
        <v>0</v>
      </c>
      <c r="AC93" s="145">
        <v>0</v>
      </c>
      <c r="AD93" s="145">
        <v>0</v>
      </c>
      <c r="AE93" s="145">
        <v>0</v>
      </c>
      <c r="AF93" s="145">
        <v>0</v>
      </c>
      <c r="AG93" s="145">
        <v>0</v>
      </c>
      <c r="AH93" s="145">
        <v>0</v>
      </c>
      <c r="AI93" s="142">
        <f t="shared" si="7"/>
        <v>0</v>
      </c>
      <c r="AJ93" s="141"/>
      <c r="AK93" s="67"/>
      <c r="AL93" s="67"/>
      <c r="AM93" s="24"/>
      <c r="AN93" s="24"/>
      <c r="AO93" s="24"/>
      <c r="AP93" s="71"/>
      <c r="AQ93" s="69"/>
      <c r="AR93" s="141"/>
      <c r="AS93" s="141"/>
      <c r="AT93" s="141"/>
      <c r="AU93" s="141"/>
      <c r="AV93" s="141"/>
      <c r="AW93" s="141"/>
      <c r="AX93" s="141"/>
      <c r="AY93" s="141"/>
      <c r="AZ93" s="141"/>
      <c r="BA93" s="141"/>
    </row>
    <row r="94" spans="1:53" ht="45" customHeight="1">
      <c r="A94" s="153">
        <f t="shared" si="6"/>
        <v>91</v>
      </c>
      <c r="B94" s="153"/>
      <c r="C94" s="140"/>
      <c r="D94" s="28"/>
      <c r="E94" s="69"/>
      <c r="F94" s="39">
        <v>0</v>
      </c>
      <c r="G94" s="21"/>
      <c r="H94" s="21"/>
      <c r="I94" s="21"/>
      <c r="J94" s="141"/>
      <c r="K94" s="21"/>
      <c r="L94" s="69"/>
      <c r="M94" s="141"/>
      <c r="N94" s="59"/>
      <c r="O94" s="59"/>
      <c r="P94" s="105"/>
      <c r="Q94" s="105"/>
      <c r="R94" s="105"/>
      <c r="S94" s="105"/>
      <c r="T94" s="105"/>
      <c r="U94" s="90"/>
      <c r="V94" s="90"/>
      <c r="W94" s="90"/>
      <c r="X94" s="90"/>
      <c r="Y94" s="93"/>
      <c r="Z94" s="93"/>
      <c r="AA94" s="93"/>
      <c r="AB94" s="29">
        <v>0</v>
      </c>
      <c r="AC94" s="145">
        <v>0</v>
      </c>
      <c r="AD94" s="145">
        <v>0</v>
      </c>
      <c r="AE94" s="145">
        <v>0</v>
      </c>
      <c r="AF94" s="145">
        <v>0</v>
      </c>
      <c r="AG94" s="145">
        <v>0</v>
      </c>
      <c r="AH94" s="145">
        <v>0</v>
      </c>
      <c r="AI94" s="142">
        <f t="shared" si="7"/>
        <v>0</v>
      </c>
      <c r="AJ94" s="141"/>
      <c r="AK94" s="67"/>
      <c r="AL94" s="67"/>
      <c r="AM94" s="24"/>
      <c r="AN94" s="24"/>
      <c r="AO94" s="24"/>
      <c r="AP94" s="71"/>
      <c r="AQ94" s="69"/>
      <c r="AR94" s="141"/>
      <c r="AS94" s="141"/>
      <c r="AT94" s="141"/>
      <c r="AU94" s="141"/>
      <c r="AV94" s="141"/>
      <c r="AW94" s="141"/>
      <c r="AX94" s="141"/>
      <c r="AY94" s="141"/>
      <c r="AZ94" s="141"/>
      <c r="BA94" s="141"/>
    </row>
    <row r="95" spans="1:53" ht="45" customHeight="1">
      <c r="A95" s="153">
        <f t="shared" si="6"/>
        <v>92</v>
      </c>
      <c r="B95" s="153"/>
      <c r="C95" s="140"/>
      <c r="D95" s="28"/>
      <c r="E95" s="69"/>
      <c r="F95" s="39">
        <v>0</v>
      </c>
      <c r="G95" s="21"/>
      <c r="H95" s="21"/>
      <c r="I95" s="21"/>
      <c r="J95" s="141"/>
      <c r="K95" s="21"/>
      <c r="L95" s="69"/>
      <c r="M95" s="141"/>
      <c r="N95" s="59"/>
      <c r="O95" s="59"/>
      <c r="P95" s="105"/>
      <c r="Q95" s="105"/>
      <c r="R95" s="105"/>
      <c r="S95" s="105"/>
      <c r="T95" s="105"/>
      <c r="U95" s="90"/>
      <c r="V95" s="90"/>
      <c r="W95" s="90"/>
      <c r="X95" s="90"/>
      <c r="Y95" s="93"/>
      <c r="Z95" s="93"/>
      <c r="AA95" s="93"/>
      <c r="AB95" s="29">
        <v>0</v>
      </c>
      <c r="AC95" s="145">
        <v>0</v>
      </c>
      <c r="AD95" s="145">
        <v>0</v>
      </c>
      <c r="AE95" s="145">
        <v>0</v>
      </c>
      <c r="AF95" s="145">
        <v>0</v>
      </c>
      <c r="AG95" s="145">
        <v>0</v>
      </c>
      <c r="AH95" s="145">
        <v>0</v>
      </c>
      <c r="AI95" s="142">
        <f t="shared" si="7"/>
        <v>0</v>
      </c>
      <c r="AJ95" s="141"/>
      <c r="AK95" s="67"/>
      <c r="AL95" s="67"/>
      <c r="AM95" s="24"/>
      <c r="AN95" s="24"/>
      <c r="AO95" s="24"/>
      <c r="AP95" s="71"/>
      <c r="AQ95" s="69"/>
      <c r="AR95" s="141"/>
      <c r="AS95" s="141"/>
      <c r="AT95" s="141"/>
      <c r="AU95" s="141"/>
      <c r="AV95" s="141"/>
      <c r="AW95" s="141"/>
      <c r="AX95" s="141"/>
      <c r="AY95" s="141"/>
      <c r="AZ95" s="141"/>
      <c r="BA95" s="141"/>
    </row>
    <row r="96" spans="1:53" ht="45" customHeight="1">
      <c r="A96" s="153">
        <f t="shared" si="6"/>
        <v>93</v>
      </c>
      <c r="B96" s="153"/>
      <c r="C96" s="140"/>
      <c r="D96" s="28"/>
      <c r="E96" s="69"/>
      <c r="F96" s="39">
        <v>0</v>
      </c>
      <c r="G96" s="21"/>
      <c r="H96" s="21"/>
      <c r="I96" s="21"/>
      <c r="J96" s="141"/>
      <c r="K96" s="21"/>
      <c r="L96" s="69"/>
      <c r="M96" s="141"/>
      <c r="N96" s="59"/>
      <c r="O96" s="59"/>
      <c r="P96" s="105"/>
      <c r="Q96" s="105"/>
      <c r="R96" s="105"/>
      <c r="S96" s="105"/>
      <c r="T96" s="105"/>
      <c r="U96" s="90"/>
      <c r="V96" s="90"/>
      <c r="W96" s="90"/>
      <c r="X96" s="90"/>
      <c r="Y96" s="93"/>
      <c r="Z96" s="93"/>
      <c r="AA96" s="93"/>
      <c r="AB96" s="29">
        <v>0</v>
      </c>
      <c r="AC96" s="145">
        <v>0</v>
      </c>
      <c r="AD96" s="145">
        <v>0</v>
      </c>
      <c r="AE96" s="145">
        <v>0</v>
      </c>
      <c r="AF96" s="145">
        <v>0</v>
      </c>
      <c r="AG96" s="145">
        <v>0</v>
      </c>
      <c r="AH96" s="145">
        <v>0</v>
      </c>
      <c r="AI96" s="142">
        <f t="shared" si="7"/>
        <v>0</v>
      </c>
      <c r="AJ96" s="141"/>
      <c r="AK96" s="67"/>
      <c r="AL96" s="67"/>
      <c r="AM96" s="24"/>
      <c r="AN96" s="24"/>
      <c r="AO96" s="24"/>
      <c r="AP96" s="71"/>
      <c r="AQ96" s="69"/>
      <c r="AR96" s="141"/>
      <c r="AS96" s="141"/>
      <c r="AT96" s="141"/>
      <c r="AU96" s="141"/>
      <c r="AV96" s="141"/>
      <c r="AW96" s="141"/>
      <c r="AX96" s="141"/>
      <c r="AY96" s="141"/>
      <c r="AZ96" s="141"/>
      <c r="BA96" s="141"/>
    </row>
    <row r="97" spans="1:53" ht="45" customHeight="1">
      <c r="A97" s="153">
        <f t="shared" si="6"/>
        <v>94</v>
      </c>
      <c r="B97" s="153"/>
      <c r="C97" s="140"/>
      <c r="D97" s="28"/>
      <c r="E97" s="69"/>
      <c r="F97" s="39">
        <v>0</v>
      </c>
      <c r="G97" s="21"/>
      <c r="H97" s="21"/>
      <c r="I97" s="21"/>
      <c r="J97" s="141"/>
      <c r="K97" s="21"/>
      <c r="L97" s="69"/>
      <c r="M97" s="141"/>
      <c r="N97" s="59"/>
      <c r="O97" s="59"/>
      <c r="P97" s="105"/>
      <c r="Q97" s="105"/>
      <c r="R97" s="105"/>
      <c r="S97" s="105"/>
      <c r="T97" s="105"/>
      <c r="U97" s="90"/>
      <c r="V97" s="90"/>
      <c r="W97" s="90"/>
      <c r="X97" s="90"/>
      <c r="Y97" s="93"/>
      <c r="Z97" s="93"/>
      <c r="AA97" s="93"/>
      <c r="AB97" s="29">
        <v>0</v>
      </c>
      <c r="AC97" s="145">
        <v>0</v>
      </c>
      <c r="AD97" s="145">
        <v>0</v>
      </c>
      <c r="AE97" s="145">
        <v>0</v>
      </c>
      <c r="AF97" s="145">
        <v>0</v>
      </c>
      <c r="AG97" s="145">
        <v>0</v>
      </c>
      <c r="AH97" s="145">
        <v>0</v>
      </c>
      <c r="AI97" s="142">
        <f t="shared" si="7"/>
        <v>0</v>
      </c>
      <c r="AJ97" s="141"/>
      <c r="AK97" s="67"/>
      <c r="AL97" s="67"/>
      <c r="AM97" s="24"/>
      <c r="AN97" s="24"/>
      <c r="AO97" s="24"/>
      <c r="AP97" s="71"/>
      <c r="AQ97" s="69"/>
      <c r="AR97" s="141"/>
      <c r="AS97" s="141"/>
      <c r="AT97" s="141"/>
      <c r="AU97" s="141"/>
      <c r="AV97" s="141"/>
      <c r="AW97" s="141"/>
      <c r="AX97" s="141"/>
      <c r="AY97" s="141"/>
      <c r="AZ97" s="141"/>
      <c r="BA97" s="141"/>
    </row>
    <row r="98" spans="1:53" ht="45" customHeight="1">
      <c r="A98" s="153">
        <f t="shared" si="6"/>
        <v>95</v>
      </c>
      <c r="B98" s="153"/>
      <c r="C98" s="140"/>
      <c r="D98" s="28"/>
      <c r="E98" s="69"/>
      <c r="F98" s="39">
        <v>0</v>
      </c>
      <c r="G98" s="21"/>
      <c r="H98" s="21"/>
      <c r="I98" s="21"/>
      <c r="J98" s="141"/>
      <c r="K98" s="21"/>
      <c r="L98" s="69"/>
      <c r="M98" s="141"/>
      <c r="N98" s="59"/>
      <c r="O98" s="59"/>
      <c r="P98" s="105"/>
      <c r="Q98" s="105"/>
      <c r="R98" s="105"/>
      <c r="S98" s="105"/>
      <c r="T98" s="105"/>
      <c r="U98" s="90"/>
      <c r="V98" s="90"/>
      <c r="W98" s="90"/>
      <c r="X98" s="90"/>
      <c r="Y98" s="93"/>
      <c r="Z98" s="93"/>
      <c r="AA98" s="93"/>
      <c r="AB98" s="29">
        <v>0</v>
      </c>
      <c r="AC98" s="145">
        <v>0</v>
      </c>
      <c r="AD98" s="145">
        <v>0</v>
      </c>
      <c r="AE98" s="145">
        <v>0</v>
      </c>
      <c r="AF98" s="145">
        <v>0</v>
      </c>
      <c r="AG98" s="145">
        <v>0</v>
      </c>
      <c r="AH98" s="145">
        <v>0</v>
      </c>
      <c r="AI98" s="142">
        <f t="shared" si="7"/>
        <v>0</v>
      </c>
      <c r="AJ98" s="141"/>
      <c r="AK98" s="67"/>
      <c r="AL98" s="67"/>
      <c r="AM98" s="24"/>
      <c r="AN98" s="24"/>
      <c r="AO98" s="24"/>
      <c r="AP98" s="71"/>
      <c r="AQ98" s="69"/>
      <c r="AR98" s="141"/>
      <c r="AS98" s="141"/>
      <c r="AT98" s="141"/>
      <c r="AU98" s="141"/>
      <c r="AV98" s="141"/>
      <c r="AW98" s="141"/>
      <c r="AX98" s="141"/>
      <c r="AY98" s="141"/>
      <c r="AZ98" s="141"/>
      <c r="BA98" s="141"/>
    </row>
    <row r="99" spans="1:53" ht="45" customHeight="1">
      <c r="A99" s="153">
        <f t="shared" si="6"/>
        <v>96</v>
      </c>
      <c r="B99" s="153"/>
      <c r="C99" s="140"/>
      <c r="D99" s="28"/>
      <c r="E99" s="69"/>
      <c r="F99" s="39">
        <v>0</v>
      </c>
      <c r="G99" s="21"/>
      <c r="H99" s="21"/>
      <c r="I99" s="21"/>
      <c r="J99" s="141"/>
      <c r="K99" s="21"/>
      <c r="L99" s="69"/>
      <c r="M99" s="141"/>
      <c r="N99" s="59"/>
      <c r="O99" s="59"/>
      <c r="P99" s="105"/>
      <c r="Q99" s="105"/>
      <c r="R99" s="105"/>
      <c r="S99" s="105"/>
      <c r="T99" s="105"/>
      <c r="U99" s="90"/>
      <c r="V99" s="90"/>
      <c r="W99" s="90"/>
      <c r="X99" s="90"/>
      <c r="Y99" s="93"/>
      <c r="Z99" s="93"/>
      <c r="AA99" s="93"/>
      <c r="AB99" s="29">
        <v>0</v>
      </c>
      <c r="AC99" s="145">
        <v>0</v>
      </c>
      <c r="AD99" s="145">
        <v>0</v>
      </c>
      <c r="AE99" s="145">
        <v>0</v>
      </c>
      <c r="AF99" s="145">
        <v>0</v>
      </c>
      <c r="AG99" s="145">
        <v>0</v>
      </c>
      <c r="AH99" s="145">
        <v>0</v>
      </c>
      <c r="AI99" s="142">
        <f t="shared" si="7"/>
        <v>0</v>
      </c>
      <c r="AJ99" s="141"/>
      <c r="AK99" s="67"/>
      <c r="AL99" s="67"/>
      <c r="AM99" s="24"/>
      <c r="AN99" s="24"/>
      <c r="AO99" s="24"/>
      <c r="AP99" s="71"/>
      <c r="AQ99" s="69"/>
      <c r="AR99" s="141"/>
      <c r="AS99" s="141"/>
      <c r="AT99" s="141"/>
      <c r="AU99" s="141"/>
      <c r="AV99" s="141"/>
      <c r="AW99" s="141"/>
      <c r="AX99" s="141"/>
      <c r="AY99" s="141"/>
      <c r="AZ99" s="141"/>
      <c r="BA99" s="141"/>
    </row>
    <row r="100" spans="1:53" ht="45" customHeight="1">
      <c r="A100" s="153">
        <f t="shared" ref="A100:A131" si="8">A99+1</f>
        <v>97</v>
      </c>
      <c r="B100" s="153"/>
      <c r="C100" s="140"/>
      <c r="D100" s="28"/>
      <c r="E100" s="69"/>
      <c r="F100" s="39">
        <v>0</v>
      </c>
      <c r="G100" s="21"/>
      <c r="H100" s="21"/>
      <c r="I100" s="21"/>
      <c r="J100" s="141"/>
      <c r="K100" s="21"/>
      <c r="L100" s="69"/>
      <c r="M100" s="141"/>
      <c r="N100" s="59"/>
      <c r="O100" s="59"/>
      <c r="P100" s="105"/>
      <c r="Q100" s="105"/>
      <c r="R100" s="105"/>
      <c r="S100" s="105"/>
      <c r="T100" s="105"/>
      <c r="U100" s="90"/>
      <c r="V100" s="90"/>
      <c r="W100" s="90"/>
      <c r="X100" s="90"/>
      <c r="Y100" s="93"/>
      <c r="Z100" s="93"/>
      <c r="AA100" s="93"/>
      <c r="AB100" s="29">
        <v>0</v>
      </c>
      <c r="AC100" s="145">
        <v>0</v>
      </c>
      <c r="AD100" s="145">
        <v>0</v>
      </c>
      <c r="AE100" s="145">
        <v>0</v>
      </c>
      <c r="AF100" s="145">
        <v>0</v>
      </c>
      <c r="AG100" s="145">
        <v>0</v>
      </c>
      <c r="AH100" s="145">
        <v>0</v>
      </c>
      <c r="AI100" s="142">
        <f t="shared" si="7"/>
        <v>0</v>
      </c>
      <c r="AJ100" s="141"/>
      <c r="AK100" s="67"/>
      <c r="AL100" s="67"/>
      <c r="AM100" s="24"/>
      <c r="AN100" s="24"/>
      <c r="AO100" s="24"/>
      <c r="AP100" s="71"/>
      <c r="AQ100" s="69"/>
      <c r="AR100" s="141"/>
      <c r="AS100" s="141"/>
      <c r="AT100" s="141"/>
      <c r="AU100" s="141"/>
      <c r="AV100" s="141"/>
      <c r="AW100" s="141"/>
      <c r="AX100" s="141"/>
      <c r="AY100" s="141"/>
      <c r="AZ100" s="141"/>
      <c r="BA100" s="141"/>
    </row>
    <row r="101" spans="1:53" ht="45" customHeight="1">
      <c r="A101" s="153">
        <f t="shared" si="8"/>
        <v>98</v>
      </c>
      <c r="B101" s="153"/>
      <c r="C101" s="140"/>
      <c r="D101" s="28"/>
      <c r="E101" s="69"/>
      <c r="F101" s="39">
        <v>0</v>
      </c>
      <c r="G101" s="21"/>
      <c r="H101" s="21"/>
      <c r="I101" s="21"/>
      <c r="J101" s="141"/>
      <c r="K101" s="21"/>
      <c r="L101" s="69"/>
      <c r="M101" s="141"/>
      <c r="N101" s="59"/>
      <c r="O101" s="59"/>
      <c r="P101" s="105"/>
      <c r="Q101" s="105"/>
      <c r="R101" s="105"/>
      <c r="S101" s="105"/>
      <c r="T101" s="105"/>
      <c r="U101" s="90"/>
      <c r="V101" s="90"/>
      <c r="W101" s="90"/>
      <c r="X101" s="90"/>
      <c r="Y101" s="93"/>
      <c r="Z101" s="93"/>
      <c r="AA101" s="93"/>
      <c r="AB101" s="29">
        <v>0</v>
      </c>
      <c r="AC101" s="145">
        <v>0</v>
      </c>
      <c r="AD101" s="145">
        <v>0</v>
      </c>
      <c r="AE101" s="145">
        <v>0</v>
      </c>
      <c r="AF101" s="145">
        <v>0</v>
      </c>
      <c r="AG101" s="145">
        <v>0</v>
      </c>
      <c r="AH101" s="145">
        <v>0</v>
      </c>
      <c r="AI101" s="142">
        <f t="shared" si="7"/>
        <v>0</v>
      </c>
      <c r="AJ101" s="141"/>
      <c r="AK101" s="67"/>
      <c r="AL101" s="67"/>
      <c r="AM101" s="24"/>
      <c r="AN101" s="24"/>
      <c r="AO101" s="24"/>
      <c r="AP101" s="71"/>
      <c r="AQ101" s="69"/>
      <c r="AR101" s="141"/>
      <c r="AS101" s="141"/>
      <c r="AT101" s="141"/>
      <c r="AU101" s="141"/>
      <c r="AV101" s="141"/>
      <c r="AW101" s="141"/>
      <c r="AX101" s="141"/>
      <c r="AY101" s="141"/>
      <c r="AZ101" s="141"/>
      <c r="BA101" s="141"/>
    </row>
    <row r="102" spans="1:53" ht="45" customHeight="1">
      <c r="A102" s="153">
        <f t="shared" si="8"/>
        <v>99</v>
      </c>
      <c r="B102" s="153"/>
      <c r="C102" s="140"/>
      <c r="D102" s="28"/>
      <c r="E102" s="69"/>
      <c r="F102" s="39">
        <v>0</v>
      </c>
      <c r="G102" s="21"/>
      <c r="H102" s="21"/>
      <c r="I102" s="21"/>
      <c r="J102" s="141"/>
      <c r="K102" s="21"/>
      <c r="L102" s="69"/>
      <c r="M102" s="141"/>
      <c r="N102" s="59"/>
      <c r="O102" s="59"/>
      <c r="P102" s="105"/>
      <c r="Q102" s="105"/>
      <c r="R102" s="105"/>
      <c r="S102" s="105"/>
      <c r="T102" s="105"/>
      <c r="U102" s="90"/>
      <c r="V102" s="90"/>
      <c r="W102" s="90"/>
      <c r="X102" s="90"/>
      <c r="Y102" s="93"/>
      <c r="Z102" s="93"/>
      <c r="AA102" s="93"/>
      <c r="AB102" s="29">
        <v>0</v>
      </c>
      <c r="AC102" s="145">
        <v>0</v>
      </c>
      <c r="AD102" s="145">
        <v>0</v>
      </c>
      <c r="AE102" s="145">
        <v>0</v>
      </c>
      <c r="AF102" s="145">
        <v>0</v>
      </c>
      <c r="AG102" s="145">
        <v>0</v>
      </c>
      <c r="AH102" s="145">
        <v>0</v>
      </c>
      <c r="AI102" s="142">
        <f t="shared" si="7"/>
        <v>0</v>
      </c>
      <c r="AJ102" s="141"/>
      <c r="AK102" s="67"/>
      <c r="AL102" s="67"/>
      <c r="AM102" s="24"/>
      <c r="AN102" s="24"/>
      <c r="AO102" s="24"/>
      <c r="AP102" s="71"/>
      <c r="AQ102" s="69"/>
      <c r="AR102" s="141"/>
      <c r="AS102" s="141"/>
      <c r="AT102" s="141"/>
      <c r="AU102" s="141"/>
      <c r="AV102" s="141"/>
      <c r="AW102" s="141"/>
      <c r="AX102" s="141"/>
      <c r="AY102" s="141"/>
      <c r="AZ102" s="141"/>
      <c r="BA102" s="141"/>
    </row>
    <row r="103" spans="1:53" ht="45" customHeight="1">
      <c r="A103" s="153">
        <f t="shared" si="8"/>
        <v>100</v>
      </c>
      <c r="B103" s="153"/>
      <c r="C103" s="140"/>
      <c r="D103" s="28"/>
      <c r="E103" s="69"/>
      <c r="F103" s="39">
        <v>0</v>
      </c>
      <c r="G103" s="21"/>
      <c r="H103" s="21"/>
      <c r="I103" s="21"/>
      <c r="J103" s="141"/>
      <c r="K103" s="21"/>
      <c r="L103" s="69"/>
      <c r="M103" s="141"/>
      <c r="N103" s="59"/>
      <c r="O103" s="59"/>
      <c r="P103" s="105"/>
      <c r="Q103" s="105"/>
      <c r="R103" s="105"/>
      <c r="S103" s="105"/>
      <c r="T103" s="105"/>
      <c r="U103" s="90"/>
      <c r="V103" s="90"/>
      <c r="W103" s="90"/>
      <c r="X103" s="90"/>
      <c r="Y103" s="93"/>
      <c r="Z103" s="93"/>
      <c r="AA103" s="93"/>
      <c r="AB103" s="29">
        <v>0</v>
      </c>
      <c r="AC103" s="145">
        <v>0</v>
      </c>
      <c r="AD103" s="145">
        <v>0</v>
      </c>
      <c r="AE103" s="145">
        <v>0</v>
      </c>
      <c r="AF103" s="145">
        <v>0</v>
      </c>
      <c r="AG103" s="145">
        <v>0</v>
      </c>
      <c r="AH103" s="145">
        <v>0</v>
      </c>
      <c r="AI103" s="142">
        <f t="shared" si="7"/>
        <v>0</v>
      </c>
      <c r="AJ103" s="141"/>
      <c r="AK103" s="67"/>
      <c r="AL103" s="67"/>
      <c r="AM103" s="24"/>
      <c r="AN103" s="24"/>
      <c r="AO103" s="24"/>
      <c r="AP103" s="71"/>
      <c r="AQ103" s="69"/>
      <c r="AR103" s="141"/>
      <c r="AS103" s="141"/>
      <c r="AT103" s="141"/>
      <c r="AU103" s="141"/>
      <c r="AV103" s="141"/>
      <c r="AW103" s="141"/>
      <c r="AX103" s="141"/>
      <c r="AY103" s="141"/>
      <c r="AZ103" s="141"/>
      <c r="BA103" s="141"/>
    </row>
    <row r="104" spans="1:53" ht="45" customHeight="1">
      <c r="A104" s="153">
        <f t="shared" si="8"/>
        <v>101</v>
      </c>
      <c r="B104" s="153"/>
      <c r="C104" s="140"/>
      <c r="D104" s="28"/>
      <c r="E104" s="69"/>
      <c r="F104" s="39">
        <v>0</v>
      </c>
      <c r="G104" s="21"/>
      <c r="H104" s="21"/>
      <c r="I104" s="21"/>
      <c r="J104" s="141"/>
      <c r="K104" s="21"/>
      <c r="L104" s="69"/>
      <c r="M104" s="141"/>
      <c r="N104" s="59"/>
      <c r="O104" s="59"/>
      <c r="P104" s="105"/>
      <c r="Q104" s="105"/>
      <c r="R104" s="105"/>
      <c r="S104" s="105"/>
      <c r="T104" s="105"/>
      <c r="U104" s="90"/>
      <c r="V104" s="90"/>
      <c r="W104" s="90"/>
      <c r="X104" s="90"/>
      <c r="Y104" s="93"/>
      <c r="Z104" s="93"/>
      <c r="AA104" s="93"/>
      <c r="AB104" s="29">
        <v>0</v>
      </c>
      <c r="AC104" s="145">
        <v>0</v>
      </c>
      <c r="AD104" s="145">
        <v>0</v>
      </c>
      <c r="AE104" s="145">
        <v>0</v>
      </c>
      <c r="AF104" s="145">
        <v>0</v>
      </c>
      <c r="AG104" s="145">
        <v>0</v>
      </c>
      <c r="AH104" s="145">
        <v>0</v>
      </c>
      <c r="AI104" s="142">
        <f t="shared" si="7"/>
        <v>0</v>
      </c>
      <c r="AJ104" s="141"/>
      <c r="AK104" s="67"/>
      <c r="AL104" s="67"/>
      <c r="AM104" s="24"/>
      <c r="AN104" s="24"/>
      <c r="AO104" s="24"/>
      <c r="AP104" s="71"/>
      <c r="AQ104" s="69"/>
      <c r="AR104" s="141"/>
      <c r="AS104" s="141"/>
      <c r="AT104" s="141"/>
      <c r="AU104" s="141"/>
      <c r="AV104" s="141"/>
      <c r="AW104" s="141"/>
      <c r="AX104" s="141"/>
      <c r="AY104" s="141"/>
      <c r="AZ104" s="141"/>
      <c r="BA104" s="141"/>
    </row>
    <row r="105" spans="1:53" ht="45" customHeight="1">
      <c r="A105" s="153">
        <f t="shared" si="8"/>
        <v>102</v>
      </c>
      <c r="B105" s="153"/>
      <c r="C105" s="140"/>
      <c r="D105" s="28"/>
      <c r="E105" s="69"/>
      <c r="F105" s="39">
        <v>0</v>
      </c>
      <c r="G105" s="21"/>
      <c r="H105" s="21"/>
      <c r="I105" s="21"/>
      <c r="J105" s="141"/>
      <c r="K105" s="21"/>
      <c r="L105" s="69"/>
      <c r="M105" s="141"/>
      <c r="N105" s="59"/>
      <c r="O105" s="59"/>
      <c r="P105" s="105"/>
      <c r="Q105" s="105"/>
      <c r="R105" s="105"/>
      <c r="S105" s="105"/>
      <c r="T105" s="105"/>
      <c r="U105" s="90"/>
      <c r="V105" s="90"/>
      <c r="W105" s="90"/>
      <c r="X105" s="90"/>
      <c r="Y105" s="93"/>
      <c r="Z105" s="93"/>
      <c r="AA105" s="93"/>
      <c r="AB105" s="29">
        <v>0</v>
      </c>
      <c r="AC105" s="145">
        <v>0</v>
      </c>
      <c r="AD105" s="145">
        <v>0</v>
      </c>
      <c r="AE105" s="145">
        <v>0</v>
      </c>
      <c r="AF105" s="145">
        <v>0</v>
      </c>
      <c r="AG105" s="145">
        <v>0</v>
      </c>
      <c r="AH105" s="145">
        <v>0</v>
      </c>
      <c r="AI105" s="142">
        <f t="shared" si="7"/>
        <v>0</v>
      </c>
      <c r="AJ105" s="141"/>
      <c r="AK105" s="67"/>
      <c r="AL105" s="67"/>
      <c r="AM105" s="24"/>
      <c r="AN105" s="24"/>
      <c r="AO105" s="24"/>
      <c r="AP105" s="71"/>
      <c r="AQ105" s="69"/>
      <c r="AR105" s="141"/>
      <c r="AS105" s="141"/>
      <c r="AT105" s="141"/>
      <c r="AU105" s="141"/>
      <c r="AV105" s="141"/>
      <c r="AW105" s="141"/>
      <c r="AX105" s="141"/>
      <c r="AY105" s="141"/>
      <c r="AZ105" s="141"/>
      <c r="BA105" s="141"/>
    </row>
    <row r="106" spans="1:53" ht="45" customHeight="1">
      <c r="A106" s="153">
        <f t="shared" si="8"/>
        <v>103</v>
      </c>
      <c r="B106" s="153"/>
      <c r="C106" s="140"/>
      <c r="D106" s="28"/>
      <c r="E106" s="69"/>
      <c r="F106" s="39">
        <v>0</v>
      </c>
      <c r="G106" s="21"/>
      <c r="H106" s="21"/>
      <c r="I106" s="21"/>
      <c r="J106" s="141"/>
      <c r="K106" s="21"/>
      <c r="L106" s="69"/>
      <c r="M106" s="141"/>
      <c r="N106" s="59"/>
      <c r="O106" s="59"/>
      <c r="P106" s="105"/>
      <c r="Q106" s="105"/>
      <c r="R106" s="105"/>
      <c r="S106" s="105"/>
      <c r="T106" s="105"/>
      <c r="U106" s="90"/>
      <c r="V106" s="90"/>
      <c r="W106" s="90"/>
      <c r="X106" s="90"/>
      <c r="Y106" s="93"/>
      <c r="Z106" s="93"/>
      <c r="AA106" s="93"/>
      <c r="AB106" s="29">
        <v>0</v>
      </c>
      <c r="AC106" s="145">
        <v>0</v>
      </c>
      <c r="AD106" s="145">
        <v>0</v>
      </c>
      <c r="AE106" s="145">
        <v>0</v>
      </c>
      <c r="AF106" s="145">
        <v>0</v>
      </c>
      <c r="AG106" s="145">
        <v>0</v>
      </c>
      <c r="AH106" s="145">
        <v>0</v>
      </c>
      <c r="AI106" s="142">
        <f t="shared" si="7"/>
        <v>0</v>
      </c>
      <c r="AJ106" s="141"/>
      <c r="AK106" s="67"/>
      <c r="AL106" s="67"/>
      <c r="AM106" s="24"/>
      <c r="AN106" s="24"/>
      <c r="AO106" s="24"/>
      <c r="AP106" s="71"/>
      <c r="AQ106" s="69"/>
      <c r="AR106" s="141"/>
      <c r="AS106" s="141"/>
      <c r="AT106" s="141"/>
      <c r="AU106" s="141"/>
      <c r="AV106" s="141"/>
      <c r="AW106" s="141"/>
      <c r="AX106" s="141"/>
      <c r="AY106" s="141"/>
      <c r="AZ106" s="141"/>
      <c r="BA106" s="141"/>
    </row>
    <row r="107" spans="1:53" ht="45" customHeight="1">
      <c r="A107" s="153">
        <f t="shared" si="8"/>
        <v>104</v>
      </c>
      <c r="B107" s="153"/>
      <c r="C107" s="140"/>
      <c r="D107" s="28"/>
      <c r="E107" s="69"/>
      <c r="F107" s="39">
        <v>0</v>
      </c>
      <c r="G107" s="21"/>
      <c r="H107" s="21"/>
      <c r="I107" s="21"/>
      <c r="J107" s="141"/>
      <c r="K107" s="21"/>
      <c r="L107" s="69"/>
      <c r="M107" s="141"/>
      <c r="N107" s="59"/>
      <c r="O107" s="59"/>
      <c r="P107" s="105"/>
      <c r="Q107" s="105"/>
      <c r="R107" s="105"/>
      <c r="S107" s="105"/>
      <c r="T107" s="105"/>
      <c r="U107" s="90"/>
      <c r="V107" s="90"/>
      <c r="W107" s="90"/>
      <c r="X107" s="90"/>
      <c r="Y107" s="93"/>
      <c r="Z107" s="93"/>
      <c r="AA107" s="93"/>
      <c r="AB107" s="29">
        <v>0</v>
      </c>
      <c r="AC107" s="145">
        <v>0</v>
      </c>
      <c r="AD107" s="145">
        <v>0</v>
      </c>
      <c r="AE107" s="145">
        <v>0</v>
      </c>
      <c r="AF107" s="145">
        <v>0</v>
      </c>
      <c r="AG107" s="145">
        <v>0</v>
      </c>
      <c r="AH107" s="145">
        <v>0</v>
      </c>
      <c r="AI107" s="142">
        <f t="shared" si="7"/>
        <v>0</v>
      </c>
      <c r="AJ107" s="141"/>
      <c r="AK107" s="67"/>
      <c r="AL107" s="67"/>
      <c r="AM107" s="24"/>
      <c r="AN107" s="24"/>
      <c r="AO107" s="24"/>
      <c r="AP107" s="71"/>
      <c r="AQ107" s="69"/>
      <c r="AR107" s="141"/>
      <c r="AS107" s="141"/>
      <c r="AT107" s="141"/>
      <c r="AU107" s="141"/>
      <c r="AV107" s="141"/>
      <c r="AW107" s="141"/>
      <c r="AX107" s="141"/>
      <c r="AY107" s="141"/>
      <c r="AZ107" s="141"/>
      <c r="BA107" s="141"/>
    </row>
    <row r="108" spans="1:53" ht="45" customHeight="1">
      <c r="A108" s="153">
        <f t="shared" si="8"/>
        <v>105</v>
      </c>
      <c r="B108" s="153"/>
      <c r="C108" s="140"/>
      <c r="D108" s="28"/>
      <c r="E108" s="69"/>
      <c r="F108" s="39">
        <v>0</v>
      </c>
      <c r="G108" s="21"/>
      <c r="H108" s="21"/>
      <c r="I108" s="21"/>
      <c r="J108" s="141"/>
      <c r="K108" s="21"/>
      <c r="L108" s="69"/>
      <c r="M108" s="141"/>
      <c r="N108" s="59"/>
      <c r="O108" s="59"/>
      <c r="P108" s="105"/>
      <c r="Q108" s="105"/>
      <c r="R108" s="105"/>
      <c r="S108" s="105"/>
      <c r="T108" s="105"/>
      <c r="U108" s="90"/>
      <c r="V108" s="90"/>
      <c r="W108" s="90"/>
      <c r="X108" s="90"/>
      <c r="Y108" s="93"/>
      <c r="Z108" s="93"/>
      <c r="AA108" s="93"/>
      <c r="AB108" s="29">
        <v>0</v>
      </c>
      <c r="AC108" s="145">
        <v>0</v>
      </c>
      <c r="AD108" s="145">
        <v>0</v>
      </c>
      <c r="AE108" s="145">
        <v>0</v>
      </c>
      <c r="AF108" s="145">
        <v>0</v>
      </c>
      <c r="AG108" s="145">
        <v>0</v>
      </c>
      <c r="AH108" s="145">
        <v>0</v>
      </c>
      <c r="AI108" s="142">
        <f t="shared" si="7"/>
        <v>0</v>
      </c>
      <c r="AJ108" s="141"/>
      <c r="AK108" s="67"/>
      <c r="AL108" s="67"/>
      <c r="AM108" s="24"/>
      <c r="AN108" s="24"/>
      <c r="AO108" s="24"/>
      <c r="AP108" s="71"/>
      <c r="AQ108" s="69"/>
      <c r="AR108" s="141"/>
      <c r="AS108" s="141"/>
      <c r="AT108" s="141"/>
      <c r="AU108" s="141"/>
      <c r="AV108" s="141"/>
      <c r="AW108" s="141"/>
      <c r="AX108" s="141"/>
      <c r="AY108" s="141"/>
      <c r="AZ108" s="141"/>
      <c r="BA108" s="141"/>
    </row>
    <row r="109" spans="1:53" ht="45" customHeight="1">
      <c r="A109" s="153">
        <f t="shared" si="8"/>
        <v>106</v>
      </c>
      <c r="B109" s="153"/>
      <c r="C109" s="140"/>
      <c r="D109" s="28"/>
      <c r="E109" s="69"/>
      <c r="F109" s="39">
        <v>0</v>
      </c>
      <c r="G109" s="21"/>
      <c r="H109" s="21"/>
      <c r="I109" s="21"/>
      <c r="J109" s="141"/>
      <c r="K109" s="21"/>
      <c r="L109" s="69"/>
      <c r="M109" s="141"/>
      <c r="N109" s="59"/>
      <c r="O109" s="59"/>
      <c r="P109" s="105"/>
      <c r="Q109" s="105"/>
      <c r="R109" s="105"/>
      <c r="S109" s="105"/>
      <c r="T109" s="105"/>
      <c r="U109" s="90"/>
      <c r="V109" s="90"/>
      <c r="W109" s="90"/>
      <c r="X109" s="90"/>
      <c r="Y109" s="93"/>
      <c r="Z109" s="93"/>
      <c r="AA109" s="93"/>
      <c r="AB109" s="29">
        <v>0</v>
      </c>
      <c r="AC109" s="145">
        <v>0</v>
      </c>
      <c r="AD109" s="145">
        <v>0</v>
      </c>
      <c r="AE109" s="145">
        <v>0</v>
      </c>
      <c r="AF109" s="145">
        <v>0</v>
      </c>
      <c r="AG109" s="145">
        <v>0</v>
      </c>
      <c r="AH109" s="145">
        <v>0</v>
      </c>
      <c r="AI109" s="142">
        <f t="shared" si="7"/>
        <v>0</v>
      </c>
      <c r="AJ109" s="141"/>
      <c r="AK109" s="67"/>
      <c r="AL109" s="67"/>
      <c r="AM109" s="24"/>
      <c r="AN109" s="24"/>
      <c r="AO109" s="24"/>
      <c r="AP109" s="71"/>
      <c r="AQ109" s="69"/>
      <c r="AR109" s="141"/>
      <c r="AS109" s="141"/>
      <c r="AT109" s="141"/>
      <c r="AU109" s="141"/>
      <c r="AV109" s="141"/>
      <c r="AW109" s="141"/>
      <c r="AX109" s="141"/>
      <c r="AY109" s="141"/>
      <c r="AZ109" s="141"/>
      <c r="BA109" s="141"/>
    </row>
    <row r="110" spans="1:53" ht="45" customHeight="1">
      <c r="A110" s="153">
        <f t="shared" si="8"/>
        <v>107</v>
      </c>
      <c r="B110" s="153"/>
      <c r="C110" s="140"/>
      <c r="D110" s="28"/>
      <c r="E110" s="69"/>
      <c r="F110" s="39">
        <v>0</v>
      </c>
      <c r="G110" s="21"/>
      <c r="H110" s="21"/>
      <c r="I110" s="21"/>
      <c r="J110" s="141"/>
      <c r="K110" s="21"/>
      <c r="L110" s="69"/>
      <c r="M110" s="141"/>
      <c r="N110" s="59"/>
      <c r="O110" s="59"/>
      <c r="P110" s="105"/>
      <c r="Q110" s="105"/>
      <c r="R110" s="105"/>
      <c r="S110" s="105"/>
      <c r="T110" s="105"/>
      <c r="U110" s="90"/>
      <c r="V110" s="90"/>
      <c r="W110" s="90"/>
      <c r="X110" s="90"/>
      <c r="Y110" s="93"/>
      <c r="Z110" s="93"/>
      <c r="AA110" s="93"/>
      <c r="AB110" s="29">
        <v>0</v>
      </c>
      <c r="AC110" s="145">
        <v>0</v>
      </c>
      <c r="AD110" s="145">
        <v>0</v>
      </c>
      <c r="AE110" s="145">
        <v>0</v>
      </c>
      <c r="AF110" s="145">
        <v>0</v>
      </c>
      <c r="AG110" s="145">
        <v>0</v>
      </c>
      <c r="AH110" s="145">
        <v>0</v>
      </c>
      <c r="AI110" s="142">
        <f t="shared" si="7"/>
        <v>0</v>
      </c>
      <c r="AJ110" s="141"/>
      <c r="AK110" s="67"/>
      <c r="AL110" s="67"/>
      <c r="AM110" s="24"/>
      <c r="AN110" s="24"/>
      <c r="AO110" s="24"/>
      <c r="AP110" s="71"/>
      <c r="AQ110" s="69"/>
      <c r="AR110" s="141"/>
      <c r="AS110" s="141"/>
      <c r="AT110" s="141"/>
      <c r="AU110" s="141"/>
      <c r="AV110" s="141"/>
      <c r="AW110" s="141"/>
      <c r="AX110" s="141"/>
      <c r="AY110" s="141"/>
      <c r="AZ110" s="141"/>
      <c r="BA110" s="141"/>
    </row>
    <row r="111" spans="1:53" ht="45" customHeight="1">
      <c r="A111" s="153">
        <f t="shared" si="8"/>
        <v>108</v>
      </c>
      <c r="B111" s="153"/>
      <c r="C111" s="140"/>
      <c r="D111" s="28"/>
      <c r="E111" s="69"/>
      <c r="F111" s="39">
        <v>0</v>
      </c>
      <c r="G111" s="21"/>
      <c r="H111" s="21"/>
      <c r="I111" s="21"/>
      <c r="J111" s="141"/>
      <c r="K111" s="21"/>
      <c r="L111" s="69"/>
      <c r="M111" s="141"/>
      <c r="N111" s="59"/>
      <c r="O111" s="59"/>
      <c r="P111" s="105"/>
      <c r="Q111" s="105"/>
      <c r="R111" s="105"/>
      <c r="S111" s="105"/>
      <c r="T111" s="105"/>
      <c r="U111" s="90"/>
      <c r="V111" s="90"/>
      <c r="W111" s="90"/>
      <c r="X111" s="90"/>
      <c r="Y111" s="93"/>
      <c r="Z111" s="93"/>
      <c r="AA111" s="93"/>
      <c r="AB111" s="29">
        <v>0</v>
      </c>
      <c r="AC111" s="145">
        <v>0</v>
      </c>
      <c r="AD111" s="145">
        <v>0</v>
      </c>
      <c r="AE111" s="145">
        <v>0</v>
      </c>
      <c r="AF111" s="145">
        <v>0</v>
      </c>
      <c r="AG111" s="145">
        <v>0</v>
      </c>
      <c r="AH111" s="145">
        <v>0</v>
      </c>
      <c r="AI111" s="142">
        <f t="shared" si="7"/>
        <v>0</v>
      </c>
      <c r="AJ111" s="141"/>
      <c r="AK111" s="67"/>
      <c r="AL111" s="67"/>
      <c r="AM111" s="24"/>
      <c r="AN111" s="24"/>
      <c r="AO111" s="24"/>
      <c r="AP111" s="71"/>
      <c r="AQ111" s="69"/>
      <c r="AR111" s="141"/>
      <c r="AS111" s="141"/>
      <c r="AT111" s="141"/>
      <c r="AU111" s="141"/>
      <c r="AV111" s="141"/>
      <c r="AW111" s="141"/>
      <c r="AX111" s="141"/>
      <c r="AY111" s="141"/>
      <c r="AZ111" s="141"/>
      <c r="BA111" s="141"/>
    </row>
    <row r="112" spans="1:53" ht="45" customHeight="1">
      <c r="A112" s="153">
        <f t="shared" si="8"/>
        <v>109</v>
      </c>
      <c r="B112" s="153"/>
      <c r="C112" s="140"/>
      <c r="D112" s="28"/>
      <c r="E112" s="69"/>
      <c r="F112" s="39">
        <v>0</v>
      </c>
      <c r="G112" s="21"/>
      <c r="H112" s="21"/>
      <c r="I112" s="21"/>
      <c r="J112" s="141"/>
      <c r="K112" s="21"/>
      <c r="L112" s="69"/>
      <c r="M112" s="141"/>
      <c r="N112" s="59"/>
      <c r="O112" s="59"/>
      <c r="P112" s="105"/>
      <c r="Q112" s="105"/>
      <c r="R112" s="105"/>
      <c r="S112" s="105"/>
      <c r="T112" s="105"/>
      <c r="U112" s="90"/>
      <c r="V112" s="90"/>
      <c r="W112" s="90"/>
      <c r="X112" s="90"/>
      <c r="Y112" s="93"/>
      <c r="Z112" s="93"/>
      <c r="AA112" s="93"/>
      <c r="AB112" s="29">
        <v>0</v>
      </c>
      <c r="AC112" s="145">
        <v>0</v>
      </c>
      <c r="AD112" s="145">
        <v>0</v>
      </c>
      <c r="AE112" s="145">
        <v>0</v>
      </c>
      <c r="AF112" s="145">
        <v>0</v>
      </c>
      <c r="AG112" s="145">
        <v>0</v>
      </c>
      <c r="AH112" s="145">
        <v>0</v>
      </c>
      <c r="AI112" s="142">
        <f t="shared" si="7"/>
        <v>0</v>
      </c>
      <c r="AJ112" s="141"/>
      <c r="AK112" s="67"/>
      <c r="AL112" s="67"/>
      <c r="AM112" s="24"/>
      <c r="AN112" s="24"/>
      <c r="AO112" s="24"/>
      <c r="AP112" s="71"/>
      <c r="AQ112" s="69"/>
      <c r="AR112" s="141"/>
      <c r="AS112" s="141"/>
      <c r="AT112" s="141"/>
      <c r="AU112" s="141"/>
      <c r="AV112" s="141"/>
      <c r="AW112" s="141"/>
      <c r="AX112" s="141"/>
      <c r="AY112" s="141"/>
      <c r="AZ112" s="141"/>
      <c r="BA112" s="141"/>
    </row>
    <row r="113" spans="1:53" ht="45" customHeight="1">
      <c r="A113" s="153">
        <f t="shared" si="8"/>
        <v>110</v>
      </c>
      <c r="B113" s="153"/>
      <c r="C113" s="140"/>
      <c r="D113" s="28"/>
      <c r="E113" s="69"/>
      <c r="F113" s="39">
        <v>0</v>
      </c>
      <c r="G113" s="21"/>
      <c r="H113" s="21"/>
      <c r="I113" s="21"/>
      <c r="J113" s="141"/>
      <c r="K113" s="21"/>
      <c r="L113" s="69"/>
      <c r="M113" s="141"/>
      <c r="N113" s="59"/>
      <c r="O113" s="59"/>
      <c r="P113" s="105"/>
      <c r="Q113" s="105"/>
      <c r="R113" s="105"/>
      <c r="S113" s="105"/>
      <c r="T113" s="105"/>
      <c r="U113" s="90"/>
      <c r="V113" s="90"/>
      <c r="W113" s="90"/>
      <c r="X113" s="90"/>
      <c r="Y113" s="93"/>
      <c r="Z113" s="93"/>
      <c r="AA113" s="93"/>
      <c r="AB113" s="29">
        <v>0</v>
      </c>
      <c r="AC113" s="145">
        <v>0</v>
      </c>
      <c r="AD113" s="145">
        <v>0</v>
      </c>
      <c r="AE113" s="145">
        <v>0</v>
      </c>
      <c r="AF113" s="145">
        <v>0</v>
      </c>
      <c r="AG113" s="145">
        <v>0</v>
      </c>
      <c r="AH113" s="145">
        <v>0</v>
      </c>
      <c r="AI113" s="142">
        <f t="shared" si="7"/>
        <v>0</v>
      </c>
      <c r="AJ113" s="141"/>
      <c r="AK113" s="67"/>
      <c r="AL113" s="67"/>
      <c r="AM113" s="24"/>
      <c r="AN113" s="24"/>
      <c r="AO113" s="24"/>
      <c r="AP113" s="71"/>
      <c r="AQ113" s="69"/>
      <c r="AR113" s="141"/>
      <c r="AS113" s="141"/>
      <c r="AT113" s="141"/>
      <c r="AU113" s="141"/>
      <c r="AV113" s="141"/>
      <c r="AW113" s="141"/>
      <c r="AX113" s="141"/>
      <c r="AY113" s="141"/>
      <c r="AZ113" s="141"/>
      <c r="BA113" s="141"/>
    </row>
    <row r="114" spans="1:53" ht="45" customHeight="1">
      <c r="A114" s="153">
        <f t="shared" si="8"/>
        <v>111</v>
      </c>
      <c r="B114" s="153"/>
      <c r="C114" s="140"/>
      <c r="D114" s="28"/>
      <c r="E114" s="69"/>
      <c r="F114" s="39">
        <v>0</v>
      </c>
      <c r="G114" s="21"/>
      <c r="H114" s="21"/>
      <c r="I114" s="21"/>
      <c r="J114" s="141"/>
      <c r="K114" s="21"/>
      <c r="L114" s="69"/>
      <c r="M114" s="141"/>
      <c r="N114" s="59"/>
      <c r="O114" s="59"/>
      <c r="P114" s="105"/>
      <c r="Q114" s="105"/>
      <c r="R114" s="105"/>
      <c r="S114" s="105"/>
      <c r="T114" s="105"/>
      <c r="U114" s="90"/>
      <c r="V114" s="90"/>
      <c r="W114" s="90"/>
      <c r="X114" s="90"/>
      <c r="Y114" s="93"/>
      <c r="Z114" s="93"/>
      <c r="AA114" s="93"/>
      <c r="AB114" s="29">
        <v>0</v>
      </c>
      <c r="AC114" s="145">
        <v>0</v>
      </c>
      <c r="AD114" s="145">
        <v>0</v>
      </c>
      <c r="AE114" s="145">
        <v>0</v>
      </c>
      <c r="AF114" s="145">
        <v>0</v>
      </c>
      <c r="AG114" s="145">
        <v>0</v>
      </c>
      <c r="AH114" s="145">
        <v>0</v>
      </c>
      <c r="AI114" s="142">
        <f t="shared" si="7"/>
        <v>0</v>
      </c>
      <c r="AJ114" s="141"/>
      <c r="AK114" s="67"/>
      <c r="AL114" s="67"/>
      <c r="AM114" s="24"/>
      <c r="AN114" s="24"/>
      <c r="AO114" s="24"/>
      <c r="AP114" s="71"/>
      <c r="AQ114" s="69"/>
      <c r="AR114" s="141"/>
      <c r="AS114" s="141"/>
      <c r="AT114" s="141"/>
      <c r="AU114" s="141"/>
      <c r="AV114" s="141"/>
      <c r="AW114" s="141"/>
      <c r="AX114" s="141"/>
      <c r="AY114" s="141"/>
      <c r="AZ114" s="141"/>
      <c r="BA114" s="141"/>
    </row>
    <row r="115" spans="1:53" ht="45" customHeight="1">
      <c r="A115" s="153">
        <f t="shared" si="8"/>
        <v>112</v>
      </c>
      <c r="B115" s="153"/>
      <c r="C115" s="140"/>
      <c r="D115" s="28"/>
      <c r="E115" s="69"/>
      <c r="F115" s="39">
        <v>3</v>
      </c>
      <c r="G115" s="21"/>
      <c r="H115" s="21"/>
      <c r="I115" s="21"/>
      <c r="J115" s="141"/>
      <c r="K115" s="21"/>
      <c r="L115" s="69"/>
      <c r="M115" s="141"/>
      <c r="N115" s="59"/>
      <c r="O115" s="59"/>
      <c r="P115" s="105"/>
      <c r="Q115" s="105"/>
      <c r="R115" s="105"/>
      <c r="S115" s="105"/>
      <c r="T115" s="105"/>
      <c r="U115" s="90"/>
      <c r="V115" s="90"/>
      <c r="W115" s="90"/>
      <c r="X115" s="90"/>
      <c r="Y115" s="93"/>
      <c r="Z115" s="93"/>
      <c r="AA115" s="93"/>
      <c r="AB115" s="29">
        <v>0</v>
      </c>
      <c r="AC115" s="145">
        <v>0</v>
      </c>
      <c r="AD115" s="145">
        <v>0</v>
      </c>
      <c r="AE115" s="145">
        <v>0</v>
      </c>
      <c r="AF115" s="145">
        <v>0</v>
      </c>
      <c r="AG115" s="145">
        <v>0</v>
      </c>
      <c r="AH115" s="145">
        <v>0</v>
      </c>
      <c r="AI115" s="142">
        <f t="shared" si="7"/>
        <v>0</v>
      </c>
      <c r="AJ115" s="141"/>
      <c r="AK115" s="67"/>
      <c r="AL115" s="67"/>
      <c r="AM115" s="24"/>
      <c r="AN115" s="24"/>
      <c r="AO115" s="24"/>
      <c r="AP115" s="71"/>
      <c r="AQ115" s="69"/>
      <c r="AR115" s="141"/>
      <c r="AS115" s="141"/>
      <c r="AT115" s="141"/>
      <c r="AU115" s="141"/>
      <c r="AV115" s="141"/>
      <c r="AW115" s="141"/>
      <c r="AX115" s="141"/>
      <c r="AY115" s="141"/>
      <c r="AZ115" s="141"/>
      <c r="BA115" s="141"/>
    </row>
    <row r="116" spans="1:53" ht="45" customHeight="1">
      <c r="A116" s="153">
        <f t="shared" si="8"/>
        <v>113</v>
      </c>
      <c r="B116" s="153"/>
      <c r="C116" s="140"/>
      <c r="D116" s="28"/>
      <c r="E116" s="69"/>
      <c r="F116" s="39">
        <v>0</v>
      </c>
      <c r="G116" s="21"/>
      <c r="H116" s="21"/>
      <c r="I116" s="21"/>
      <c r="J116" s="141"/>
      <c r="K116" s="21"/>
      <c r="L116" s="69"/>
      <c r="M116" s="141"/>
      <c r="N116" s="59"/>
      <c r="O116" s="59"/>
      <c r="P116" s="105"/>
      <c r="Q116" s="105"/>
      <c r="R116" s="105"/>
      <c r="S116" s="105"/>
      <c r="T116" s="105"/>
      <c r="U116" s="90"/>
      <c r="V116" s="90"/>
      <c r="W116" s="90"/>
      <c r="X116" s="90"/>
      <c r="Y116" s="93"/>
      <c r="Z116" s="93"/>
      <c r="AA116" s="93"/>
      <c r="AB116" s="29">
        <v>0</v>
      </c>
      <c r="AC116" s="145">
        <v>0</v>
      </c>
      <c r="AD116" s="145">
        <v>0</v>
      </c>
      <c r="AE116" s="145">
        <v>0</v>
      </c>
      <c r="AF116" s="145">
        <v>0</v>
      </c>
      <c r="AG116" s="145">
        <v>0</v>
      </c>
      <c r="AH116" s="145">
        <v>0</v>
      </c>
      <c r="AI116" s="142">
        <f t="shared" si="7"/>
        <v>0</v>
      </c>
      <c r="AJ116" s="141"/>
      <c r="AK116" s="67"/>
      <c r="AL116" s="67"/>
      <c r="AM116" s="24"/>
      <c r="AN116" s="24"/>
      <c r="AO116" s="24"/>
      <c r="AP116" s="71"/>
      <c r="AQ116" s="69"/>
      <c r="AR116" s="141"/>
      <c r="AS116" s="141"/>
      <c r="AT116" s="141"/>
      <c r="AU116" s="141"/>
      <c r="AV116" s="141"/>
      <c r="AW116" s="141"/>
      <c r="AX116" s="141"/>
      <c r="AY116" s="141"/>
      <c r="AZ116" s="141"/>
      <c r="BA116" s="141"/>
    </row>
    <row r="117" spans="1:53" ht="45" customHeight="1">
      <c r="A117" s="153">
        <f t="shared" si="8"/>
        <v>114</v>
      </c>
      <c r="B117" s="153"/>
      <c r="C117" s="140"/>
      <c r="D117" s="28"/>
      <c r="E117" s="69"/>
      <c r="F117" s="39">
        <v>0</v>
      </c>
      <c r="G117" s="21"/>
      <c r="H117" s="21"/>
      <c r="I117" s="21"/>
      <c r="J117" s="141"/>
      <c r="K117" s="21"/>
      <c r="L117" s="69"/>
      <c r="M117" s="141"/>
      <c r="N117" s="59"/>
      <c r="O117" s="59"/>
      <c r="P117" s="105"/>
      <c r="Q117" s="105"/>
      <c r="R117" s="105"/>
      <c r="S117" s="105"/>
      <c r="T117" s="105"/>
      <c r="U117" s="90"/>
      <c r="V117" s="90"/>
      <c r="W117" s="90"/>
      <c r="X117" s="90"/>
      <c r="Y117" s="93"/>
      <c r="Z117" s="93"/>
      <c r="AA117" s="93"/>
      <c r="AB117" s="29">
        <v>0</v>
      </c>
      <c r="AC117" s="145">
        <v>0</v>
      </c>
      <c r="AD117" s="145">
        <v>0</v>
      </c>
      <c r="AE117" s="145">
        <v>0</v>
      </c>
      <c r="AF117" s="145">
        <v>0</v>
      </c>
      <c r="AG117" s="145">
        <v>0</v>
      </c>
      <c r="AH117" s="145">
        <v>0</v>
      </c>
      <c r="AI117" s="142">
        <f t="shared" si="7"/>
        <v>0</v>
      </c>
      <c r="AJ117" s="141"/>
      <c r="AK117" s="67"/>
      <c r="AL117" s="67"/>
      <c r="AM117" s="24"/>
      <c r="AN117" s="24"/>
      <c r="AO117" s="24"/>
      <c r="AP117" s="71"/>
      <c r="AQ117" s="69"/>
      <c r="AR117" s="141"/>
      <c r="AS117" s="141"/>
      <c r="AT117" s="141"/>
      <c r="AU117" s="141"/>
      <c r="AV117" s="141"/>
      <c r="AW117" s="141"/>
      <c r="AX117" s="141"/>
      <c r="AY117" s="141"/>
      <c r="AZ117" s="141"/>
      <c r="BA117" s="141"/>
    </row>
    <row r="118" spans="1:53" ht="45" customHeight="1">
      <c r="A118" s="153">
        <f t="shared" si="8"/>
        <v>115</v>
      </c>
      <c r="B118" s="153"/>
      <c r="C118" s="140"/>
      <c r="D118" s="28"/>
      <c r="E118" s="69"/>
      <c r="F118" s="39">
        <v>0</v>
      </c>
      <c r="G118" s="21"/>
      <c r="H118" s="21"/>
      <c r="I118" s="21"/>
      <c r="J118" s="141"/>
      <c r="K118" s="21"/>
      <c r="L118" s="69"/>
      <c r="M118" s="141"/>
      <c r="N118" s="59"/>
      <c r="O118" s="59"/>
      <c r="P118" s="105"/>
      <c r="Q118" s="105"/>
      <c r="R118" s="105"/>
      <c r="S118" s="105"/>
      <c r="T118" s="105"/>
      <c r="U118" s="90"/>
      <c r="V118" s="90"/>
      <c r="W118" s="90"/>
      <c r="X118" s="90"/>
      <c r="Y118" s="93"/>
      <c r="Z118" s="93"/>
      <c r="AA118" s="93"/>
      <c r="AB118" s="29">
        <v>0</v>
      </c>
      <c r="AC118" s="145">
        <v>0</v>
      </c>
      <c r="AD118" s="145">
        <v>0</v>
      </c>
      <c r="AE118" s="145">
        <v>0</v>
      </c>
      <c r="AF118" s="145">
        <v>0</v>
      </c>
      <c r="AG118" s="145">
        <v>0</v>
      </c>
      <c r="AH118" s="145">
        <v>0</v>
      </c>
      <c r="AI118" s="142">
        <f t="shared" si="7"/>
        <v>0</v>
      </c>
      <c r="AJ118" s="141"/>
      <c r="AK118" s="67"/>
      <c r="AL118" s="67"/>
      <c r="AM118" s="24"/>
      <c r="AN118" s="24"/>
      <c r="AO118" s="24"/>
      <c r="AP118" s="71"/>
      <c r="AQ118" s="69"/>
      <c r="AR118" s="141"/>
      <c r="AS118" s="141"/>
      <c r="AT118" s="141"/>
      <c r="AU118" s="141"/>
      <c r="AV118" s="141"/>
      <c r="AW118" s="141"/>
      <c r="AX118" s="141"/>
      <c r="AY118" s="141"/>
      <c r="AZ118" s="141"/>
      <c r="BA118" s="141"/>
    </row>
    <row r="119" spans="1:53" ht="45" customHeight="1">
      <c r="A119" s="153">
        <f t="shared" si="8"/>
        <v>116</v>
      </c>
      <c r="B119" s="153"/>
      <c r="C119" s="140"/>
      <c r="D119" s="28"/>
      <c r="E119" s="69"/>
      <c r="F119" s="39">
        <v>0</v>
      </c>
      <c r="G119" s="21"/>
      <c r="H119" s="21"/>
      <c r="I119" s="21"/>
      <c r="J119" s="141"/>
      <c r="K119" s="21"/>
      <c r="L119" s="69"/>
      <c r="M119" s="141"/>
      <c r="N119" s="59"/>
      <c r="O119" s="59"/>
      <c r="P119" s="105"/>
      <c r="Q119" s="105"/>
      <c r="R119" s="105"/>
      <c r="S119" s="105"/>
      <c r="T119" s="105"/>
      <c r="U119" s="90"/>
      <c r="V119" s="90"/>
      <c r="W119" s="90"/>
      <c r="X119" s="90"/>
      <c r="Y119" s="93"/>
      <c r="Z119" s="93"/>
      <c r="AA119" s="93"/>
      <c r="AB119" s="29">
        <v>0</v>
      </c>
      <c r="AC119" s="145">
        <v>0</v>
      </c>
      <c r="AD119" s="145">
        <v>0</v>
      </c>
      <c r="AE119" s="145">
        <v>0</v>
      </c>
      <c r="AF119" s="145">
        <v>0</v>
      </c>
      <c r="AG119" s="145">
        <v>0</v>
      </c>
      <c r="AH119" s="145">
        <v>0</v>
      </c>
      <c r="AI119" s="142">
        <f t="shared" ref="AI119:AI150" si="9">AVERAGE(AB119:AH119)</f>
        <v>0</v>
      </c>
      <c r="AJ119" s="141"/>
      <c r="AK119" s="67"/>
      <c r="AL119" s="67"/>
      <c r="AM119" s="24"/>
      <c r="AN119" s="24"/>
      <c r="AO119" s="24"/>
      <c r="AP119" s="71"/>
      <c r="AQ119" s="69"/>
      <c r="AR119" s="141"/>
      <c r="AS119" s="141"/>
      <c r="AT119" s="141"/>
      <c r="AU119" s="141"/>
      <c r="AV119" s="141"/>
      <c r="AW119" s="141"/>
      <c r="AX119" s="141"/>
      <c r="AY119" s="141"/>
      <c r="AZ119" s="141"/>
      <c r="BA119" s="141"/>
    </row>
    <row r="120" spans="1:53" ht="45" customHeight="1">
      <c r="A120" s="153">
        <f t="shared" si="8"/>
        <v>117</v>
      </c>
      <c r="B120" s="153"/>
      <c r="C120" s="140"/>
      <c r="D120" s="28"/>
      <c r="E120" s="69"/>
      <c r="F120" s="39">
        <v>0</v>
      </c>
      <c r="G120" s="21"/>
      <c r="H120" s="21"/>
      <c r="I120" s="21"/>
      <c r="J120" s="141"/>
      <c r="K120" s="21"/>
      <c r="L120" s="69"/>
      <c r="M120" s="141"/>
      <c r="N120" s="59"/>
      <c r="O120" s="59"/>
      <c r="P120" s="105"/>
      <c r="Q120" s="105"/>
      <c r="R120" s="105"/>
      <c r="S120" s="105"/>
      <c r="T120" s="105"/>
      <c r="U120" s="90"/>
      <c r="V120" s="90"/>
      <c r="W120" s="90"/>
      <c r="X120" s="90"/>
      <c r="Y120" s="93"/>
      <c r="Z120" s="93"/>
      <c r="AA120" s="93"/>
      <c r="AB120" s="29">
        <v>0</v>
      </c>
      <c r="AC120" s="145">
        <v>0</v>
      </c>
      <c r="AD120" s="145">
        <v>0</v>
      </c>
      <c r="AE120" s="145">
        <v>0</v>
      </c>
      <c r="AF120" s="145">
        <v>0</v>
      </c>
      <c r="AG120" s="145">
        <v>0</v>
      </c>
      <c r="AH120" s="145">
        <v>0</v>
      </c>
      <c r="AI120" s="142">
        <f t="shared" si="9"/>
        <v>0</v>
      </c>
      <c r="AJ120" s="141"/>
      <c r="AK120" s="67"/>
      <c r="AL120" s="67"/>
      <c r="AM120" s="24"/>
      <c r="AN120" s="24"/>
      <c r="AO120" s="24"/>
      <c r="AP120" s="71"/>
      <c r="AQ120" s="69"/>
      <c r="AR120" s="141"/>
      <c r="AS120" s="141"/>
      <c r="AT120" s="141"/>
      <c r="AU120" s="141"/>
      <c r="AV120" s="141"/>
      <c r="AW120" s="141"/>
      <c r="AX120" s="141"/>
      <c r="AY120" s="141"/>
      <c r="AZ120" s="141"/>
      <c r="BA120" s="141"/>
    </row>
    <row r="121" spans="1:53" ht="45" customHeight="1">
      <c r="A121" s="153">
        <f t="shared" si="8"/>
        <v>118</v>
      </c>
      <c r="B121" s="153"/>
      <c r="C121" s="140"/>
      <c r="D121" s="28"/>
      <c r="E121" s="69"/>
      <c r="F121" s="39">
        <v>0</v>
      </c>
      <c r="G121" s="21"/>
      <c r="H121" s="21"/>
      <c r="I121" s="21"/>
      <c r="J121" s="141"/>
      <c r="K121" s="21"/>
      <c r="L121" s="69"/>
      <c r="M121" s="141"/>
      <c r="N121" s="59"/>
      <c r="O121" s="59"/>
      <c r="P121" s="105"/>
      <c r="Q121" s="105"/>
      <c r="R121" s="105"/>
      <c r="S121" s="105"/>
      <c r="T121" s="105"/>
      <c r="U121" s="90"/>
      <c r="V121" s="90"/>
      <c r="W121" s="90"/>
      <c r="X121" s="90"/>
      <c r="Y121" s="93"/>
      <c r="Z121" s="93"/>
      <c r="AA121" s="93"/>
      <c r="AB121" s="29">
        <v>0</v>
      </c>
      <c r="AC121" s="145">
        <v>0</v>
      </c>
      <c r="AD121" s="145">
        <v>0</v>
      </c>
      <c r="AE121" s="145">
        <v>0</v>
      </c>
      <c r="AF121" s="145">
        <v>0</v>
      </c>
      <c r="AG121" s="145">
        <v>0</v>
      </c>
      <c r="AH121" s="145">
        <v>0</v>
      </c>
      <c r="AI121" s="142">
        <f t="shared" si="9"/>
        <v>0</v>
      </c>
      <c r="AJ121" s="141"/>
      <c r="AK121" s="67"/>
      <c r="AL121" s="67"/>
      <c r="AM121" s="24"/>
      <c r="AN121" s="24"/>
      <c r="AO121" s="24"/>
      <c r="AP121" s="71"/>
      <c r="AQ121" s="69"/>
      <c r="AR121" s="141"/>
      <c r="AS121" s="141"/>
      <c r="AT121" s="141"/>
      <c r="AU121" s="141"/>
      <c r="AV121" s="141"/>
      <c r="AW121" s="141"/>
      <c r="AX121" s="141"/>
      <c r="AY121" s="141"/>
      <c r="AZ121" s="141"/>
      <c r="BA121" s="141"/>
    </row>
    <row r="122" spans="1:53" ht="45" customHeight="1">
      <c r="A122" s="153">
        <f t="shared" si="8"/>
        <v>119</v>
      </c>
      <c r="B122" s="153"/>
      <c r="C122" s="140"/>
      <c r="D122" s="28"/>
      <c r="E122" s="69"/>
      <c r="F122" s="39">
        <v>0</v>
      </c>
      <c r="G122" s="21"/>
      <c r="H122" s="21"/>
      <c r="I122" s="21"/>
      <c r="J122" s="141"/>
      <c r="K122" s="21"/>
      <c r="L122" s="69"/>
      <c r="M122" s="141"/>
      <c r="N122" s="59"/>
      <c r="O122" s="59"/>
      <c r="P122" s="105"/>
      <c r="Q122" s="105"/>
      <c r="R122" s="105"/>
      <c r="S122" s="105"/>
      <c r="T122" s="105"/>
      <c r="U122" s="90"/>
      <c r="V122" s="90"/>
      <c r="W122" s="90"/>
      <c r="X122" s="90"/>
      <c r="Y122" s="93"/>
      <c r="Z122" s="93"/>
      <c r="AA122" s="93"/>
      <c r="AB122" s="29">
        <v>0</v>
      </c>
      <c r="AC122" s="145">
        <v>0</v>
      </c>
      <c r="AD122" s="145">
        <v>0</v>
      </c>
      <c r="AE122" s="145">
        <v>0</v>
      </c>
      <c r="AF122" s="145">
        <v>0</v>
      </c>
      <c r="AG122" s="145">
        <v>0</v>
      </c>
      <c r="AH122" s="145">
        <v>0</v>
      </c>
      <c r="AI122" s="142">
        <f t="shared" si="9"/>
        <v>0</v>
      </c>
      <c r="AJ122" s="141"/>
      <c r="AK122" s="67"/>
      <c r="AL122" s="67"/>
      <c r="AM122" s="24"/>
      <c r="AN122" s="24"/>
      <c r="AO122" s="24"/>
      <c r="AP122" s="71"/>
      <c r="AQ122" s="69"/>
      <c r="AR122" s="141"/>
      <c r="AS122" s="141"/>
      <c r="AT122" s="141"/>
      <c r="AU122" s="141"/>
      <c r="AV122" s="141"/>
      <c r="AW122" s="141"/>
      <c r="AX122" s="141"/>
      <c r="AY122" s="141"/>
      <c r="AZ122" s="141"/>
      <c r="BA122" s="141"/>
    </row>
    <row r="123" spans="1:53" ht="45" customHeight="1">
      <c r="A123" s="153">
        <f t="shared" si="8"/>
        <v>120</v>
      </c>
      <c r="B123" s="153"/>
      <c r="C123" s="140"/>
      <c r="D123" s="28"/>
      <c r="E123" s="69"/>
      <c r="F123" s="39">
        <v>0</v>
      </c>
      <c r="G123" s="21"/>
      <c r="H123" s="21"/>
      <c r="I123" s="21"/>
      <c r="J123" s="141"/>
      <c r="K123" s="21"/>
      <c r="L123" s="69"/>
      <c r="M123" s="141"/>
      <c r="N123" s="59"/>
      <c r="O123" s="59"/>
      <c r="P123" s="105"/>
      <c r="Q123" s="105"/>
      <c r="R123" s="105"/>
      <c r="S123" s="105"/>
      <c r="T123" s="105"/>
      <c r="U123" s="90"/>
      <c r="V123" s="90"/>
      <c r="W123" s="90"/>
      <c r="X123" s="90"/>
      <c r="Y123" s="93"/>
      <c r="Z123" s="93"/>
      <c r="AA123" s="93"/>
      <c r="AB123" s="29">
        <v>0</v>
      </c>
      <c r="AC123" s="145">
        <v>0</v>
      </c>
      <c r="AD123" s="145">
        <v>0</v>
      </c>
      <c r="AE123" s="145">
        <v>0</v>
      </c>
      <c r="AF123" s="145">
        <v>0</v>
      </c>
      <c r="AG123" s="145">
        <v>0</v>
      </c>
      <c r="AH123" s="145">
        <v>0</v>
      </c>
      <c r="AI123" s="142">
        <f t="shared" si="9"/>
        <v>0</v>
      </c>
      <c r="AJ123" s="141"/>
      <c r="AK123" s="67"/>
      <c r="AL123" s="67"/>
      <c r="AM123" s="24"/>
      <c r="AN123" s="24"/>
      <c r="AO123" s="24"/>
      <c r="AP123" s="71"/>
      <c r="AQ123" s="69"/>
      <c r="AR123" s="141"/>
      <c r="AS123" s="141"/>
      <c r="AT123" s="141"/>
      <c r="AU123" s="141"/>
      <c r="AV123" s="141"/>
      <c r="AW123" s="141"/>
      <c r="AX123" s="141"/>
      <c r="AY123" s="141"/>
      <c r="AZ123" s="141"/>
      <c r="BA123" s="141"/>
    </row>
    <row r="124" spans="1:53" ht="45" customHeight="1">
      <c r="A124" s="153">
        <f t="shared" si="8"/>
        <v>121</v>
      </c>
      <c r="B124" s="153"/>
      <c r="C124" s="140"/>
      <c r="D124" s="28"/>
      <c r="E124" s="69"/>
      <c r="F124" s="39">
        <v>0</v>
      </c>
      <c r="G124" s="21"/>
      <c r="H124" s="21"/>
      <c r="I124" s="21"/>
      <c r="J124" s="141"/>
      <c r="K124" s="21"/>
      <c r="L124" s="69"/>
      <c r="M124" s="141"/>
      <c r="N124" s="59"/>
      <c r="O124" s="59"/>
      <c r="P124" s="105"/>
      <c r="Q124" s="105"/>
      <c r="R124" s="105"/>
      <c r="S124" s="105"/>
      <c r="T124" s="105"/>
      <c r="U124" s="90"/>
      <c r="V124" s="90"/>
      <c r="W124" s="90"/>
      <c r="X124" s="90"/>
      <c r="Y124" s="93"/>
      <c r="Z124" s="93"/>
      <c r="AA124" s="93"/>
      <c r="AB124" s="29">
        <v>0</v>
      </c>
      <c r="AC124" s="145">
        <v>0</v>
      </c>
      <c r="AD124" s="145">
        <v>0</v>
      </c>
      <c r="AE124" s="145">
        <v>0</v>
      </c>
      <c r="AF124" s="145">
        <v>0</v>
      </c>
      <c r="AG124" s="145">
        <v>0</v>
      </c>
      <c r="AH124" s="145">
        <v>0</v>
      </c>
      <c r="AI124" s="142">
        <f t="shared" si="9"/>
        <v>0</v>
      </c>
      <c r="AJ124" s="141"/>
      <c r="AK124" s="67"/>
      <c r="AL124" s="67"/>
      <c r="AM124" s="24"/>
      <c r="AN124" s="24"/>
      <c r="AO124" s="24"/>
      <c r="AP124" s="71"/>
      <c r="AQ124" s="69"/>
      <c r="AR124" s="141"/>
      <c r="AS124" s="141"/>
      <c r="AT124" s="141"/>
      <c r="AU124" s="141"/>
      <c r="AV124" s="141"/>
      <c r="AW124" s="141"/>
      <c r="AX124" s="141"/>
      <c r="AY124" s="141"/>
      <c r="AZ124" s="141"/>
      <c r="BA124" s="141"/>
    </row>
    <row r="125" spans="1:53" ht="45" customHeight="1">
      <c r="A125" s="153">
        <f t="shared" si="8"/>
        <v>122</v>
      </c>
      <c r="B125" s="153"/>
      <c r="C125" s="140"/>
      <c r="D125" s="28"/>
      <c r="E125" s="69"/>
      <c r="F125" s="39">
        <v>0</v>
      </c>
      <c r="G125" s="21"/>
      <c r="H125" s="21"/>
      <c r="I125" s="21"/>
      <c r="J125" s="141"/>
      <c r="K125" s="21"/>
      <c r="L125" s="69"/>
      <c r="M125" s="141"/>
      <c r="N125" s="59"/>
      <c r="O125" s="59"/>
      <c r="P125" s="105"/>
      <c r="Q125" s="105"/>
      <c r="R125" s="105"/>
      <c r="S125" s="105"/>
      <c r="T125" s="105"/>
      <c r="U125" s="90"/>
      <c r="V125" s="90"/>
      <c r="W125" s="90"/>
      <c r="X125" s="90"/>
      <c r="Y125" s="93"/>
      <c r="Z125" s="93"/>
      <c r="AA125" s="93"/>
      <c r="AB125" s="29">
        <v>0</v>
      </c>
      <c r="AC125" s="145">
        <v>0</v>
      </c>
      <c r="AD125" s="145">
        <v>0</v>
      </c>
      <c r="AE125" s="145">
        <v>0</v>
      </c>
      <c r="AF125" s="145">
        <v>0</v>
      </c>
      <c r="AG125" s="145">
        <v>0</v>
      </c>
      <c r="AH125" s="145">
        <v>0</v>
      </c>
      <c r="AI125" s="142">
        <f t="shared" si="9"/>
        <v>0</v>
      </c>
      <c r="AJ125" s="141"/>
      <c r="AK125" s="67"/>
      <c r="AL125" s="67"/>
      <c r="AM125" s="24"/>
      <c r="AN125" s="24"/>
      <c r="AO125" s="24"/>
      <c r="AP125" s="71"/>
      <c r="AQ125" s="69"/>
      <c r="AR125" s="141"/>
      <c r="AS125" s="141"/>
      <c r="AT125" s="141"/>
      <c r="AU125" s="141"/>
      <c r="AV125" s="141"/>
      <c r="AW125" s="141"/>
      <c r="AX125" s="141"/>
      <c r="AY125" s="141"/>
      <c r="AZ125" s="141"/>
      <c r="BA125" s="141"/>
    </row>
    <row r="126" spans="1:53" ht="45" customHeight="1">
      <c r="A126" s="153">
        <f t="shared" si="8"/>
        <v>123</v>
      </c>
      <c r="B126" s="153"/>
      <c r="C126" s="140"/>
      <c r="D126" s="28"/>
      <c r="E126" s="69"/>
      <c r="F126" s="39">
        <v>0</v>
      </c>
      <c r="G126" s="21"/>
      <c r="H126" s="21"/>
      <c r="I126" s="21"/>
      <c r="J126" s="141"/>
      <c r="K126" s="21"/>
      <c r="L126" s="69"/>
      <c r="M126" s="141"/>
      <c r="N126" s="59"/>
      <c r="O126" s="59"/>
      <c r="P126" s="105"/>
      <c r="Q126" s="105"/>
      <c r="R126" s="105"/>
      <c r="S126" s="105"/>
      <c r="T126" s="105"/>
      <c r="U126" s="90"/>
      <c r="V126" s="90"/>
      <c r="W126" s="90"/>
      <c r="X126" s="90"/>
      <c r="Y126" s="93"/>
      <c r="Z126" s="93"/>
      <c r="AA126" s="93"/>
      <c r="AB126" s="29">
        <v>0</v>
      </c>
      <c r="AC126" s="145">
        <v>0</v>
      </c>
      <c r="AD126" s="145">
        <v>0</v>
      </c>
      <c r="AE126" s="145">
        <v>0</v>
      </c>
      <c r="AF126" s="145">
        <v>0</v>
      </c>
      <c r="AG126" s="145">
        <v>0</v>
      </c>
      <c r="AH126" s="145">
        <v>0</v>
      </c>
      <c r="AI126" s="142">
        <f t="shared" si="9"/>
        <v>0</v>
      </c>
      <c r="AJ126" s="141"/>
      <c r="AK126" s="67"/>
      <c r="AL126" s="67"/>
      <c r="AM126" s="24"/>
      <c r="AN126" s="24"/>
      <c r="AO126" s="24"/>
      <c r="AP126" s="71"/>
      <c r="AQ126" s="69"/>
      <c r="AR126" s="141"/>
      <c r="AS126" s="141"/>
      <c r="AT126" s="141"/>
      <c r="AU126" s="141"/>
      <c r="AV126" s="141"/>
      <c r="AW126" s="141"/>
      <c r="AX126" s="141"/>
      <c r="AY126" s="141"/>
      <c r="AZ126" s="141"/>
      <c r="BA126" s="141"/>
    </row>
    <row r="127" spans="1:53" ht="45" customHeight="1">
      <c r="A127" s="153">
        <f t="shared" si="8"/>
        <v>124</v>
      </c>
      <c r="B127" s="153"/>
      <c r="C127" s="140"/>
      <c r="D127" s="28"/>
      <c r="E127" s="69"/>
      <c r="F127" s="39">
        <v>0</v>
      </c>
      <c r="G127" s="21"/>
      <c r="H127" s="21"/>
      <c r="I127" s="21"/>
      <c r="J127" s="141"/>
      <c r="K127" s="21"/>
      <c r="L127" s="69"/>
      <c r="M127" s="141"/>
      <c r="N127" s="59"/>
      <c r="O127" s="59"/>
      <c r="P127" s="105"/>
      <c r="Q127" s="105"/>
      <c r="R127" s="105"/>
      <c r="S127" s="105"/>
      <c r="T127" s="105"/>
      <c r="U127" s="90"/>
      <c r="V127" s="90"/>
      <c r="W127" s="90"/>
      <c r="X127" s="90"/>
      <c r="Y127" s="93"/>
      <c r="Z127" s="93"/>
      <c r="AA127" s="93"/>
      <c r="AB127" s="29">
        <v>0</v>
      </c>
      <c r="AC127" s="145">
        <v>0</v>
      </c>
      <c r="AD127" s="145">
        <v>0</v>
      </c>
      <c r="AE127" s="145">
        <v>0</v>
      </c>
      <c r="AF127" s="145">
        <v>0</v>
      </c>
      <c r="AG127" s="145">
        <v>0</v>
      </c>
      <c r="AH127" s="145">
        <v>0</v>
      </c>
      <c r="AI127" s="142">
        <f t="shared" si="9"/>
        <v>0</v>
      </c>
      <c r="AJ127" s="141"/>
      <c r="AK127" s="67"/>
      <c r="AL127" s="67"/>
      <c r="AM127" s="24"/>
      <c r="AN127" s="24"/>
      <c r="AO127" s="24"/>
      <c r="AP127" s="71"/>
      <c r="AQ127" s="69"/>
      <c r="AR127" s="141"/>
      <c r="AS127" s="141"/>
      <c r="AT127" s="141"/>
      <c r="AU127" s="141"/>
      <c r="AV127" s="141"/>
      <c r="AW127" s="141"/>
      <c r="AX127" s="141"/>
      <c r="AY127" s="141"/>
      <c r="AZ127" s="141"/>
      <c r="BA127" s="141"/>
    </row>
    <row r="128" spans="1:53" ht="45" customHeight="1">
      <c r="A128" s="153">
        <f t="shared" si="8"/>
        <v>125</v>
      </c>
      <c r="B128" s="153"/>
      <c r="C128" s="140"/>
      <c r="D128" s="28"/>
      <c r="E128" s="69"/>
      <c r="F128" s="39">
        <v>0</v>
      </c>
      <c r="G128" s="21"/>
      <c r="H128" s="21"/>
      <c r="I128" s="21"/>
      <c r="J128" s="141"/>
      <c r="K128" s="21"/>
      <c r="L128" s="69"/>
      <c r="M128" s="141"/>
      <c r="N128" s="59"/>
      <c r="O128" s="59"/>
      <c r="P128" s="105"/>
      <c r="Q128" s="105"/>
      <c r="R128" s="105"/>
      <c r="S128" s="105"/>
      <c r="T128" s="105"/>
      <c r="U128" s="90"/>
      <c r="V128" s="90"/>
      <c r="W128" s="90"/>
      <c r="X128" s="90"/>
      <c r="Y128" s="93"/>
      <c r="Z128" s="93"/>
      <c r="AA128" s="93"/>
      <c r="AB128" s="29">
        <v>0</v>
      </c>
      <c r="AC128" s="145">
        <v>0</v>
      </c>
      <c r="AD128" s="145">
        <v>0</v>
      </c>
      <c r="AE128" s="145">
        <v>0</v>
      </c>
      <c r="AF128" s="145">
        <v>0</v>
      </c>
      <c r="AG128" s="145">
        <v>0</v>
      </c>
      <c r="AH128" s="145">
        <v>0</v>
      </c>
      <c r="AI128" s="142">
        <f t="shared" si="9"/>
        <v>0</v>
      </c>
      <c r="AJ128" s="141"/>
      <c r="AK128" s="67"/>
      <c r="AL128" s="67"/>
      <c r="AM128" s="24"/>
      <c r="AN128" s="24"/>
      <c r="AO128" s="24"/>
      <c r="AP128" s="71"/>
      <c r="AQ128" s="69"/>
      <c r="AR128" s="141"/>
      <c r="AS128" s="141"/>
      <c r="AT128" s="141"/>
      <c r="AU128" s="141"/>
      <c r="AV128" s="141"/>
      <c r="AW128" s="141"/>
      <c r="AX128" s="141"/>
      <c r="AY128" s="141"/>
      <c r="AZ128" s="141"/>
      <c r="BA128" s="141"/>
    </row>
    <row r="129" spans="1:53" ht="45" customHeight="1">
      <c r="A129" s="153">
        <f t="shared" si="8"/>
        <v>126</v>
      </c>
      <c r="B129" s="153"/>
      <c r="C129" s="140"/>
      <c r="D129" s="28"/>
      <c r="E129" s="69"/>
      <c r="F129" s="39">
        <v>0</v>
      </c>
      <c r="G129" s="21"/>
      <c r="H129" s="21"/>
      <c r="I129" s="21"/>
      <c r="J129" s="141"/>
      <c r="K129" s="21"/>
      <c r="L129" s="69"/>
      <c r="M129" s="141"/>
      <c r="N129" s="59"/>
      <c r="O129" s="59"/>
      <c r="P129" s="105"/>
      <c r="Q129" s="105"/>
      <c r="R129" s="105"/>
      <c r="S129" s="105"/>
      <c r="T129" s="105"/>
      <c r="U129" s="90"/>
      <c r="V129" s="90"/>
      <c r="W129" s="90"/>
      <c r="X129" s="90"/>
      <c r="Y129" s="93"/>
      <c r="Z129" s="93"/>
      <c r="AA129" s="93"/>
      <c r="AB129" s="29">
        <v>0</v>
      </c>
      <c r="AC129" s="145">
        <v>0</v>
      </c>
      <c r="AD129" s="145">
        <v>0</v>
      </c>
      <c r="AE129" s="145">
        <v>0</v>
      </c>
      <c r="AF129" s="145">
        <v>0</v>
      </c>
      <c r="AG129" s="145">
        <v>0</v>
      </c>
      <c r="AH129" s="145">
        <v>0</v>
      </c>
      <c r="AI129" s="142">
        <f t="shared" si="9"/>
        <v>0</v>
      </c>
      <c r="AJ129" s="141"/>
      <c r="AK129" s="67"/>
      <c r="AL129" s="67"/>
      <c r="AM129" s="24"/>
      <c r="AN129" s="24"/>
      <c r="AO129" s="24"/>
      <c r="AP129" s="71"/>
      <c r="AQ129" s="69"/>
      <c r="AR129" s="141"/>
      <c r="AS129" s="141"/>
      <c r="AT129" s="141"/>
      <c r="AU129" s="141"/>
      <c r="AV129" s="141"/>
      <c r="AW129" s="141"/>
      <c r="AX129" s="141"/>
      <c r="AY129" s="141"/>
      <c r="AZ129" s="141"/>
      <c r="BA129" s="141"/>
    </row>
    <row r="130" spans="1:53" ht="45" customHeight="1">
      <c r="A130" s="153">
        <f t="shared" si="8"/>
        <v>127</v>
      </c>
      <c r="B130" s="153"/>
      <c r="C130" s="140"/>
      <c r="D130" s="28"/>
      <c r="E130" s="69"/>
      <c r="F130" s="39">
        <v>0</v>
      </c>
      <c r="G130" s="21"/>
      <c r="H130" s="21"/>
      <c r="I130" s="21"/>
      <c r="J130" s="141"/>
      <c r="K130" s="21"/>
      <c r="L130" s="69"/>
      <c r="M130" s="141"/>
      <c r="N130" s="59"/>
      <c r="O130" s="59"/>
      <c r="P130" s="105"/>
      <c r="Q130" s="105"/>
      <c r="R130" s="105"/>
      <c r="S130" s="105"/>
      <c r="T130" s="105"/>
      <c r="U130" s="90"/>
      <c r="V130" s="90"/>
      <c r="W130" s="90"/>
      <c r="X130" s="90"/>
      <c r="Y130" s="93"/>
      <c r="Z130" s="93"/>
      <c r="AA130" s="93"/>
      <c r="AB130" s="29">
        <v>0</v>
      </c>
      <c r="AC130" s="145">
        <v>0</v>
      </c>
      <c r="AD130" s="145">
        <v>0</v>
      </c>
      <c r="AE130" s="145">
        <v>0</v>
      </c>
      <c r="AF130" s="145">
        <v>0</v>
      </c>
      <c r="AG130" s="145">
        <v>0</v>
      </c>
      <c r="AH130" s="145">
        <v>0</v>
      </c>
      <c r="AI130" s="142">
        <f t="shared" si="9"/>
        <v>0</v>
      </c>
      <c r="AJ130" s="141"/>
      <c r="AK130" s="67"/>
      <c r="AL130" s="67"/>
      <c r="AM130" s="24"/>
      <c r="AN130" s="24"/>
      <c r="AO130" s="24"/>
      <c r="AP130" s="71"/>
      <c r="AQ130" s="69"/>
      <c r="AR130" s="141"/>
      <c r="AS130" s="141"/>
      <c r="AT130" s="141"/>
      <c r="AU130" s="141"/>
      <c r="AV130" s="141"/>
      <c r="AW130" s="141"/>
      <c r="AX130" s="141"/>
      <c r="AY130" s="141"/>
      <c r="AZ130" s="141"/>
      <c r="BA130" s="141"/>
    </row>
    <row r="131" spans="1:53" ht="45" customHeight="1">
      <c r="A131" s="153">
        <f t="shared" si="8"/>
        <v>128</v>
      </c>
      <c r="B131" s="153"/>
      <c r="C131" s="140"/>
      <c r="D131" s="28"/>
      <c r="E131" s="69"/>
      <c r="F131" s="39">
        <v>0</v>
      </c>
      <c r="G131" s="21"/>
      <c r="H131" s="21"/>
      <c r="I131" s="21"/>
      <c r="J131" s="141"/>
      <c r="K131" s="21"/>
      <c r="L131" s="69"/>
      <c r="M131" s="141"/>
      <c r="N131" s="59"/>
      <c r="O131" s="59"/>
      <c r="P131" s="105"/>
      <c r="Q131" s="105"/>
      <c r="R131" s="105"/>
      <c r="S131" s="105"/>
      <c r="T131" s="105"/>
      <c r="U131" s="90"/>
      <c r="V131" s="90"/>
      <c r="W131" s="90"/>
      <c r="X131" s="90"/>
      <c r="Y131" s="93"/>
      <c r="Z131" s="93"/>
      <c r="AA131" s="93"/>
      <c r="AB131" s="29">
        <v>0</v>
      </c>
      <c r="AC131" s="145">
        <v>0</v>
      </c>
      <c r="AD131" s="145">
        <v>0</v>
      </c>
      <c r="AE131" s="145">
        <v>0</v>
      </c>
      <c r="AF131" s="145">
        <v>0</v>
      </c>
      <c r="AG131" s="145">
        <v>0</v>
      </c>
      <c r="AH131" s="145">
        <v>0</v>
      </c>
      <c r="AI131" s="142">
        <f t="shared" si="9"/>
        <v>0</v>
      </c>
      <c r="AJ131" s="141"/>
      <c r="AK131" s="67"/>
      <c r="AL131" s="67"/>
      <c r="AM131" s="24"/>
      <c r="AN131" s="24"/>
      <c r="AO131" s="24"/>
      <c r="AP131" s="71"/>
      <c r="AQ131" s="69"/>
      <c r="AR131" s="141"/>
      <c r="AS131" s="141"/>
      <c r="AT131" s="141"/>
      <c r="AU131" s="141"/>
      <c r="AV131" s="141"/>
      <c r="AW131" s="141"/>
      <c r="AX131" s="141"/>
      <c r="AY131" s="141"/>
      <c r="AZ131" s="141"/>
      <c r="BA131" s="141"/>
    </row>
    <row r="132" spans="1:53" ht="45" customHeight="1">
      <c r="A132" s="153">
        <f t="shared" ref="A132:A157" si="10">A131+1</f>
        <v>129</v>
      </c>
      <c r="B132" s="153"/>
      <c r="C132" s="140"/>
      <c r="D132" s="28"/>
      <c r="E132" s="69"/>
      <c r="F132" s="39">
        <v>0</v>
      </c>
      <c r="G132" s="21"/>
      <c r="H132" s="21"/>
      <c r="I132" s="21"/>
      <c r="J132" s="141"/>
      <c r="K132" s="21"/>
      <c r="L132" s="69"/>
      <c r="M132" s="141"/>
      <c r="N132" s="59"/>
      <c r="O132" s="59"/>
      <c r="P132" s="105"/>
      <c r="Q132" s="105"/>
      <c r="R132" s="105"/>
      <c r="S132" s="105"/>
      <c r="T132" s="105"/>
      <c r="U132" s="90"/>
      <c r="V132" s="90"/>
      <c r="W132" s="90"/>
      <c r="X132" s="90"/>
      <c r="Y132" s="93"/>
      <c r="Z132" s="93"/>
      <c r="AA132" s="93"/>
      <c r="AB132" s="29">
        <v>0</v>
      </c>
      <c r="AC132" s="145">
        <v>0</v>
      </c>
      <c r="AD132" s="145">
        <v>0</v>
      </c>
      <c r="AE132" s="145">
        <v>0</v>
      </c>
      <c r="AF132" s="145">
        <v>0</v>
      </c>
      <c r="AG132" s="145">
        <v>0</v>
      </c>
      <c r="AH132" s="145">
        <v>0</v>
      </c>
      <c r="AI132" s="142">
        <f t="shared" si="9"/>
        <v>0</v>
      </c>
      <c r="AJ132" s="141"/>
      <c r="AK132" s="67"/>
      <c r="AL132" s="67"/>
      <c r="AM132" s="24"/>
      <c r="AN132" s="24"/>
      <c r="AO132" s="24"/>
      <c r="AP132" s="71"/>
      <c r="AQ132" s="69"/>
      <c r="AR132" s="141"/>
      <c r="AS132" s="141"/>
      <c r="AT132" s="141"/>
      <c r="AU132" s="141"/>
      <c r="AV132" s="141"/>
      <c r="AW132" s="141"/>
      <c r="AX132" s="141"/>
      <c r="AY132" s="141"/>
      <c r="AZ132" s="141"/>
      <c r="BA132" s="141"/>
    </row>
    <row r="133" spans="1:53" ht="45" customHeight="1">
      <c r="A133" s="153">
        <f t="shared" si="10"/>
        <v>130</v>
      </c>
      <c r="B133" s="153"/>
      <c r="C133" s="140"/>
      <c r="D133" s="28"/>
      <c r="E133" s="69"/>
      <c r="F133" s="39">
        <v>0</v>
      </c>
      <c r="G133" s="21"/>
      <c r="H133" s="21"/>
      <c r="I133" s="21"/>
      <c r="J133" s="141"/>
      <c r="K133" s="21"/>
      <c r="L133" s="69"/>
      <c r="M133" s="141"/>
      <c r="N133" s="59"/>
      <c r="O133" s="59"/>
      <c r="P133" s="105"/>
      <c r="Q133" s="105"/>
      <c r="R133" s="105"/>
      <c r="S133" s="105"/>
      <c r="T133" s="105"/>
      <c r="U133" s="90"/>
      <c r="V133" s="90"/>
      <c r="W133" s="90"/>
      <c r="X133" s="90"/>
      <c r="Y133" s="93"/>
      <c r="Z133" s="93"/>
      <c r="AA133" s="93"/>
      <c r="AB133" s="29">
        <v>0</v>
      </c>
      <c r="AC133" s="145">
        <v>0</v>
      </c>
      <c r="AD133" s="145">
        <v>0</v>
      </c>
      <c r="AE133" s="145">
        <v>0</v>
      </c>
      <c r="AF133" s="145">
        <v>0</v>
      </c>
      <c r="AG133" s="145">
        <v>0</v>
      </c>
      <c r="AH133" s="145">
        <v>0</v>
      </c>
      <c r="AI133" s="142">
        <f t="shared" si="9"/>
        <v>0</v>
      </c>
      <c r="AJ133" s="141"/>
      <c r="AK133" s="67"/>
      <c r="AL133" s="67"/>
      <c r="AM133" s="24"/>
      <c r="AN133" s="24"/>
      <c r="AO133" s="24"/>
      <c r="AP133" s="71"/>
      <c r="AQ133" s="69"/>
      <c r="AR133" s="141"/>
      <c r="AS133" s="141"/>
      <c r="AT133" s="141"/>
      <c r="AU133" s="141"/>
      <c r="AV133" s="141"/>
      <c r="AW133" s="141"/>
      <c r="AX133" s="141"/>
      <c r="AY133" s="141"/>
      <c r="AZ133" s="141"/>
      <c r="BA133" s="141"/>
    </row>
    <row r="134" spans="1:53" ht="45" customHeight="1">
      <c r="A134" s="153">
        <f t="shared" si="10"/>
        <v>131</v>
      </c>
      <c r="B134" s="153"/>
      <c r="C134" s="140"/>
      <c r="D134" s="28"/>
      <c r="E134" s="69"/>
      <c r="F134" s="39">
        <v>0</v>
      </c>
      <c r="G134" s="21"/>
      <c r="H134" s="21"/>
      <c r="I134" s="21"/>
      <c r="J134" s="141"/>
      <c r="K134" s="21"/>
      <c r="L134" s="69"/>
      <c r="M134" s="141"/>
      <c r="N134" s="59"/>
      <c r="O134" s="59"/>
      <c r="P134" s="105"/>
      <c r="Q134" s="105"/>
      <c r="R134" s="105"/>
      <c r="S134" s="105"/>
      <c r="T134" s="105"/>
      <c r="U134" s="90"/>
      <c r="V134" s="90"/>
      <c r="W134" s="90"/>
      <c r="X134" s="90"/>
      <c r="Y134" s="93"/>
      <c r="Z134" s="93"/>
      <c r="AA134" s="93"/>
      <c r="AB134" s="29">
        <v>0</v>
      </c>
      <c r="AC134" s="145">
        <v>0</v>
      </c>
      <c r="AD134" s="145">
        <v>0</v>
      </c>
      <c r="AE134" s="145">
        <v>0</v>
      </c>
      <c r="AF134" s="145">
        <v>0</v>
      </c>
      <c r="AG134" s="145">
        <v>0</v>
      </c>
      <c r="AH134" s="145">
        <v>0</v>
      </c>
      <c r="AI134" s="142">
        <f t="shared" si="9"/>
        <v>0</v>
      </c>
      <c r="AJ134" s="141"/>
      <c r="AK134" s="67"/>
      <c r="AL134" s="67"/>
      <c r="AM134" s="24"/>
      <c r="AN134" s="24"/>
      <c r="AO134" s="24"/>
      <c r="AP134" s="71"/>
      <c r="AQ134" s="69"/>
      <c r="AR134" s="141"/>
      <c r="AS134" s="141"/>
      <c r="AT134" s="141"/>
      <c r="AU134" s="141"/>
      <c r="AV134" s="141"/>
      <c r="AW134" s="141"/>
      <c r="AX134" s="141"/>
      <c r="AY134" s="141"/>
      <c r="AZ134" s="141"/>
      <c r="BA134" s="141"/>
    </row>
    <row r="135" spans="1:53" ht="45" customHeight="1">
      <c r="A135" s="153">
        <f t="shared" si="10"/>
        <v>132</v>
      </c>
      <c r="B135" s="153"/>
      <c r="C135" s="140"/>
      <c r="D135" s="28"/>
      <c r="E135" s="69"/>
      <c r="F135" s="39">
        <v>0</v>
      </c>
      <c r="G135" s="21"/>
      <c r="H135" s="21"/>
      <c r="I135" s="21"/>
      <c r="J135" s="141"/>
      <c r="K135" s="21"/>
      <c r="L135" s="69"/>
      <c r="M135" s="141"/>
      <c r="N135" s="59"/>
      <c r="O135" s="59"/>
      <c r="P135" s="105"/>
      <c r="Q135" s="105"/>
      <c r="R135" s="105"/>
      <c r="S135" s="105"/>
      <c r="T135" s="105"/>
      <c r="U135" s="90"/>
      <c r="V135" s="90"/>
      <c r="W135" s="90"/>
      <c r="X135" s="90"/>
      <c r="Y135" s="93"/>
      <c r="Z135" s="93"/>
      <c r="AA135" s="93"/>
      <c r="AB135" s="29">
        <v>0</v>
      </c>
      <c r="AC135" s="145">
        <v>0</v>
      </c>
      <c r="AD135" s="145">
        <v>0</v>
      </c>
      <c r="AE135" s="145">
        <v>0</v>
      </c>
      <c r="AF135" s="145">
        <v>0</v>
      </c>
      <c r="AG135" s="145">
        <v>0</v>
      </c>
      <c r="AH135" s="145">
        <v>0</v>
      </c>
      <c r="AI135" s="142">
        <f t="shared" si="9"/>
        <v>0</v>
      </c>
      <c r="AJ135" s="141"/>
      <c r="AK135" s="67"/>
      <c r="AL135" s="67"/>
      <c r="AM135" s="24"/>
      <c r="AN135" s="24"/>
      <c r="AO135" s="24"/>
      <c r="AP135" s="71"/>
      <c r="AQ135" s="69"/>
      <c r="AR135" s="141"/>
      <c r="AS135" s="141"/>
      <c r="AT135" s="141"/>
      <c r="AU135" s="141"/>
      <c r="AV135" s="141"/>
      <c r="AW135" s="141"/>
      <c r="AX135" s="141"/>
      <c r="AY135" s="141"/>
      <c r="AZ135" s="141"/>
      <c r="BA135" s="141"/>
    </row>
    <row r="136" spans="1:53" ht="45" customHeight="1">
      <c r="A136" s="153">
        <f t="shared" si="10"/>
        <v>133</v>
      </c>
      <c r="B136" s="153"/>
      <c r="C136" s="140"/>
      <c r="D136" s="28"/>
      <c r="E136" s="69"/>
      <c r="F136" s="39">
        <v>0</v>
      </c>
      <c r="G136" s="21"/>
      <c r="H136" s="21"/>
      <c r="I136" s="21"/>
      <c r="J136" s="141"/>
      <c r="K136" s="21"/>
      <c r="L136" s="69"/>
      <c r="M136" s="141"/>
      <c r="N136" s="59"/>
      <c r="O136" s="59"/>
      <c r="P136" s="105"/>
      <c r="Q136" s="105"/>
      <c r="R136" s="105"/>
      <c r="S136" s="105"/>
      <c r="T136" s="105"/>
      <c r="U136" s="90"/>
      <c r="V136" s="90"/>
      <c r="W136" s="90"/>
      <c r="X136" s="90"/>
      <c r="Y136" s="93"/>
      <c r="Z136" s="93"/>
      <c r="AA136" s="93"/>
      <c r="AB136" s="29">
        <v>0</v>
      </c>
      <c r="AC136" s="145">
        <v>0</v>
      </c>
      <c r="AD136" s="145">
        <v>0</v>
      </c>
      <c r="AE136" s="145">
        <v>0</v>
      </c>
      <c r="AF136" s="145">
        <v>0</v>
      </c>
      <c r="AG136" s="145">
        <v>0</v>
      </c>
      <c r="AH136" s="145">
        <v>0</v>
      </c>
      <c r="AI136" s="142">
        <f t="shared" si="9"/>
        <v>0</v>
      </c>
      <c r="AJ136" s="141"/>
      <c r="AK136" s="67"/>
      <c r="AL136" s="67"/>
      <c r="AM136" s="24"/>
      <c r="AN136" s="24"/>
      <c r="AO136" s="24"/>
      <c r="AP136" s="71"/>
      <c r="AQ136" s="69"/>
      <c r="AR136" s="141"/>
      <c r="AS136" s="141"/>
      <c r="AT136" s="141"/>
      <c r="AU136" s="141"/>
      <c r="AV136" s="141"/>
      <c r="AW136" s="141"/>
      <c r="AX136" s="141"/>
      <c r="AY136" s="141"/>
      <c r="AZ136" s="141"/>
      <c r="BA136" s="141"/>
    </row>
    <row r="137" spans="1:53" ht="45" customHeight="1">
      <c r="A137" s="153">
        <f t="shared" si="10"/>
        <v>134</v>
      </c>
      <c r="B137" s="153"/>
      <c r="C137" s="140"/>
      <c r="D137" s="28"/>
      <c r="E137" s="69"/>
      <c r="F137" s="39">
        <v>0</v>
      </c>
      <c r="G137" s="21"/>
      <c r="H137" s="21"/>
      <c r="I137" s="21"/>
      <c r="J137" s="141"/>
      <c r="K137" s="21"/>
      <c r="L137" s="69"/>
      <c r="M137" s="141"/>
      <c r="N137" s="59"/>
      <c r="O137" s="59"/>
      <c r="P137" s="105"/>
      <c r="Q137" s="105"/>
      <c r="R137" s="105"/>
      <c r="S137" s="105"/>
      <c r="T137" s="105"/>
      <c r="U137" s="90"/>
      <c r="V137" s="90"/>
      <c r="W137" s="90"/>
      <c r="X137" s="90"/>
      <c r="Y137" s="93"/>
      <c r="Z137" s="93"/>
      <c r="AA137" s="93"/>
      <c r="AB137" s="29">
        <v>0</v>
      </c>
      <c r="AC137" s="145">
        <v>0</v>
      </c>
      <c r="AD137" s="145">
        <v>0</v>
      </c>
      <c r="AE137" s="145">
        <v>0</v>
      </c>
      <c r="AF137" s="145">
        <v>0</v>
      </c>
      <c r="AG137" s="145">
        <v>0</v>
      </c>
      <c r="AH137" s="145">
        <v>0</v>
      </c>
      <c r="AI137" s="142">
        <f t="shared" si="9"/>
        <v>0</v>
      </c>
      <c r="AJ137" s="141"/>
      <c r="AK137" s="67"/>
      <c r="AL137" s="67"/>
      <c r="AM137" s="24"/>
      <c r="AN137" s="24"/>
      <c r="AO137" s="24"/>
      <c r="AP137" s="71"/>
      <c r="AQ137" s="69"/>
      <c r="AR137" s="141"/>
      <c r="AS137" s="141"/>
      <c r="AT137" s="141"/>
      <c r="AU137" s="141"/>
      <c r="AV137" s="141"/>
      <c r="AW137" s="141"/>
      <c r="AX137" s="141"/>
      <c r="AY137" s="141"/>
      <c r="AZ137" s="141"/>
      <c r="BA137" s="141"/>
    </row>
    <row r="138" spans="1:53" ht="45" customHeight="1">
      <c r="A138" s="153">
        <f t="shared" si="10"/>
        <v>135</v>
      </c>
      <c r="B138" s="153"/>
      <c r="C138" s="140"/>
      <c r="D138" s="28"/>
      <c r="E138" s="69"/>
      <c r="F138" s="39">
        <v>0</v>
      </c>
      <c r="G138" s="21"/>
      <c r="H138" s="21"/>
      <c r="I138" s="21"/>
      <c r="J138" s="141"/>
      <c r="K138" s="21"/>
      <c r="L138" s="69"/>
      <c r="M138" s="141"/>
      <c r="N138" s="59"/>
      <c r="O138" s="59"/>
      <c r="P138" s="105"/>
      <c r="Q138" s="105"/>
      <c r="R138" s="105"/>
      <c r="S138" s="105"/>
      <c r="T138" s="105"/>
      <c r="U138" s="90"/>
      <c r="V138" s="90"/>
      <c r="W138" s="90"/>
      <c r="X138" s="90"/>
      <c r="Y138" s="93"/>
      <c r="Z138" s="93"/>
      <c r="AA138" s="93"/>
      <c r="AB138" s="29">
        <v>0</v>
      </c>
      <c r="AC138" s="145">
        <v>0</v>
      </c>
      <c r="AD138" s="145">
        <v>0</v>
      </c>
      <c r="AE138" s="145">
        <v>0</v>
      </c>
      <c r="AF138" s="145">
        <v>0</v>
      </c>
      <c r="AG138" s="145">
        <v>0</v>
      </c>
      <c r="AH138" s="145">
        <v>0</v>
      </c>
      <c r="AI138" s="142">
        <f t="shared" si="9"/>
        <v>0</v>
      </c>
      <c r="AJ138" s="141"/>
      <c r="AK138" s="67"/>
      <c r="AL138" s="67"/>
      <c r="AM138" s="24"/>
      <c r="AN138" s="24"/>
      <c r="AO138" s="24"/>
      <c r="AP138" s="71"/>
      <c r="AQ138" s="69"/>
      <c r="AR138" s="141"/>
      <c r="AS138" s="141"/>
      <c r="AT138" s="141"/>
      <c r="AU138" s="141"/>
      <c r="AV138" s="141"/>
      <c r="AW138" s="141"/>
      <c r="AX138" s="141"/>
      <c r="AY138" s="141"/>
      <c r="AZ138" s="141"/>
      <c r="BA138" s="141"/>
    </row>
    <row r="139" spans="1:53" ht="45" customHeight="1">
      <c r="A139" s="153">
        <f t="shared" si="10"/>
        <v>136</v>
      </c>
      <c r="B139" s="153"/>
      <c r="C139" s="152"/>
      <c r="D139" s="28"/>
      <c r="E139" s="69"/>
      <c r="F139" s="39">
        <v>0</v>
      </c>
      <c r="G139" s="21"/>
      <c r="H139" s="21"/>
      <c r="I139" s="21"/>
      <c r="J139" s="141"/>
      <c r="K139" s="21"/>
      <c r="L139" s="69"/>
      <c r="M139" s="141"/>
      <c r="N139" s="59"/>
      <c r="O139" s="59"/>
      <c r="P139" s="105"/>
      <c r="Q139" s="105"/>
      <c r="R139" s="105"/>
      <c r="S139" s="105"/>
      <c r="T139" s="105"/>
      <c r="U139" s="90"/>
      <c r="V139" s="90"/>
      <c r="W139" s="90"/>
      <c r="X139" s="90"/>
      <c r="Y139" s="93"/>
      <c r="Z139" s="93"/>
      <c r="AA139" s="93"/>
      <c r="AB139" s="29">
        <v>0</v>
      </c>
      <c r="AC139" s="145">
        <v>0</v>
      </c>
      <c r="AD139" s="145">
        <v>0</v>
      </c>
      <c r="AE139" s="145">
        <v>0</v>
      </c>
      <c r="AF139" s="145">
        <v>0</v>
      </c>
      <c r="AG139" s="145">
        <v>0</v>
      </c>
      <c r="AH139" s="145">
        <v>0</v>
      </c>
      <c r="AI139" s="142">
        <f t="shared" si="9"/>
        <v>0</v>
      </c>
      <c r="AJ139" s="141"/>
      <c r="AK139" s="67"/>
      <c r="AL139" s="67"/>
      <c r="AM139" s="24"/>
      <c r="AN139" s="24"/>
      <c r="AO139" s="24"/>
      <c r="AP139" s="71"/>
      <c r="AQ139" s="69"/>
      <c r="AR139" s="141"/>
      <c r="AS139" s="141"/>
      <c r="AT139" s="141"/>
      <c r="AU139" s="141"/>
      <c r="AV139" s="141"/>
      <c r="AW139" s="141"/>
      <c r="AX139" s="141"/>
      <c r="AY139" s="141"/>
      <c r="AZ139" s="141"/>
      <c r="BA139" s="141"/>
    </row>
    <row r="140" spans="1:53" ht="45" customHeight="1">
      <c r="A140" s="153">
        <f t="shared" si="10"/>
        <v>137</v>
      </c>
      <c r="B140" s="153"/>
      <c r="C140" s="153"/>
      <c r="D140" s="28"/>
      <c r="E140" s="69"/>
      <c r="F140" s="39">
        <v>0</v>
      </c>
      <c r="G140" s="21"/>
      <c r="H140" s="21"/>
      <c r="I140" s="21"/>
      <c r="J140" s="141"/>
      <c r="K140" s="21"/>
      <c r="L140" s="69"/>
      <c r="M140" s="141"/>
      <c r="N140" s="59"/>
      <c r="O140" s="59"/>
      <c r="P140" s="105"/>
      <c r="Q140" s="105"/>
      <c r="R140" s="105"/>
      <c r="S140" s="105"/>
      <c r="T140" s="105"/>
      <c r="U140" s="90"/>
      <c r="V140" s="90"/>
      <c r="W140" s="90"/>
      <c r="X140" s="90"/>
      <c r="Y140" s="93"/>
      <c r="Z140" s="93"/>
      <c r="AA140" s="93"/>
      <c r="AB140" s="29">
        <v>0</v>
      </c>
      <c r="AC140" s="145">
        <v>0</v>
      </c>
      <c r="AD140" s="145">
        <v>0</v>
      </c>
      <c r="AE140" s="145">
        <v>0</v>
      </c>
      <c r="AF140" s="145">
        <v>0</v>
      </c>
      <c r="AG140" s="145">
        <v>0</v>
      </c>
      <c r="AH140" s="145">
        <v>0</v>
      </c>
      <c r="AI140" s="142">
        <f t="shared" si="9"/>
        <v>0</v>
      </c>
      <c r="AJ140" s="141"/>
      <c r="AK140" s="67"/>
      <c r="AL140" s="67"/>
      <c r="AM140" s="24"/>
      <c r="AN140" s="24"/>
      <c r="AO140" s="24"/>
      <c r="AP140" s="71"/>
      <c r="AQ140" s="69"/>
      <c r="AR140" s="141"/>
      <c r="AS140" s="141"/>
      <c r="AT140" s="141"/>
      <c r="AU140" s="141"/>
      <c r="AV140" s="141"/>
      <c r="AW140" s="141"/>
      <c r="AX140" s="141"/>
      <c r="AY140" s="141"/>
      <c r="AZ140" s="141"/>
      <c r="BA140" s="141"/>
    </row>
    <row r="141" spans="1:53" ht="45" customHeight="1">
      <c r="A141" s="153">
        <f t="shared" si="10"/>
        <v>138</v>
      </c>
      <c r="B141" s="153"/>
      <c r="C141" s="153"/>
      <c r="D141" s="28"/>
      <c r="E141" s="69"/>
      <c r="F141" s="39">
        <v>0</v>
      </c>
      <c r="G141" s="21"/>
      <c r="H141" s="21"/>
      <c r="I141" s="21"/>
      <c r="J141" s="141"/>
      <c r="K141" s="21"/>
      <c r="L141" s="69"/>
      <c r="M141" s="141"/>
      <c r="N141" s="59"/>
      <c r="O141" s="59"/>
      <c r="P141" s="105"/>
      <c r="Q141" s="105"/>
      <c r="R141" s="105"/>
      <c r="S141" s="105"/>
      <c r="T141" s="105"/>
      <c r="U141" s="90"/>
      <c r="V141" s="90"/>
      <c r="W141" s="90"/>
      <c r="X141" s="90"/>
      <c r="Y141" s="93"/>
      <c r="Z141" s="93"/>
      <c r="AA141" s="93"/>
      <c r="AB141" s="29">
        <v>0</v>
      </c>
      <c r="AC141" s="145">
        <v>0</v>
      </c>
      <c r="AD141" s="145">
        <v>0</v>
      </c>
      <c r="AE141" s="145">
        <v>0</v>
      </c>
      <c r="AF141" s="145">
        <v>0</v>
      </c>
      <c r="AG141" s="145">
        <v>0</v>
      </c>
      <c r="AH141" s="145">
        <v>0</v>
      </c>
      <c r="AI141" s="142">
        <f t="shared" si="9"/>
        <v>0</v>
      </c>
      <c r="AJ141" s="141"/>
      <c r="AK141" s="67"/>
      <c r="AL141" s="67"/>
      <c r="AM141" s="24"/>
      <c r="AN141" s="24"/>
      <c r="AO141" s="24"/>
      <c r="AP141" s="71"/>
      <c r="AQ141" s="69"/>
      <c r="AR141" s="141"/>
      <c r="AS141" s="141"/>
      <c r="AT141" s="141"/>
      <c r="AU141" s="141"/>
      <c r="AV141" s="141"/>
      <c r="AW141" s="141"/>
      <c r="AX141" s="141"/>
      <c r="AY141" s="141"/>
      <c r="AZ141" s="141"/>
      <c r="BA141" s="141"/>
    </row>
    <row r="142" spans="1:53" ht="45" customHeight="1">
      <c r="A142" s="153">
        <f t="shared" si="10"/>
        <v>139</v>
      </c>
      <c r="B142" s="153"/>
      <c r="C142" s="153"/>
      <c r="D142" s="28"/>
      <c r="E142" s="69"/>
      <c r="F142" s="39">
        <v>0</v>
      </c>
      <c r="G142" s="21"/>
      <c r="H142" s="21"/>
      <c r="I142" s="21"/>
      <c r="J142" s="141"/>
      <c r="K142" s="21"/>
      <c r="L142" s="69"/>
      <c r="M142" s="141"/>
      <c r="N142" s="59"/>
      <c r="O142" s="59"/>
      <c r="P142" s="105"/>
      <c r="Q142" s="105"/>
      <c r="R142" s="105"/>
      <c r="S142" s="105"/>
      <c r="T142" s="105"/>
      <c r="U142" s="90"/>
      <c r="V142" s="90"/>
      <c r="W142" s="90"/>
      <c r="X142" s="90"/>
      <c r="Y142" s="93"/>
      <c r="Z142" s="93"/>
      <c r="AA142" s="93"/>
      <c r="AB142" s="29">
        <v>0</v>
      </c>
      <c r="AC142" s="145">
        <v>0</v>
      </c>
      <c r="AD142" s="145">
        <v>0</v>
      </c>
      <c r="AE142" s="145">
        <v>0</v>
      </c>
      <c r="AF142" s="145">
        <v>0</v>
      </c>
      <c r="AG142" s="145">
        <v>0</v>
      </c>
      <c r="AH142" s="145">
        <v>0</v>
      </c>
      <c r="AI142" s="142">
        <f t="shared" si="9"/>
        <v>0</v>
      </c>
      <c r="AJ142" s="141"/>
      <c r="AK142" s="67"/>
      <c r="AL142" s="67"/>
      <c r="AM142" s="24"/>
      <c r="AN142" s="24"/>
      <c r="AO142" s="24"/>
      <c r="AP142" s="71"/>
      <c r="AQ142" s="69"/>
      <c r="AR142" s="141"/>
      <c r="AS142" s="141"/>
      <c r="AT142" s="141"/>
      <c r="AU142" s="141"/>
      <c r="AV142" s="141"/>
      <c r="AW142" s="141"/>
      <c r="AX142" s="141"/>
      <c r="AY142" s="141"/>
      <c r="AZ142" s="141"/>
      <c r="BA142" s="141"/>
    </row>
    <row r="143" spans="1:53" ht="45" customHeight="1">
      <c r="A143" s="153">
        <f t="shared" si="10"/>
        <v>140</v>
      </c>
      <c r="B143" s="153"/>
      <c r="C143" s="153"/>
      <c r="D143" s="28"/>
      <c r="E143" s="69"/>
      <c r="F143" s="39">
        <v>0</v>
      </c>
      <c r="G143" s="21"/>
      <c r="H143" s="21"/>
      <c r="I143" s="21"/>
      <c r="J143" s="141"/>
      <c r="K143" s="21"/>
      <c r="L143" s="69"/>
      <c r="M143" s="141"/>
      <c r="N143" s="59"/>
      <c r="O143" s="59"/>
      <c r="P143" s="105"/>
      <c r="Q143" s="105"/>
      <c r="R143" s="105"/>
      <c r="S143" s="105"/>
      <c r="T143" s="105"/>
      <c r="U143" s="90"/>
      <c r="V143" s="90"/>
      <c r="W143" s="90"/>
      <c r="X143" s="90"/>
      <c r="Y143" s="93"/>
      <c r="Z143" s="93"/>
      <c r="AA143" s="93"/>
      <c r="AB143" s="29">
        <v>0</v>
      </c>
      <c r="AC143" s="145">
        <v>0</v>
      </c>
      <c r="AD143" s="145">
        <v>0</v>
      </c>
      <c r="AE143" s="145">
        <v>0</v>
      </c>
      <c r="AF143" s="145">
        <v>0</v>
      </c>
      <c r="AG143" s="145">
        <v>0</v>
      </c>
      <c r="AH143" s="145">
        <v>0</v>
      </c>
      <c r="AI143" s="142">
        <f t="shared" si="9"/>
        <v>0</v>
      </c>
      <c r="AJ143" s="141"/>
      <c r="AK143" s="67"/>
      <c r="AL143" s="67"/>
      <c r="AM143" s="24"/>
      <c r="AN143" s="24"/>
      <c r="AO143" s="24"/>
      <c r="AP143" s="71"/>
      <c r="AQ143" s="69"/>
      <c r="AR143" s="141"/>
      <c r="AS143" s="141"/>
      <c r="AT143" s="141"/>
      <c r="AU143" s="141"/>
      <c r="AV143" s="141"/>
      <c r="AW143" s="141"/>
      <c r="AX143" s="141"/>
      <c r="AY143" s="141"/>
      <c r="AZ143" s="141"/>
      <c r="BA143" s="141"/>
    </row>
    <row r="144" spans="1:53" ht="45" customHeight="1">
      <c r="A144" s="153">
        <f t="shared" si="10"/>
        <v>141</v>
      </c>
      <c r="B144" s="153"/>
      <c r="C144" s="153"/>
      <c r="D144" s="28"/>
      <c r="E144" s="69"/>
      <c r="F144" s="39">
        <v>0</v>
      </c>
      <c r="G144" s="21"/>
      <c r="H144" s="21"/>
      <c r="I144" s="21"/>
      <c r="J144" s="141"/>
      <c r="K144" s="21"/>
      <c r="L144" s="69"/>
      <c r="M144" s="141"/>
      <c r="N144" s="59"/>
      <c r="O144" s="59"/>
      <c r="P144" s="105"/>
      <c r="Q144" s="105"/>
      <c r="R144" s="105"/>
      <c r="S144" s="105"/>
      <c r="T144" s="105"/>
      <c r="U144" s="90"/>
      <c r="V144" s="90"/>
      <c r="W144" s="90"/>
      <c r="X144" s="90"/>
      <c r="Y144" s="93"/>
      <c r="Z144" s="93"/>
      <c r="AA144" s="93"/>
      <c r="AB144" s="29">
        <v>0</v>
      </c>
      <c r="AC144" s="145">
        <v>0</v>
      </c>
      <c r="AD144" s="145">
        <v>0</v>
      </c>
      <c r="AE144" s="145">
        <v>0</v>
      </c>
      <c r="AF144" s="145">
        <v>0</v>
      </c>
      <c r="AG144" s="145">
        <v>0</v>
      </c>
      <c r="AH144" s="145">
        <v>0</v>
      </c>
      <c r="AI144" s="142">
        <f t="shared" si="9"/>
        <v>0</v>
      </c>
      <c r="AJ144" s="141"/>
      <c r="AK144" s="67"/>
      <c r="AL144" s="67"/>
      <c r="AM144" s="24"/>
      <c r="AN144" s="24"/>
      <c r="AO144" s="24"/>
      <c r="AP144" s="71"/>
      <c r="AQ144" s="69"/>
      <c r="AR144" s="141"/>
      <c r="AS144" s="141"/>
      <c r="AT144" s="141"/>
      <c r="AU144" s="141"/>
      <c r="AV144" s="141"/>
      <c r="AW144" s="141"/>
      <c r="AX144" s="141"/>
      <c r="AY144" s="141"/>
      <c r="AZ144" s="141"/>
      <c r="BA144" s="141"/>
    </row>
    <row r="145" spans="1:53" ht="45" customHeight="1">
      <c r="A145" s="153">
        <f t="shared" si="10"/>
        <v>142</v>
      </c>
      <c r="B145" s="153"/>
      <c r="C145" s="153"/>
      <c r="D145" s="28"/>
      <c r="E145" s="69"/>
      <c r="F145" s="39">
        <v>0</v>
      </c>
      <c r="G145" s="21"/>
      <c r="H145" s="21"/>
      <c r="I145" s="21"/>
      <c r="J145" s="141"/>
      <c r="K145" s="21"/>
      <c r="L145" s="69"/>
      <c r="M145" s="141"/>
      <c r="N145" s="59"/>
      <c r="O145" s="59"/>
      <c r="P145" s="105"/>
      <c r="Q145" s="105"/>
      <c r="R145" s="105"/>
      <c r="S145" s="105"/>
      <c r="T145" s="105"/>
      <c r="U145" s="90"/>
      <c r="V145" s="90"/>
      <c r="W145" s="90"/>
      <c r="X145" s="90"/>
      <c r="Y145" s="93"/>
      <c r="Z145" s="93"/>
      <c r="AA145" s="93"/>
      <c r="AB145" s="29">
        <v>0</v>
      </c>
      <c r="AC145" s="145">
        <v>0</v>
      </c>
      <c r="AD145" s="145">
        <v>0</v>
      </c>
      <c r="AE145" s="145">
        <v>0</v>
      </c>
      <c r="AF145" s="145">
        <v>0</v>
      </c>
      <c r="AG145" s="145">
        <v>0</v>
      </c>
      <c r="AH145" s="145">
        <v>0</v>
      </c>
      <c r="AI145" s="142">
        <f t="shared" si="9"/>
        <v>0</v>
      </c>
      <c r="AJ145" s="141"/>
      <c r="AK145" s="67"/>
      <c r="AL145" s="67"/>
      <c r="AM145" s="24"/>
      <c r="AN145" s="24"/>
      <c r="AO145" s="24"/>
      <c r="AP145" s="71"/>
      <c r="AQ145" s="69"/>
      <c r="AR145" s="141"/>
      <c r="AS145" s="141"/>
      <c r="AT145" s="141"/>
      <c r="AU145" s="141"/>
      <c r="AV145" s="141"/>
      <c r="AW145" s="141"/>
      <c r="AX145" s="141"/>
      <c r="AY145" s="141"/>
      <c r="AZ145" s="141"/>
      <c r="BA145" s="141"/>
    </row>
    <row r="146" spans="1:53" ht="45" customHeight="1">
      <c r="A146" s="153">
        <f t="shared" si="10"/>
        <v>143</v>
      </c>
      <c r="B146" s="153"/>
      <c r="C146" s="153"/>
      <c r="D146" s="28"/>
      <c r="E146" s="69"/>
      <c r="F146" s="39">
        <v>0</v>
      </c>
      <c r="G146" s="21"/>
      <c r="H146" s="21"/>
      <c r="I146" s="21"/>
      <c r="J146" s="141"/>
      <c r="K146" s="21"/>
      <c r="L146" s="69"/>
      <c r="M146" s="141"/>
      <c r="N146" s="59"/>
      <c r="O146" s="59"/>
      <c r="P146" s="105"/>
      <c r="Q146" s="105"/>
      <c r="R146" s="105"/>
      <c r="S146" s="105"/>
      <c r="T146" s="105"/>
      <c r="U146" s="90"/>
      <c r="V146" s="90"/>
      <c r="W146" s="90"/>
      <c r="X146" s="90"/>
      <c r="Y146" s="93"/>
      <c r="Z146" s="93"/>
      <c r="AA146" s="93"/>
      <c r="AB146" s="29">
        <v>0</v>
      </c>
      <c r="AC146" s="145">
        <v>0</v>
      </c>
      <c r="AD146" s="145">
        <v>0</v>
      </c>
      <c r="AE146" s="145">
        <v>0</v>
      </c>
      <c r="AF146" s="145">
        <v>0</v>
      </c>
      <c r="AG146" s="145">
        <v>0</v>
      </c>
      <c r="AH146" s="145">
        <v>0</v>
      </c>
      <c r="AI146" s="142">
        <f t="shared" si="9"/>
        <v>0</v>
      </c>
      <c r="AJ146" s="141"/>
      <c r="AK146" s="67"/>
      <c r="AL146" s="67"/>
      <c r="AM146" s="24"/>
      <c r="AN146" s="24"/>
      <c r="AO146" s="24"/>
      <c r="AP146" s="71"/>
      <c r="AQ146" s="69"/>
      <c r="AR146" s="141"/>
      <c r="AS146" s="141"/>
      <c r="AT146" s="141"/>
      <c r="AU146" s="141"/>
      <c r="AV146" s="141"/>
      <c r="AW146" s="141"/>
      <c r="AX146" s="141"/>
      <c r="AY146" s="141"/>
      <c r="AZ146" s="141"/>
      <c r="BA146" s="141"/>
    </row>
    <row r="147" spans="1:53" ht="45" customHeight="1">
      <c r="A147" s="153">
        <f t="shared" si="10"/>
        <v>144</v>
      </c>
      <c r="B147" s="153"/>
      <c r="C147" s="153"/>
      <c r="D147" s="28"/>
      <c r="E147" s="69"/>
      <c r="F147" s="39">
        <v>0</v>
      </c>
      <c r="G147" s="21"/>
      <c r="H147" s="21"/>
      <c r="I147" s="21"/>
      <c r="J147" s="141"/>
      <c r="K147" s="21"/>
      <c r="L147" s="69"/>
      <c r="M147" s="141"/>
      <c r="N147" s="59">
        <v>0</v>
      </c>
      <c r="O147" s="59"/>
      <c r="P147" s="105"/>
      <c r="Q147" s="105"/>
      <c r="R147" s="105"/>
      <c r="S147" s="105"/>
      <c r="T147" s="105"/>
      <c r="U147" s="90"/>
      <c r="V147" s="90"/>
      <c r="W147" s="90"/>
      <c r="X147" s="90"/>
      <c r="Y147" s="93"/>
      <c r="Z147" s="93"/>
      <c r="AA147" s="93"/>
      <c r="AB147" s="29">
        <v>0</v>
      </c>
      <c r="AC147" s="145">
        <v>0</v>
      </c>
      <c r="AD147" s="145">
        <v>0</v>
      </c>
      <c r="AE147" s="145">
        <v>0</v>
      </c>
      <c r="AF147" s="145">
        <v>0</v>
      </c>
      <c r="AG147" s="145">
        <v>0</v>
      </c>
      <c r="AH147" s="145">
        <v>0</v>
      </c>
      <c r="AI147" s="142">
        <f t="shared" si="9"/>
        <v>0</v>
      </c>
      <c r="AJ147" s="141"/>
      <c r="AK147" s="67"/>
      <c r="AL147" s="67"/>
      <c r="AM147" s="24"/>
      <c r="AN147" s="24"/>
      <c r="AO147" s="24"/>
      <c r="AP147" s="71"/>
      <c r="AQ147" s="69"/>
      <c r="AR147" s="141"/>
      <c r="AS147" s="141"/>
      <c r="AT147" s="141"/>
      <c r="AU147" s="141"/>
      <c r="AV147" s="141"/>
      <c r="AW147" s="141"/>
      <c r="AX147" s="141"/>
      <c r="AY147" s="141"/>
      <c r="AZ147" s="141"/>
      <c r="BA147" s="141"/>
    </row>
    <row r="148" spans="1:53" ht="45" customHeight="1">
      <c r="A148" s="153">
        <f t="shared" si="10"/>
        <v>145</v>
      </c>
      <c r="B148" s="153"/>
      <c r="C148" s="153"/>
      <c r="D148" s="28"/>
      <c r="E148" s="69"/>
      <c r="F148" s="39">
        <v>0</v>
      </c>
      <c r="G148" s="21"/>
      <c r="H148" s="21"/>
      <c r="I148" s="21"/>
      <c r="J148" s="141"/>
      <c r="K148" s="21"/>
      <c r="L148" s="69"/>
      <c r="M148" s="141"/>
      <c r="N148" s="59">
        <v>0.5</v>
      </c>
      <c r="O148" s="59"/>
      <c r="P148" s="105"/>
      <c r="Q148" s="105"/>
      <c r="R148" s="105"/>
      <c r="S148" s="105"/>
      <c r="T148" s="105"/>
      <c r="U148" s="90"/>
      <c r="V148" s="90"/>
      <c r="W148" s="90"/>
      <c r="X148" s="90"/>
      <c r="Y148" s="93"/>
      <c r="Z148" s="93"/>
      <c r="AA148" s="93"/>
      <c r="AB148" s="29">
        <v>0</v>
      </c>
      <c r="AC148" s="145">
        <v>0</v>
      </c>
      <c r="AD148" s="145">
        <v>0</v>
      </c>
      <c r="AE148" s="145">
        <v>0</v>
      </c>
      <c r="AF148" s="145">
        <v>0</v>
      </c>
      <c r="AG148" s="145">
        <v>0</v>
      </c>
      <c r="AH148" s="145">
        <v>0</v>
      </c>
      <c r="AI148" s="142">
        <f t="shared" si="9"/>
        <v>0</v>
      </c>
      <c r="AJ148" s="141"/>
      <c r="AK148" s="67"/>
      <c r="AL148" s="67"/>
      <c r="AM148" s="24"/>
      <c r="AN148" s="24"/>
      <c r="AO148" s="24"/>
      <c r="AP148" s="71"/>
      <c r="AQ148" s="69"/>
      <c r="AR148" s="141"/>
      <c r="AS148" s="141"/>
      <c r="AT148" s="141"/>
      <c r="AU148" s="141"/>
      <c r="AV148" s="141"/>
      <c r="AW148" s="141"/>
      <c r="AX148" s="141"/>
      <c r="AY148" s="141"/>
      <c r="AZ148" s="141"/>
      <c r="BA148" s="141"/>
    </row>
    <row r="149" spans="1:53" ht="45" customHeight="1">
      <c r="A149" s="153">
        <f t="shared" si="10"/>
        <v>146</v>
      </c>
      <c r="B149" s="153"/>
      <c r="C149" s="153"/>
      <c r="D149" s="28"/>
      <c r="E149" s="69"/>
      <c r="F149" s="39">
        <v>0</v>
      </c>
      <c r="G149" s="21"/>
      <c r="H149" s="21"/>
      <c r="I149" s="21"/>
      <c r="J149" s="141"/>
      <c r="K149" s="21"/>
      <c r="L149" s="69"/>
      <c r="M149" s="141"/>
      <c r="N149" s="59">
        <v>1</v>
      </c>
      <c r="O149" s="59"/>
      <c r="P149" s="105"/>
      <c r="Q149" s="105"/>
      <c r="R149" s="105"/>
      <c r="S149" s="105"/>
      <c r="T149" s="105"/>
      <c r="U149" s="90"/>
      <c r="V149" s="90"/>
      <c r="W149" s="90"/>
      <c r="X149" s="90"/>
      <c r="Y149" s="93"/>
      <c r="Z149" s="93"/>
      <c r="AA149" s="93"/>
      <c r="AB149" s="29">
        <v>0</v>
      </c>
      <c r="AC149" s="145">
        <v>0</v>
      </c>
      <c r="AD149" s="145">
        <v>0</v>
      </c>
      <c r="AE149" s="145">
        <v>0</v>
      </c>
      <c r="AF149" s="145">
        <v>0</v>
      </c>
      <c r="AG149" s="145">
        <v>0</v>
      </c>
      <c r="AH149" s="145">
        <v>0</v>
      </c>
      <c r="AI149" s="142">
        <f t="shared" si="9"/>
        <v>0</v>
      </c>
      <c r="AJ149" s="141"/>
      <c r="AK149" s="67"/>
      <c r="AL149" s="67"/>
      <c r="AM149" s="24"/>
      <c r="AN149" s="24"/>
      <c r="AO149" s="24"/>
      <c r="AP149" s="71"/>
      <c r="AQ149" s="69"/>
      <c r="AR149" s="141"/>
      <c r="AS149" s="141"/>
      <c r="AT149" s="141"/>
      <c r="AU149" s="141"/>
      <c r="AV149" s="141"/>
      <c r="AW149" s="141"/>
      <c r="AX149" s="141"/>
      <c r="AY149" s="141"/>
      <c r="AZ149" s="141"/>
      <c r="BA149" s="141"/>
    </row>
    <row r="150" spans="1:53" ht="45" customHeight="1">
      <c r="A150" s="153">
        <f t="shared" si="10"/>
        <v>147</v>
      </c>
      <c r="B150" s="153"/>
      <c r="C150" s="153"/>
      <c r="D150" s="28"/>
      <c r="E150" s="69"/>
      <c r="F150" s="39">
        <v>0</v>
      </c>
      <c r="G150" s="21"/>
      <c r="H150" s="21"/>
      <c r="I150" s="21"/>
      <c r="J150" s="141"/>
      <c r="K150" s="21"/>
      <c r="L150" s="69"/>
      <c r="M150" s="141"/>
      <c r="N150" s="59">
        <v>1.5</v>
      </c>
      <c r="O150" s="59"/>
      <c r="P150" s="105"/>
      <c r="Q150" s="105"/>
      <c r="R150" s="105"/>
      <c r="S150" s="105"/>
      <c r="T150" s="105"/>
      <c r="U150" s="90"/>
      <c r="V150" s="90"/>
      <c r="W150" s="90"/>
      <c r="X150" s="90"/>
      <c r="Y150" s="93"/>
      <c r="Z150" s="93"/>
      <c r="AA150" s="93"/>
      <c r="AB150" s="29">
        <v>0</v>
      </c>
      <c r="AC150" s="145">
        <v>0</v>
      </c>
      <c r="AD150" s="145">
        <v>0</v>
      </c>
      <c r="AE150" s="145">
        <v>0</v>
      </c>
      <c r="AF150" s="145">
        <v>0</v>
      </c>
      <c r="AG150" s="145">
        <v>0</v>
      </c>
      <c r="AH150" s="145">
        <v>0</v>
      </c>
      <c r="AI150" s="142">
        <f t="shared" si="9"/>
        <v>0</v>
      </c>
      <c r="AJ150" s="141"/>
      <c r="AK150" s="67"/>
      <c r="AL150" s="67"/>
      <c r="AM150" s="24"/>
      <c r="AN150" s="24"/>
      <c r="AO150" s="24"/>
      <c r="AP150" s="71"/>
      <c r="AQ150" s="69"/>
      <c r="AR150" s="141"/>
      <c r="AS150" s="141"/>
      <c r="AT150" s="141"/>
      <c r="AU150" s="141"/>
      <c r="AV150" s="141"/>
      <c r="AW150" s="141"/>
      <c r="AX150" s="141"/>
      <c r="AY150" s="141"/>
      <c r="AZ150" s="141"/>
      <c r="BA150" s="141"/>
    </row>
    <row r="151" spans="1:53" ht="45" customHeight="1">
      <c r="A151" s="153">
        <f t="shared" si="10"/>
        <v>148</v>
      </c>
      <c r="B151" s="153"/>
      <c r="C151" s="153"/>
      <c r="D151" s="28"/>
      <c r="E151" s="69"/>
      <c r="F151" s="39">
        <v>0</v>
      </c>
      <c r="G151" s="21"/>
      <c r="H151" s="21"/>
      <c r="I151" s="21"/>
      <c r="J151" s="141"/>
      <c r="K151" s="21"/>
      <c r="L151" s="69"/>
      <c r="M151" s="141"/>
      <c r="N151" s="59">
        <v>2</v>
      </c>
      <c r="O151" s="59"/>
      <c r="P151" s="105"/>
      <c r="Q151" s="105"/>
      <c r="R151" s="105"/>
      <c r="S151" s="105"/>
      <c r="T151" s="105"/>
      <c r="U151" s="90"/>
      <c r="V151" s="90"/>
      <c r="W151" s="90"/>
      <c r="X151" s="90"/>
      <c r="Y151" s="93"/>
      <c r="Z151" s="93"/>
      <c r="AA151" s="93"/>
      <c r="AB151" s="29">
        <v>0</v>
      </c>
      <c r="AC151" s="145">
        <v>0</v>
      </c>
      <c r="AD151" s="145">
        <v>0</v>
      </c>
      <c r="AE151" s="145">
        <v>0</v>
      </c>
      <c r="AF151" s="145">
        <v>0</v>
      </c>
      <c r="AG151" s="145">
        <v>0</v>
      </c>
      <c r="AH151" s="145">
        <v>0</v>
      </c>
      <c r="AI151" s="142">
        <f t="shared" ref="AI151:AI182" si="11">AVERAGE(AB151:AH151)</f>
        <v>0</v>
      </c>
      <c r="AJ151" s="141"/>
      <c r="AK151" s="67"/>
      <c r="AL151" s="67"/>
      <c r="AM151" s="24"/>
      <c r="AN151" s="24"/>
      <c r="AO151" s="24"/>
      <c r="AP151" s="71"/>
      <c r="AQ151" s="69"/>
      <c r="AR151" s="141"/>
      <c r="AS151" s="141"/>
      <c r="AT151" s="141"/>
      <c r="AU151" s="141"/>
      <c r="AV151" s="141"/>
      <c r="AW151" s="141"/>
      <c r="AX151" s="141"/>
      <c r="AY151" s="141"/>
      <c r="AZ151" s="141"/>
      <c r="BA151" s="141"/>
    </row>
    <row r="152" spans="1:53" ht="45" customHeight="1">
      <c r="A152" s="153">
        <f t="shared" si="10"/>
        <v>149</v>
      </c>
      <c r="B152" s="153"/>
      <c r="C152" s="153"/>
      <c r="D152" s="28"/>
      <c r="E152" s="69"/>
      <c r="F152" s="39">
        <v>0</v>
      </c>
      <c r="G152" s="21"/>
      <c r="H152" s="21"/>
      <c r="I152" s="21"/>
      <c r="J152" s="141"/>
      <c r="K152" s="21"/>
      <c r="L152" s="69"/>
      <c r="M152" s="141"/>
      <c r="N152" s="59">
        <v>2.5</v>
      </c>
      <c r="O152" s="59"/>
      <c r="P152" s="105"/>
      <c r="Q152" s="105"/>
      <c r="R152" s="105"/>
      <c r="S152" s="105"/>
      <c r="T152" s="105"/>
      <c r="U152" s="90"/>
      <c r="V152" s="90"/>
      <c r="W152" s="90"/>
      <c r="X152" s="90"/>
      <c r="Y152" s="93"/>
      <c r="Z152" s="93"/>
      <c r="AA152" s="93"/>
      <c r="AB152" s="29">
        <v>0</v>
      </c>
      <c r="AC152" s="145">
        <v>0</v>
      </c>
      <c r="AD152" s="145">
        <v>0</v>
      </c>
      <c r="AE152" s="145">
        <v>0</v>
      </c>
      <c r="AF152" s="145">
        <v>0</v>
      </c>
      <c r="AG152" s="145">
        <v>0</v>
      </c>
      <c r="AH152" s="145">
        <v>0</v>
      </c>
      <c r="AI152" s="142">
        <f t="shared" si="11"/>
        <v>0</v>
      </c>
      <c r="AJ152" s="141"/>
      <c r="AK152" s="67"/>
      <c r="AL152" s="67"/>
      <c r="AM152" s="24"/>
      <c r="AN152" s="24"/>
      <c r="AO152" s="24"/>
      <c r="AP152" s="71"/>
      <c r="AQ152" s="69"/>
      <c r="AR152" s="141"/>
      <c r="AS152" s="141"/>
      <c r="AT152" s="141"/>
      <c r="AU152" s="141"/>
      <c r="AV152" s="141"/>
      <c r="AW152" s="141"/>
      <c r="AX152" s="141"/>
      <c r="AY152" s="141"/>
      <c r="AZ152" s="141"/>
      <c r="BA152" s="141"/>
    </row>
    <row r="153" spans="1:53" ht="45" customHeight="1">
      <c r="A153" s="153">
        <f t="shared" si="10"/>
        <v>150</v>
      </c>
      <c r="B153" s="153"/>
      <c r="C153" s="153"/>
      <c r="D153" s="28"/>
      <c r="E153" s="69"/>
      <c r="F153" s="39">
        <v>0</v>
      </c>
      <c r="G153" s="25"/>
      <c r="H153" s="25"/>
      <c r="I153" s="25"/>
      <c r="J153" s="154"/>
      <c r="K153" s="25"/>
      <c r="L153" s="69"/>
      <c r="M153" s="141"/>
      <c r="N153" s="59">
        <v>3</v>
      </c>
      <c r="O153" s="59"/>
      <c r="P153" s="105"/>
      <c r="Q153" s="105"/>
      <c r="R153" s="105"/>
      <c r="S153" s="105"/>
      <c r="T153" s="105"/>
      <c r="U153" s="90"/>
      <c r="V153" s="90"/>
      <c r="W153" s="90"/>
      <c r="X153" s="90"/>
      <c r="Y153" s="93"/>
      <c r="Z153" s="94"/>
      <c r="AA153" s="94"/>
      <c r="AB153" s="29">
        <v>0</v>
      </c>
      <c r="AC153" s="145">
        <v>0</v>
      </c>
      <c r="AD153" s="145">
        <v>0</v>
      </c>
      <c r="AE153" s="145">
        <v>0</v>
      </c>
      <c r="AF153" s="145">
        <v>0</v>
      </c>
      <c r="AG153" s="145">
        <v>0</v>
      </c>
      <c r="AH153" s="145">
        <v>0</v>
      </c>
      <c r="AI153" s="142">
        <f t="shared" si="11"/>
        <v>0</v>
      </c>
      <c r="AJ153" s="141"/>
      <c r="AK153" s="67"/>
      <c r="AL153" s="67"/>
      <c r="AM153" s="24"/>
      <c r="AN153" s="24"/>
      <c r="AO153" s="24"/>
      <c r="AP153" s="71"/>
      <c r="AQ153" s="69"/>
      <c r="AR153" s="141"/>
      <c r="AS153" s="141"/>
      <c r="AT153" s="141"/>
      <c r="AU153" s="141"/>
      <c r="AV153" s="141"/>
      <c r="AW153" s="141"/>
      <c r="AX153" s="141"/>
      <c r="AY153" s="141"/>
      <c r="AZ153" s="141"/>
      <c r="BA153" s="141"/>
    </row>
    <row r="154" spans="1:53" ht="45" customHeight="1">
      <c r="A154" s="153">
        <f t="shared" si="10"/>
        <v>151</v>
      </c>
      <c r="B154" s="153"/>
      <c r="C154" s="153"/>
      <c r="D154" s="28"/>
      <c r="E154" s="69"/>
      <c r="F154" s="39">
        <v>0</v>
      </c>
      <c r="G154" s="21"/>
      <c r="H154" s="21"/>
      <c r="I154" s="21"/>
      <c r="J154" s="141"/>
      <c r="K154" s="21"/>
      <c r="L154" s="69"/>
      <c r="M154" s="141"/>
      <c r="N154" s="59">
        <v>3.5</v>
      </c>
      <c r="O154" s="59"/>
      <c r="P154" s="105"/>
      <c r="Q154" s="105"/>
      <c r="R154" s="105"/>
      <c r="S154" s="105"/>
      <c r="T154" s="105"/>
      <c r="U154" s="90"/>
      <c r="V154" s="90"/>
      <c r="W154" s="90"/>
      <c r="X154" s="90"/>
      <c r="Y154" s="93"/>
      <c r="Z154" s="96"/>
      <c r="AA154" s="96"/>
      <c r="AB154" s="29">
        <v>0</v>
      </c>
      <c r="AC154" s="145">
        <v>0</v>
      </c>
      <c r="AD154" s="145">
        <v>0</v>
      </c>
      <c r="AE154" s="145">
        <v>0</v>
      </c>
      <c r="AF154" s="145">
        <v>0</v>
      </c>
      <c r="AG154" s="145">
        <v>0</v>
      </c>
      <c r="AH154" s="145">
        <v>0</v>
      </c>
      <c r="AI154" s="142">
        <f t="shared" si="11"/>
        <v>0</v>
      </c>
      <c r="AJ154" s="141"/>
      <c r="AK154" s="67"/>
      <c r="AL154" s="67"/>
      <c r="AM154" s="24"/>
      <c r="AN154" s="24"/>
      <c r="AO154" s="24"/>
      <c r="AP154" s="71"/>
      <c r="AQ154" s="69"/>
      <c r="AR154" s="141"/>
      <c r="AS154" s="141"/>
      <c r="AT154" s="141"/>
      <c r="AU154" s="141"/>
      <c r="AV154" s="141"/>
      <c r="AW154" s="141"/>
      <c r="AX154" s="141"/>
      <c r="AY154" s="141"/>
      <c r="AZ154" s="141"/>
      <c r="BA154" s="141"/>
    </row>
    <row r="155" spans="1:53" ht="45" customHeight="1">
      <c r="A155" s="153">
        <f t="shared" si="10"/>
        <v>152</v>
      </c>
      <c r="B155" s="153"/>
      <c r="C155" s="153"/>
      <c r="D155" s="28"/>
      <c r="E155" s="69"/>
      <c r="F155" s="39">
        <v>0</v>
      </c>
      <c r="G155" s="21"/>
      <c r="H155" s="21"/>
      <c r="I155" s="21"/>
      <c r="J155" s="141"/>
      <c r="K155" s="21"/>
      <c r="L155" s="69"/>
      <c r="M155" s="141"/>
      <c r="N155" s="59">
        <v>4</v>
      </c>
      <c r="O155" s="59"/>
      <c r="P155" s="105"/>
      <c r="Q155" s="105"/>
      <c r="R155" s="105"/>
      <c r="S155" s="105"/>
      <c r="T155" s="105"/>
      <c r="U155" s="90"/>
      <c r="V155" s="90"/>
      <c r="W155" s="90"/>
      <c r="X155" s="90"/>
      <c r="Y155" s="93"/>
      <c r="Z155" s="96"/>
      <c r="AA155" s="96"/>
      <c r="AB155" s="29">
        <v>0</v>
      </c>
      <c r="AC155" s="145">
        <v>0</v>
      </c>
      <c r="AD155" s="145">
        <v>0</v>
      </c>
      <c r="AE155" s="145">
        <v>0</v>
      </c>
      <c r="AF155" s="145">
        <v>0</v>
      </c>
      <c r="AG155" s="145">
        <v>0</v>
      </c>
      <c r="AH155" s="145">
        <v>0</v>
      </c>
      <c r="AI155" s="142">
        <f t="shared" si="11"/>
        <v>0</v>
      </c>
      <c r="AJ155" s="141"/>
      <c r="AK155" s="67"/>
      <c r="AL155" s="67"/>
      <c r="AM155" s="24"/>
      <c r="AN155" s="24"/>
      <c r="AO155" s="24"/>
      <c r="AP155" s="71"/>
      <c r="AQ155" s="69"/>
      <c r="AR155" s="141"/>
      <c r="AS155" s="141"/>
      <c r="AT155" s="141"/>
      <c r="AU155" s="141"/>
      <c r="AV155" s="141"/>
      <c r="AW155" s="141"/>
      <c r="AX155" s="141"/>
      <c r="AY155" s="141"/>
      <c r="AZ155" s="141"/>
      <c r="BA155" s="141"/>
    </row>
    <row r="156" spans="1:53" ht="45" customHeight="1">
      <c r="A156" s="153">
        <f t="shared" si="10"/>
        <v>153</v>
      </c>
      <c r="B156" s="153"/>
      <c r="C156" s="28"/>
      <c r="D156" s="28"/>
      <c r="E156" s="69"/>
      <c r="F156" s="39">
        <v>0</v>
      </c>
      <c r="G156" s="21"/>
      <c r="H156" s="21"/>
      <c r="I156" s="21"/>
      <c r="J156" s="141"/>
      <c r="K156" s="21"/>
      <c r="L156" s="69"/>
      <c r="M156" s="141"/>
      <c r="N156" s="59">
        <v>4.5</v>
      </c>
      <c r="O156" s="59"/>
      <c r="P156" s="105"/>
      <c r="Q156" s="105"/>
      <c r="R156" s="105"/>
      <c r="S156" s="105"/>
      <c r="T156" s="105"/>
      <c r="U156" s="92"/>
      <c r="V156" s="90"/>
      <c r="W156" s="90"/>
      <c r="X156" s="90"/>
      <c r="Y156" s="93"/>
      <c r="Z156" s="96"/>
      <c r="AA156" s="96"/>
      <c r="AB156" s="29">
        <v>0</v>
      </c>
      <c r="AC156" s="145">
        <v>0</v>
      </c>
      <c r="AD156" s="145">
        <v>0</v>
      </c>
      <c r="AE156" s="145">
        <v>0</v>
      </c>
      <c r="AF156" s="145">
        <v>0</v>
      </c>
      <c r="AG156" s="145">
        <v>0</v>
      </c>
      <c r="AH156" s="145">
        <v>0</v>
      </c>
      <c r="AI156" s="142">
        <f t="shared" si="11"/>
        <v>0</v>
      </c>
      <c r="AJ156" s="141"/>
      <c r="AK156" s="67"/>
      <c r="AL156" s="67"/>
      <c r="AM156" s="24"/>
      <c r="AN156" s="24"/>
      <c r="AO156" s="24"/>
      <c r="AP156" s="71"/>
      <c r="AQ156" s="69"/>
      <c r="AR156" s="141"/>
      <c r="AS156" s="141"/>
      <c r="AT156" s="141"/>
      <c r="AU156" s="141"/>
      <c r="AV156" s="141"/>
      <c r="AW156" s="141"/>
      <c r="AX156" s="141"/>
      <c r="AY156" s="141"/>
      <c r="AZ156" s="141"/>
      <c r="BA156" s="141"/>
    </row>
    <row r="157" spans="1:53" ht="45" customHeight="1">
      <c r="A157" s="153">
        <f t="shared" si="10"/>
        <v>154</v>
      </c>
      <c r="B157" s="153"/>
      <c r="C157" s="140"/>
      <c r="D157" s="140"/>
      <c r="E157" s="69"/>
      <c r="F157" s="70">
        <v>0</v>
      </c>
      <c r="G157" s="21"/>
      <c r="H157" s="21"/>
      <c r="I157" s="21"/>
      <c r="J157" s="141"/>
      <c r="K157" s="21"/>
      <c r="L157" s="69"/>
      <c r="M157" s="141"/>
      <c r="N157" s="59">
        <v>5</v>
      </c>
      <c r="O157" s="59"/>
      <c r="P157" s="105"/>
      <c r="Q157" s="105"/>
      <c r="R157" s="105"/>
      <c r="S157" s="105"/>
      <c r="T157" s="105"/>
      <c r="U157" s="90"/>
      <c r="V157" s="91"/>
      <c r="W157" s="91"/>
      <c r="X157" s="91"/>
      <c r="Y157" s="93"/>
      <c r="Z157" s="96"/>
      <c r="AA157" s="96"/>
      <c r="AB157" s="29">
        <v>0</v>
      </c>
      <c r="AC157" s="145">
        <v>0</v>
      </c>
      <c r="AD157" s="145">
        <v>0</v>
      </c>
      <c r="AE157" s="145">
        <v>0</v>
      </c>
      <c r="AF157" s="145">
        <v>0</v>
      </c>
      <c r="AG157" s="145">
        <v>0</v>
      </c>
      <c r="AH157" s="145">
        <v>0</v>
      </c>
      <c r="AI157" s="142">
        <f t="shared" si="11"/>
        <v>0</v>
      </c>
      <c r="AJ157" s="141"/>
      <c r="AK157" s="67"/>
      <c r="AL157" s="67"/>
      <c r="AM157" s="24"/>
      <c r="AN157" s="24"/>
      <c r="AO157" s="24"/>
      <c r="AP157" s="71"/>
      <c r="AQ157" s="69"/>
      <c r="AR157" s="141"/>
      <c r="AS157" s="141"/>
      <c r="AT157" s="141"/>
      <c r="AU157" s="141"/>
      <c r="AV157" s="141"/>
      <c r="AW157" s="141"/>
      <c r="AX157" s="141"/>
      <c r="AY157" s="141"/>
      <c r="AZ157" s="141"/>
      <c r="BA157" s="141"/>
    </row>
  </sheetData>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9" priority="3" operator="containsText" text="NON DÉFINI">
      <formula>NOT(ISERROR(SEARCH("NON DÉFINI",P4)))</formula>
    </cfRule>
    <cfRule type="containsText" dxfId="8" priority="4" operator="containsText" text="EXCELLENT">
      <formula>NOT(ISERROR(SEARCH("EXCELLENT",P4)))</formula>
    </cfRule>
    <cfRule type="containsText" dxfId="7" priority="5" operator="containsText" text="BON">
      <formula>NOT(ISERROR(SEARCH("BON",P4)))</formula>
    </cfRule>
    <cfRule type="containsText" dxfId="6" priority="6" operator="containsText" text="WARNING !">
      <formula>NOT(ISERROR(SEARCH("WARNING !",P4)))</formula>
    </cfRule>
    <cfRule type="containsText" dxfId="5" priority="7" operator="containsText" text="A AMÉLIORER">
      <formula>NOT(ISERROR(SEARCH("A AMÉLIORER",P4)))</formula>
    </cfRule>
  </conditionalFormatting>
  <conditionalFormatting sqref="U4:X157">
    <cfRule type="cellIs" dxfId="4" priority="1" operator="greaterThan">
      <formula>TODAY()+8</formula>
    </cfRule>
    <cfRule type="containsBlanks" dxfId="3" priority="2">
      <formula>LEN(TRIM(U4))=0</formula>
    </cfRule>
    <cfRule type="cellIs" dxfId="2" priority="9" operator="between">
      <formula>TODAY()</formula>
      <formula>TODAY()+7</formula>
    </cfRule>
    <cfRule type="cellIs" dxfId="1" priority="10" operator="greaterThanOrEqual">
      <formula>TODAY()+30</formula>
    </cfRule>
  </conditionalFormatting>
  <conditionalFormatting sqref="V4:X157">
    <cfRule type="cellIs" dxfId="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FA0BC183-F848-488C-B912-7F5F2403BA2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F574DD2A-60C4-40EF-B51C-212B663D9184}">
          <x14:formula1>
            <xm:f>'Guide suivi GDP '!$E$34:$E$36</xm:f>
          </x14:formula1>
          <xm:sqref>C4:C157</xm:sqref>
        </x14:dataValidation>
        <x14:dataValidation type="list" showInputMessage="1" showErrorMessage="1" xr:uid="{5B388703-0CF0-4E7D-BEA5-EFE581108FFA}">
          <x14:formula1>
            <xm:f>'Guide suivi GDP '!$E$31:$E$33</xm:f>
          </x14:formula1>
          <xm:sqref>B4:B157</xm:sqref>
        </x14:dataValidation>
        <x14:dataValidation type="list" allowBlank="1" showInputMessage="1" showErrorMessage="1" xr:uid="{605BEBE4-DBFF-4E59-AAA2-FCFC57BFDEF6}">
          <x14:formula1>
            <xm:f>'Guide suivi GDP '!$E$20:$E$24</xm:f>
          </x14:formula1>
          <xm:sqref>K4:K157</xm:sqref>
        </x14:dataValidation>
        <x14:dataValidation type="list" allowBlank="1" showInputMessage="1" showErrorMessage="1" xr:uid="{D4542D00-1D31-4983-B52E-71D43202F993}">
          <x14:formula1>
            <xm:f>'Guide suivi GDP '!$E$3:$E$8</xm:f>
          </x14:formula1>
          <xm:sqref>J4:J157</xm:sqref>
        </x14:dataValidation>
        <x14:dataValidation type="list" showInputMessage="1" showErrorMessage="1" xr:uid="{613D7815-A025-4F35-988B-1CC5AC1392AF}">
          <x14:formula1>
            <xm:f>'Guide suivi GDP '!$E$9:$E$13</xm:f>
          </x14:formula1>
          <xm:sqref>P4:Q152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30</vt:i4>
      </vt:variant>
    </vt:vector>
  </HeadingPairs>
  <TitlesOfParts>
    <vt:vector size="30" baseType="lpstr">
      <vt:lpstr>Guide suivi GDP </vt:lpstr>
      <vt:lpstr>du 19 au 23 Août - W34</vt:lpstr>
      <vt:lpstr>du 26 au 30 Août - W35</vt:lpstr>
      <vt:lpstr>du 02 au 06 Septembre - W36</vt:lpstr>
      <vt:lpstr>du 09 au 13 Septembre - W37</vt:lpstr>
      <vt:lpstr>du 16 au 20 Septembre - W38</vt:lpstr>
      <vt:lpstr>du 23 au 27 Septembre - W39</vt:lpstr>
      <vt:lpstr>du 30 sept au 04 oct - W40</vt:lpstr>
      <vt:lpstr>du 07 oct au 11 oct - W41</vt:lpstr>
      <vt:lpstr>du 14 oct au 18 oct - W42</vt:lpstr>
      <vt:lpstr>du 21 oct au 25 oct - W43</vt:lpstr>
      <vt:lpstr>du 28 oct au 31 oct - W44</vt:lpstr>
      <vt:lpstr>du 04 nov au 08 nov - W45</vt:lpstr>
      <vt:lpstr>du 12 nov au 15 nov - W46</vt:lpstr>
      <vt:lpstr>du 25 nov au 29 nov - W48</vt:lpstr>
      <vt:lpstr>du 25 nov au 29 nov - W49</vt:lpstr>
      <vt:lpstr>du 09 dec au 13 dec - W50</vt:lpstr>
      <vt:lpstr>du 16 dec au 20 dec - W51</vt:lpstr>
      <vt:lpstr>TCD</vt:lpstr>
      <vt:lpstr>S39</vt:lpstr>
      <vt:lpstr>S42</vt:lpstr>
      <vt:lpstr>S43</vt:lpstr>
      <vt:lpstr>du 29 sept. au 03 oct. - W40</vt:lpstr>
      <vt:lpstr>du 06 oct. au 10 oct. - W41</vt:lpstr>
      <vt:lpstr>du 13 oct. au 17 oct. - W42</vt:lpstr>
      <vt:lpstr>S44</vt:lpstr>
      <vt:lpstr>S45</vt:lpstr>
      <vt:lpstr>S46</vt:lpstr>
      <vt:lpstr>S47</vt:lpstr>
      <vt:lpstr>S48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patrick Nepy</cp:lastModifiedBy>
  <cp:revision>40</cp:revision>
  <dcterms:created xsi:type="dcterms:W3CDTF">2024-04-17T14:13:33Z</dcterms:created>
  <dcterms:modified xsi:type="dcterms:W3CDTF">2025-11-29T22:29:58Z</dcterms:modified>
  <cp:category/>
  <cp:contentStatus/>
</cp:coreProperties>
</file>